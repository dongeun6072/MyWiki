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TC 전체" sheetId="2" state="visible" r:id="rId2"/>
    <sheet xmlns:r="http://schemas.openxmlformats.org/officeDocument/2006/relationships" name="매핑" sheetId="3" state="visible" r:id="rId3"/>
    <sheet xmlns:r="http://schemas.openxmlformats.org/officeDocument/2006/relationships" name="화면별" sheetId="4" state="visible" r:id="rId4"/>
    <sheet xmlns:r="http://schemas.openxmlformats.org/officeDocument/2006/relationships" name="요건별(RTM)" sheetId="5" state="visible" r:id="rId5"/>
  </sheets>
  <definedNames>
    <definedName name="_xlnm._FilterDatabase" localSheetId="1" hidden="1">'TC 전체'!$A$1:$N$513</definedName>
    <definedName name="_xlnm._FilterDatabase" localSheetId="2" hidden="1">'매핑'!$A$1:$E$1498</definedName>
    <definedName name="_xlnm._FilterDatabase" localSheetId="3" hidden="1">'화면별'!$A$1:$D$42</definedName>
    <definedName name="_xlnm._FilterDatabase" localSheetId="4" hidden="1">'요건별(RTM)'!$A$1:$D$137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3864"/>
      <sz val="14"/>
    </font>
    <font>
      <name val="맑은 고딕"/>
      <b val="1"/>
      <sz val="11"/>
    </font>
    <font>
      <name val="맑은 고딕"/>
      <color rgb="00595959"/>
      <sz val="9"/>
    </font>
    <font>
      <name val="맑은 고딕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6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58" customWidth="1" min="4" max="4"/>
  </cols>
  <sheetData>
    <row r="2">
      <c r="B2" s="1" t="inlineStr">
        <is>
          <t>서울동행맵 고도화 — 테스트 케이스(TC) 전체</t>
        </is>
      </c>
    </row>
    <row r="4">
      <c r="B4" s="2" t="inlineStr">
        <is>
          <t>전체</t>
        </is>
      </c>
      <c r="C4" s="3" t="n"/>
    </row>
    <row r="5">
      <c r="B5" s="4" t="inlineStr">
        <is>
          <t>TC 총 건수</t>
        </is>
      </c>
      <c r="C5" s="5">
        <f>COUNTA('TC 전체'!$B$2:$B$513)</f>
        <v>512</v>
      </c>
      <c r="D5" s="6" t="inlineStr">
        <is>
          <t>「TC 전체」 시트 행 수 — 정본 QA/tc/*.toml 16개 파일 합계</t>
        </is>
      </c>
    </row>
    <row r="6">
      <c r="B6" s="4" t="inlineStr">
        <is>
          <t>대상 화면 수</t>
        </is>
      </c>
      <c r="C6" s="5">
        <f>SUMPRODUCT((매핑!$A$2:$A$1498="화면")/COUNTIFS(매핑!$A$2:$A$1498,매핑!$A$2:$A$1498,매핑!$B$2:$B$1498,매핑!$B$2:$B$1498))</f>
        <v>41</v>
      </c>
      <c r="D6" s="6" t="inlineStr">
        <is>
          <t>화면 키 고유 개수(ID 부여 28 + 미부여 13)</t>
        </is>
      </c>
    </row>
    <row r="7">
      <c r="B7" s="4" t="inlineStr">
        <is>
          <t>커버 요건 수</t>
        </is>
      </c>
      <c r="C7" s="5">
        <f>SUMPRODUCT((매핑!$A$2:$A$1498="요건")/COUNTIFS(매핑!$A$2:$A$1498,매핑!$A$2:$A$1498,매핑!$B$2:$B$1498,매핑!$B$2:$B$1498))</f>
        <v>135</v>
      </c>
      <c r="D7" s="6" t="inlineStr">
        <is>
          <t>TC가 1건 이상 걸린 PRD 요건 ID 개수</t>
        </is>
      </c>
    </row>
    <row r="9">
      <c r="B9" s="2" t="inlineStr">
        <is>
          <t>성격별</t>
        </is>
      </c>
      <c r="C9" s="3" t="n"/>
    </row>
    <row r="10">
      <c r="B10" s="4" t="inlineStr">
        <is>
          <t>기능</t>
        </is>
      </c>
      <c r="C10" s="5">
        <f>COUNTIF('TC 전체'!$F$2:$F$513,"기능")</f>
        <v>269</v>
      </c>
      <c r="D10" s="6" t="inlineStr"/>
    </row>
    <row r="11">
      <c r="B11" s="4" t="inlineStr">
        <is>
          <t>접근성</t>
        </is>
      </c>
      <c r="C11" s="5">
        <f>COUNTIF('TC 전체'!$F$2:$F$513,"접근성")</f>
        <v>167</v>
      </c>
      <c r="D11" s="6" t="inlineStr"/>
    </row>
    <row r="12">
      <c r="B12" s="4" t="inlineStr">
        <is>
          <t>비기능</t>
        </is>
      </c>
      <c r="C12" s="5">
        <f>COUNTIF('TC 전체'!$F$2:$F$513,"비기능")</f>
        <v>47</v>
      </c>
      <c r="D12" s="6" t="inlineStr"/>
    </row>
    <row r="13">
      <c r="B13" s="4" t="inlineStr">
        <is>
          <t>시나리오</t>
        </is>
      </c>
      <c r="C13" s="5">
        <f>COUNTIF('TC 전체'!$F$2:$F$513,"시나리오")</f>
        <v>18</v>
      </c>
      <c r="D13" s="6" t="inlineStr"/>
    </row>
    <row r="14">
      <c r="B14" s="4" t="inlineStr">
        <is>
          <t>사용자평가</t>
        </is>
      </c>
      <c r="C14" s="5">
        <f>COUNTIF('TC 전체'!$F$2:$F$513,"사용자평가")</f>
        <v>1</v>
      </c>
      <c r="D14" s="6" t="inlineStr"/>
    </row>
    <row r="15">
      <c r="B15" s="4" t="inlineStr">
        <is>
          <t>대상외</t>
        </is>
      </c>
      <c r="C15" s="5">
        <f>COUNTIF('TC 전체'!$F$2:$F$513,"대상외")</f>
        <v>10</v>
      </c>
      <c r="D15" s="6" t="inlineStr"/>
    </row>
    <row r="17">
      <c r="B17" s="2" t="inlineStr">
        <is>
          <t>상태별</t>
        </is>
      </c>
      <c r="C17" s="3" t="n"/>
    </row>
    <row r="18">
      <c r="B18" s="4" t="inlineStr">
        <is>
          <t>미실행</t>
        </is>
      </c>
      <c r="C18" s="5">
        <f>COUNTIF('TC 전체'!$G$2:$G$513,"미실행")</f>
        <v>427</v>
      </c>
      <c r="D18" s="6" t="inlineStr">
        <is>
          <t>실행 전 초안 상태</t>
        </is>
      </c>
    </row>
    <row r="19">
      <c r="B19" s="4" t="inlineStr">
        <is>
          <t>보류</t>
        </is>
      </c>
      <c r="C19" s="5">
        <f>COUNTIF('TC 전체'!$G$2:$G$513,"보류")</f>
        <v>85</v>
      </c>
      <c r="D19" s="6" t="inlineStr">
        <is>
          <t>UX·PRD 사양이 갈려 합불을 가를 수 없는 항목</t>
        </is>
      </c>
    </row>
    <row r="21">
      <c r="B21" s="7" t="inlineStr">
        <is>
          <t>정본: QA/tc/*.toml (TOML) · 이 파일은 그 정본을 읽어 만든 생성물이며 여기서 편집한 값은 정본에 반영되지 않는다</t>
        </is>
      </c>
    </row>
    <row r="22">
      <c r="B22" s="8" t="inlineStr">
        <is>
          <t>생성 근거: scripts/check_tc.py 집계와 같은 정본 · RTM 열은 QA/generated/RTM.csv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20" customWidth="1" min="5" max="5"/>
    <col width="10" customWidth="1" min="6" max="6"/>
    <col width="9" customWidth="1" min="7" max="7"/>
    <col width="30" customWidth="1" min="8" max="8"/>
    <col width="42" customWidth="1" min="9" max="9"/>
    <col width="52" customWidth="1" min="10" max="10"/>
    <col width="10" customWidth="1" min="11" max="11"/>
    <col width="34" customWidth="1" min="12" max="12"/>
    <col width="30" customWidth="1" min="13" max="13"/>
    <col width="34" customWidth="1" min="14" max="14"/>
  </cols>
  <sheetData>
    <row r="1">
      <c r="A1" s="9" t="inlineStr">
        <is>
          <t>No</t>
        </is>
      </c>
      <c r="B1" s="9" t="inlineStr">
        <is>
          <t>TC ID</t>
        </is>
      </c>
      <c r="C1" s="9" t="inlineStr">
        <is>
          <t>파일</t>
        </is>
      </c>
      <c r="D1" s="9" t="inlineStr">
        <is>
          <t>화면</t>
        </is>
      </c>
      <c r="E1" s="9" t="inlineStr">
        <is>
          <t>요건</t>
        </is>
      </c>
      <c r="F1" s="9" t="inlineStr">
        <is>
          <t>성격</t>
        </is>
      </c>
      <c r="G1" s="9" t="inlineStr">
        <is>
          <t>상태</t>
        </is>
      </c>
      <c r="H1" s="9" t="inlineStr">
        <is>
          <t>전제</t>
        </is>
      </c>
      <c r="I1" s="9" t="inlineStr">
        <is>
          <t>절차</t>
        </is>
      </c>
      <c r="J1" s="9" t="inlineStr">
        <is>
          <t>기대결과</t>
        </is>
      </c>
      <c r="K1" s="9" t="inlineStr">
        <is>
          <t>KS</t>
        </is>
      </c>
      <c r="L1" s="9" t="inlineStr">
        <is>
          <t>근거</t>
        </is>
      </c>
      <c r="M1" s="9" t="inlineStr">
        <is>
          <t>비고</t>
        </is>
      </c>
      <c r="N1" s="9" t="inlineStr">
        <is>
          <t>대상외 사유</t>
        </is>
      </c>
    </row>
    <row r="2">
      <c r="A2" s="5" t="n">
        <v>1</v>
      </c>
      <c r="B2" s="10" t="inlineStr">
        <is>
          <t>TC-AUTH-01-01</t>
        </is>
      </c>
      <c r="C2" s="10" t="inlineStr">
        <is>
          <t>01-온보딩</t>
        </is>
      </c>
      <c r="D2" s="10" t="inlineStr">
        <is>
          <t>AUTH-01</t>
        </is>
      </c>
      <c r="E2" s="10" t="inlineStr">
        <is>
          <t>V-1</t>
        </is>
      </c>
      <c r="F2" s="5" t="inlineStr">
        <is>
          <t>기능</t>
        </is>
      </c>
      <c r="G2" s="5" t="inlineStr">
        <is>
          <t>미실행</t>
        </is>
      </c>
      <c r="H2" s="10" t="inlineStr">
        <is>
          <t>iOS 단말 · 미인증 콜드 스타트로 앱 실행</t>
        </is>
      </c>
      <c r="I2" s="10" t="inlineStr">
        <is>
          <t>1. 앱을 실행해 로그인 화면에 진입
2. 소셜 로그인 버튼의 개수와 위에서 아래 순서를 기록</t>
        </is>
      </c>
      <c r="J2" s="10" t="inlineStr">
        <is>
          <t>소셜 로그인 버튼이 세로로 4개이고 순서가 카카오 → 네이버 → 구글 → 애플이다</t>
        </is>
      </c>
      <c r="K2" s="10" t="inlineStr"/>
      <c r="L2" s="10" t="inlineStr">
        <is>
          <t>UX 01-로그인-회원가입 2.3·2.4절 요소 4</t>
        </is>
      </c>
      <c r="M2" s="10" t="inlineStr"/>
      <c r="N2" s="10" t="inlineStr"/>
    </row>
    <row r="3">
      <c r="A3" s="5" t="n">
        <v>2</v>
      </c>
      <c r="B3" s="10" t="inlineStr">
        <is>
          <t>TC-AUTH-01-02</t>
        </is>
      </c>
      <c r="C3" s="10" t="inlineStr">
        <is>
          <t>01-온보딩</t>
        </is>
      </c>
      <c r="D3" s="10" t="inlineStr">
        <is>
          <t>AUTH-01</t>
        </is>
      </c>
      <c r="E3" s="10" t="inlineStr">
        <is>
          <t>NFR-04</t>
        </is>
      </c>
      <c r="F3" s="5" t="inlineStr">
        <is>
          <t>접근성</t>
        </is>
      </c>
      <c r="G3" s="5" t="inlineStr">
        <is>
          <t>미실행</t>
        </is>
      </c>
      <c r="H3" s="10" t="inlineStr">
        <is>
          <t>Android 단말 · TalkBack 켬 · 미인증 콜드 스타트</t>
        </is>
      </c>
      <c r="I3" s="10" t="inlineStr">
        <is>
          <t>1. 앱을 실행해 로그인 화면에 진입
2. 소셜 로그인 버튼 목록을 확인
3. 첫 버튼부터 다음 요소로 포커스를 순서대로 이동</t>
        </is>
      </c>
      <c r="J3" s="10" t="inlineStr">
        <is>
          <t>소셜 로그인 버튼이 카카오·네이버·구글 3개뿐이고 애플 자리에 빈 항목·비활성 버튼이 없으며 포커스가 그 자리를 지나가지 않는다</t>
        </is>
      </c>
      <c r="K3" s="10" t="inlineStr"/>
      <c r="L3" s="10" t="inlineStr">
        <is>
          <t>UX 01-로그인-회원가입 2.4절 요소 4 · 2.5절 NFR-04 플랫폼별 검증</t>
        </is>
      </c>
      <c r="M3" s="10" t="inlineStr"/>
      <c r="N3" s="10" t="inlineStr"/>
    </row>
    <row r="4">
      <c r="A4" s="5" t="n">
        <v>3</v>
      </c>
      <c r="B4" s="10" t="inlineStr">
        <is>
          <t>TC-AUTH-01-03</t>
        </is>
      </c>
      <c r="C4" s="10" t="inlineStr">
        <is>
          <t>01-온보딩</t>
        </is>
      </c>
      <c r="D4" s="10" t="inlineStr">
        <is>
          <t>AUTH-01</t>
        </is>
      </c>
      <c r="E4" s="10" t="inlineStr">
        <is>
          <t>V-3 · NFR-05</t>
        </is>
      </c>
      <c r="F4" s="5" t="inlineStr">
        <is>
          <t>접근성</t>
        </is>
      </c>
      <c r="G4" s="5" t="inlineStr">
        <is>
          <t>미실행</t>
        </is>
      </c>
      <c r="H4" s="10" t="inlineStr">
        <is>
          <t>로그인 화면 진입</t>
        </is>
      </c>
      <c r="I4" s="10" t="inlineStr">
        <is>
          <t>1. 소셜 로그인 버튼 각각의 표시 내용을 확인
2. 각 버튼에 로고와 텍스트가 함께 있는지 기록</t>
        </is>
      </c>
      <c r="J4" s="10" t="inlineStr">
        <is>
          <t>각 버튼이 로고와 텍스트를 함께 갖고, 공급자를 브랜드 색만으로 구분하는 버튼이 하나도 없다</t>
        </is>
      </c>
      <c r="K4" s="10" t="inlineStr"/>
      <c r="L4" s="10" t="inlineStr">
        <is>
          <t>UX 01-로그인-회원가입 2.4절 요소 4 · 2.7절</t>
        </is>
      </c>
      <c r="M4" s="10" t="inlineStr"/>
      <c r="N4" s="10" t="inlineStr"/>
    </row>
    <row r="5">
      <c r="A5" s="5" t="n">
        <v>4</v>
      </c>
      <c r="B5" s="10" t="inlineStr">
        <is>
          <t>TC-AUTH-01-04</t>
        </is>
      </c>
      <c r="C5" s="10" t="inlineStr">
        <is>
          <t>01-온보딩</t>
        </is>
      </c>
      <c r="D5" s="10" t="inlineStr">
        <is>
          <t>AUTH-01</t>
        </is>
      </c>
      <c r="E5" s="10" t="inlineStr">
        <is>
          <t>AC-05 · V-1 · NFR-04</t>
        </is>
      </c>
      <c r="F5" s="5" t="inlineStr">
        <is>
          <t>접근성</t>
        </is>
      </c>
      <c r="G5" s="5" t="inlineStr">
        <is>
          <t>미실행</t>
        </is>
      </c>
      <c r="H5" s="10" t="inlineStr">
        <is>
          <t>스크린리더 켬 · 로그인 화면 진입</t>
        </is>
      </c>
      <c r="I5" s="10" t="inlineStr">
        <is>
          <t>1. 화면 첫 요소에 포커스를 두고 끝까지 순서대로 이동
2. 낭독된 항목을 순서대로 기록</t>
        </is>
      </c>
      <c r="J5" s="10" t="inlineStr">
        <is>
          <t>서비스명 → 이용 방식 안내 1문장 → 로그인 수단 → 「비회원으로 시작하기」 순으로 낭독되고 중간에 건너뛰는 항목이 없다</t>
        </is>
      </c>
      <c r="K5" s="10" t="inlineStr"/>
      <c r="L5" s="10" t="inlineStr">
        <is>
          <t>UX 01-로그인-회원가입 2.5절 낭독 순서 · 00-공통 5절</t>
        </is>
      </c>
      <c r="M5" s="10" t="inlineStr">
        <is>
          <t>접근권한 고지는 U-25 미확정이라 이 TC의 판정 대상이 아니다</t>
        </is>
      </c>
      <c r="N5" s="10" t="inlineStr"/>
    </row>
    <row r="6">
      <c r="A6" s="5" t="n">
        <v>5</v>
      </c>
      <c r="B6" s="10" t="inlineStr">
        <is>
          <t>TC-AUTH-01-05</t>
        </is>
      </c>
      <c r="C6" s="10" t="inlineStr">
        <is>
          <t>01-온보딩</t>
        </is>
      </c>
      <c r="D6" s="10" t="inlineStr">
        <is>
          <t>AUTH-01</t>
        </is>
      </c>
      <c r="E6" s="10" t="inlineStr">
        <is>
          <t>NFR-05</t>
        </is>
      </c>
      <c r="F6" s="5" t="inlineStr">
        <is>
          <t>접근성</t>
        </is>
      </c>
      <c r="G6" s="5" t="inlineStr">
        <is>
          <t>미실행</t>
        </is>
      </c>
      <c r="H6" s="10" t="inlineStr">
        <is>
          <t>스크린리더 켬 · 로그인 화면 진입</t>
        </is>
      </c>
      <c r="I6" s="10" t="inlineStr">
        <is>
          <t>1. 카카오 로그인 버튼에 포커스
2. 낭독 문자열을 기록
3. 나머지 소셜 버튼에서 반복</t>
        </is>
      </c>
      <c r="J6" s="10" t="inlineStr">
        <is>
          <t>각 버튼이 "카카오로 로그인, 버튼"처럼 목적지를 담아 낭독되고, 공급자 이름만("카카오")으로 낭독되는 버튼이 없다</t>
        </is>
      </c>
      <c r="K6" s="10" t="inlineStr"/>
      <c r="L6" s="10" t="inlineStr">
        <is>
          <t>UX 01-로그인-회원가입 2.4절 요소 2·4 · 2.5절</t>
        </is>
      </c>
      <c r="M6" s="10" t="inlineStr"/>
      <c r="N6" s="10" t="inlineStr"/>
    </row>
    <row r="7">
      <c r="A7" s="5" t="n">
        <v>6</v>
      </c>
      <c r="B7" s="10" t="inlineStr">
        <is>
          <t>TC-AUTH-01-06</t>
        </is>
      </c>
      <c r="C7" s="10" t="inlineStr">
        <is>
          <t>01-온보딩</t>
        </is>
      </c>
      <c r="D7" s="10" t="inlineStr">
        <is>
          <t>AUTH-01</t>
        </is>
      </c>
      <c r="E7" s="10" t="inlineStr">
        <is>
          <t>V-3 · V-6</t>
        </is>
      </c>
      <c r="F7" s="5" t="inlineStr">
        <is>
          <t>기능</t>
        </is>
      </c>
      <c r="G7" s="5" t="inlineStr">
        <is>
          <t>미실행</t>
        </is>
      </c>
      <c r="H7" s="10" t="inlineStr">
        <is>
          <t>공급자 인증이 실패하도록 준비한 환경</t>
        </is>
      </c>
      <c r="I7" s="10" t="inlineStr">
        <is>
          <t>1. 카카오 로그인 버튼을 누름
2. 인증 실패 후 앱으로 복귀
3. 실패 표기의 채널과 포커스 위치를 확인</t>
        </is>
      </c>
      <c r="J7" s="10" t="inlineStr">
        <is>
          <t>실패 사유가 색·텍스트·아이콘 3채널로 함께 표시되고 포커스가 소셜 로그인 버튼 묶음으로 복귀하며 재시도 수단이 남는다</t>
        </is>
      </c>
      <c r="K7" s="10" t="inlineStr"/>
      <c r="L7" s="10" t="inlineStr">
        <is>
          <t>UX 01-로그인-회원가입 2.4절 요소 8 · 2.8절</t>
        </is>
      </c>
      <c r="M7" s="10" t="inlineStr">
        <is>
          <t>공급자 인증 취소·서버 인증 실패도 같은 축이며 각각 구분되는 문구로 알린다(UX 2.8절)</t>
        </is>
      </c>
      <c r="N7" s="10" t="inlineStr"/>
    </row>
    <row r="8">
      <c r="A8" s="5" t="n">
        <v>7</v>
      </c>
      <c r="B8" s="10" t="inlineStr">
        <is>
          <t>TC-AUTH-01-07</t>
        </is>
      </c>
      <c r="C8" s="10" t="inlineStr">
        <is>
          <t>01-온보딩</t>
        </is>
      </c>
      <c r="D8" s="10" t="inlineStr">
        <is>
          <t>AUTH-01</t>
        </is>
      </c>
      <c r="E8" s="10" t="inlineStr">
        <is>
          <t>SG-3 · V-3</t>
        </is>
      </c>
      <c r="F8" s="5" t="inlineStr">
        <is>
          <t>접근성</t>
        </is>
      </c>
      <c r="G8" s="5" t="inlineStr">
        <is>
          <t>미실행</t>
        </is>
      </c>
      <c r="H8" s="10" t="inlineStr">
        <is>
          <t>로그인 화면 진입</t>
        </is>
      </c>
      <c r="I8" s="10" t="inlineStr">
        <is>
          <t>1. 소셜 로그인 버튼 묶음과 「비회원으로 시작하기」 사이의 구분 수단을 확인
2. 시스템 글자 크기를 200%로 올린 뒤 같은 지점을 다시 확인</t>
        </is>
      </c>
      <c r="J8" s="10" t="inlineStr">
        <is>
          <t>두 묶음의 위계가 구분선 또는 면 대비로 표시되고 200%에서도 구분이 유지된다. 간격만으로 위계를 나타내지 않는다</t>
        </is>
      </c>
      <c r="K8" s="10" t="inlineStr"/>
      <c r="L8" s="10" t="inlineStr">
        <is>
          <t>UX 01-로그인-회원가입 2.3절·2.7절 · PRD 2부 7.4 SG-3</t>
        </is>
      </c>
      <c r="M8" s="10" t="inlineStr"/>
      <c r="N8" s="10" t="inlineStr"/>
    </row>
    <row r="9">
      <c r="A9" s="5" t="n">
        <v>8</v>
      </c>
      <c r="B9" s="10" t="inlineStr">
        <is>
          <t>TC-AUTH-01-08</t>
        </is>
      </c>
      <c r="C9" s="10" t="inlineStr">
        <is>
          <t>01-온보딩</t>
        </is>
      </c>
      <c r="D9" s="10" t="inlineStr">
        <is>
          <t>AUTH-01 · AUTH-04</t>
        </is>
      </c>
      <c r="E9" s="10" t="inlineStr">
        <is>
          <t>V-11 · V-13</t>
        </is>
      </c>
      <c r="F9" s="5" t="inlineStr">
        <is>
          <t>시나리오</t>
        </is>
      </c>
      <c r="G9" s="5" t="inlineStr">
        <is>
          <t>미실행</t>
        </is>
      </c>
      <c r="H9" s="10" t="inlineStr">
        <is>
          <t>비회원으로 교통약자 유형을 한 번 고른 단말 · 앱 데이터 삭제 없음</t>
        </is>
      </c>
      <c r="I9" s="10" t="inlineStr">
        <is>
          <t>1. 앱을 완전히 종료
2. 앱을 다시 실행해 「비회원으로 시작하기」를 누름
3. 다음에 뜨는 화면을 확인</t>
        </is>
      </c>
      <c r="J9" s="10" t="inlineStr">
        <is>
          <t>교통약자 유형 선택을 다시 묻지 않고 곧바로 홈으로 진입하며, 최초에 고른 유형이 그대로 적용돼 있다</t>
        </is>
      </c>
      <c r="K9" s="10" t="inlineStr"/>
      <c r="L9" s="10" t="inlineStr">
        <is>
          <t>UX 01-로그인-회원가입 2.4절 요소 5 · 6절 비회원 로컬 데이터의 수명과 재진입</t>
        </is>
      </c>
      <c r="M9" s="10" t="inlineStr"/>
      <c r="N9" s="10" t="inlineStr"/>
    </row>
    <row r="10">
      <c r="A10" s="5" t="n">
        <v>9</v>
      </c>
      <c r="B10" s="10" t="inlineStr">
        <is>
          <t>TC-AUTH-01-09</t>
        </is>
      </c>
      <c r="C10" s="10" t="inlineStr">
        <is>
          <t>01-온보딩</t>
        </is>
      </c>
      <c r="D10" s="10" t="inlineStr">
        <is>
          <t>AUTH-01</t>
        </is>
      </c>
      <c r="E10" s="10" t="inlineStr">
        <is>
          <t>SS-2</t>
        </is>
      </c>
      <c r="F10" s="5" t="inlineStr">
        <is>
          <t>시나리오</t>
        </is>
      </c>
      <c r="G10" s="5" t="inlineStr">
        <is>
          <t>미실행</t>
        </is>
      </c>
      <c r="H10" s="10" t="inlineStr">
        <is>
          <t>회원으로 로그인된 단말 · 서버에서 해당 세션을 무효로 만들어 둔 상태</t>
        </is>
      </c>
      <c r="I10" s="10" t="inlineStr">
        <is>
          <t>1. 앱을 완전히 종료
2. 앱을 다시 실행
3. 진입 화면을 확인</t>
        </is>
      </c>
      <c r="J10" s="10" t="inlineStr">
        <is>
          <t>앱 실행 시점에 세션이 확인돼 무효로 판정되고 로그아웃 상태로 로그인 화면에 진입한다</t>
        </is>
      </c>
      <c r="K10" s="10" t="inlineStr"/>
      <c r="L10" s="10" t="inlineStr">
        <is>
          <t>PRD 2부 6.10 SS-2</t>
        </is>
      </c>
      <c r="M10" s="10" t="inlineStr"/>
      <c r="N10" s="10" t="inlineStr"/>
    </row>
    <row r="11">
      <c r="A11" s="5" t="n">
        <v>10</v>
      </c>
      <c r="B11" s="10" t="inlineStr">
        <is>
          <t>TC-AUTH-01-10</t>
        </is>
      </c>
      <c r="C11" s="10" t="inlineStr">
        <is>
          <t>01-온보딩</t>
        </is>
      </c>
      <c r="D11" s="10" t="inlineStr">
        <is>
          <t>AUTH-01</t>
        </is>
      </c>
      <c r="E11" s="10" t="inlineStr">
        <is>
          <t>SS-1 · SS-3</t>
        </is>
      </c>
      <c r="F11" s="5" t="inlineStr">
        <is>
          <t>시나리오</t>
        </is>
      </c>
      <c r="G11" s="5" t="inlineStr">
        <is>
          <t>미실행</t>
        </is>
      </c>
      <c r="H11" s="10" t="inlineStr">
        <is>
          <t>같은 계정으로 단말 A에 로그인된 상태 · 단말 B 준비</t>
        </is>
      </c>
      <c r="I11" s="10" t="inlineStr">
        <is>
          <t>1. 단말 B에서 같은 계정으로 로그인
2. 단말 A의 앱을 완전히 종료했다가 다시 실행
3. 단말 A의 진입 화면을 확인</t>
        </is>
      </c>
      <c r="J11" s="10" t="inlineStr">
        <is>
          <t>단말 A가 로그아웃 상태로 로그인 화면에 진입한다. 두 단말의 세션이 동시에 유지되지 않는다</t>
        </is>
      </c>
      <c r="K11" s="10" t="inlineStr"/>
      <c r="L11" s="10" t="inlineStr">
        <is>
          <t>PRD 1부 1.6 다중 기기 동시 로그인 · PRD 2부 6.10 SS-1·SS-3</t>
        </is>
      </c>
      <c r="M11" s="10" t="inlineStr">
        <is>
          <t>비회원은 계정이 없어 세션이 성립하지 않으므로 이 판정의 대상이 아니다</t>
        </is>
      </c>
      <c r="N11" s="10" t="inlineStr"/>
    </row>
    <row r="12">
      <c r="A12" s="5" t="n">
        <v>11</v>
      </c>
      <c r="B12" s="10" t="inlineStr">
        <is>
          <t>TC-AUTH-01-11</t>
        </is>
      </c>
      <c r="C12" s="10" t="inlineStr">
        <is>
          <t>01-온보딩</t>
        </is>
      </c>
      <c r="D12" s="10" t="inlineStr">
        <is>
          <t>AUTH-01</t>
        </is>
      </c>
      <c r="E12" s="10" t="inlineStr">
        <is>
          <t>SS-4</t>
        </is>
      </c>
      <c r="F12" s="5" t="inlineStr">
        <is>
          <t>시나리오</t>
        </is>
      </c>
      <c r="G12" s="5" t="inlineStr">
        <is>
          <t>미실행</t>
        </is>
      </c>
      <c r="H12" s="10" t="inlineStr">
        <is>
          <t>단말 A에서 앱을 실행해 둔 상태</t>
        </is>
      </c>
      <c r="I12" s="10" t="inlineStr">
        <is>
          <t>1. 앱을 실행한 채로 단말 B에서 같은 계정으로 로그인
2. 단말 A를 종료하지 않고 계속 조작
3. 단말 A에서 강제 로그아웃·로그인 화면 전환이 일어나는지 확인</t>
        </is>
      </c>
      <c r="J12" s="10" t="inlineStr">
        <is>
          <t>단말 A는 실행 중 강제 로그아웃되지 않고 그대로 동작한다. 실시간 강제 로그아웃 채널이 동작하지 않는다</t>
        </is>
      </c>
      <c r="K12" s="10" t="inlineStr"/>
      <c r="L12" s="10" t="inlineStr">
        <is>
          <t>PRD 2부 6.10 SS-4</t>
        </is>
      </c>
      <c r="M12" s="10" t="inlineStr">
        <is>
          <t>실행 중 무효화를 감지하지 않는 것이 SS-4가 받아들이는 귀결이며 결함이 아니다</t>
        </is>
      </c>
      <c r="N12" s="10" t="inlineStr"/>
    </row>
    <row r="13">
      <c r="A13" s="5" t="n">
        <v>12</v>
      </c>
      <c r="B13" s="10" t="inlineStr">
        <is>
          <t>TC-AUTH-01-12</t>
        </is>
      </c>
      <c r="C13" s="10" t="inlineStr">
        <is>
          <t>01-온보딩</t>
        </is>
      </c>
      <c r="D13" s="10" t="inlineStr">
        <is>
          <t>AUTH-01</t>
        </is>
      </c>
      <c r="E13" s="10" t="inlineStr">
        <is>
          <t>SS-4 · V-6</t>
        </is>
      </c>
      <c r="F13" s="5" t="inlineStr">
        <is>
          <t>기능</t>
        </is>
      </c>
      <c r="G13" s="5" t="inlineStr">
        <is>
          <t>미실행</t>
        </is>
      </c>
      <c r="H13" s="10" t="inlineStr">
        <is>
          <t>TC-AUTH-01-11의 상태(단말 A 실행 중 · 세션은 이미 무효)</t>
        </is>
      </c>
      <c r="I13" s="10" t="inlineStr">
        <is>
          <t>1. 단말 A에서 인증이 필요한 동작을 수행해 API 인증 실패를 유발
2. 화면 표시와 낭독을 확인</t>
        </is>
      </c>
      <c r="J13" s="10" t="inlineStr">
        <is>
          <t>인증 실패가 화면에 드러난다. 사용자 모르게 로그아웃 상태가 되거나 조용히 실패하지 않는다</t>
        </is>
      </c>
      <c r="K13" s="10" t="inlineStr"/>
      <c r="L13" s="10" t="inlineStr">
        <is>
          <t>PRD 2부 6.10 SS-4 · 6.7 에러 핸들링 원칙</t>
        </is>
      </c>
      <c r="M13" s="10" t="inlineStr"/>
      <c r="N13" s="10" t="inlineStr"/>
    </row>
    <row r="14">
      <c r="A14" s="5" t="n">
        <v>13</v>
      </c>
      <c r="B14" s="10" t="inlineStr">
        <is>
          <t>TC-AUTH-01-13</t>
        </is>
      </c>
      <c r="C14" s="10" t="inlineStr">
        <is>
          <t>01-온보딩</t>
        </is>
      </c>
      <c r="D14" s="10" t="inlineStr">
        <is>
          <t>AUTH-01</t>
        </is>
      </c>
      <c r="E14" s="10" t="inlineStr">
        <is>
          <t>SS-5</t>
        </is>
      </c>
      <c r="F14" s="11" t="inlineStr">
        <is>
          <t>대상외</t>
        </is>
      </c>
      <c r="G14" s="5" t="inlineStr">
        <is>
          <t>미실행</t>
        </is>
      </c>
      <c r="H14" s="10" t="inlineStr"/>
      <c r="I14" s="10" t="inlineStr"/>
      <c r="J14" s="10" t="inlineStr"/>
      <c r="K14" s="10" t="inlineStr"/>
      <c r="L14" s="10" t="inlineStr">
        <is>
          <t>PRD 2부 6.10 SS-5</t>
        </is>
      </c>
      <c r="M14" s="10" t="inlineStr">
        <is>
          <t>앱 축에서 볼 것은 SS-2~SS-4의 동작뿐이며 그 3건은 TC-AUTH-01-09~12가 진다</t>
        </is>
      </c>
      <c r="N14" s="10" t="inlineStr">
        <is>
          <t>세션 체크 API·토큰 규격·인증 에러 코드는 PRD가 갖지 않고 SvrAPIDoc에 위임한 항목이다. 규격 자체의 검증은 서버 파트 소관이며 앱 TC로 판정할 대상이 아니다</t>
        </is>
      </c>
    </row>
    <row r="15">
      <c r="A15" s="5" t="n">
        <v>14</v>
      </c>
      <c r="B15" s="10" t="inlineStr">
        <is>
          <t>TC-AUTH-04-01</t>
        </is>
      </c>
      <c r="C15" s="10" t="inlineStr">
        <is>
          <t>01-온보딩</t>
        </is>
      </c>
      <c r="D15" s="10" t="inlineStr">
        <is>
          <t>AUTH-04</t>
        </is>
      </c>
      <c r="E15" s="10" t="inlineStr">
        <is>
          <t>V-11</t>
        </is>
      </c>
      <c r="F15" s="5" t="inlineStr">
        <is>
          <t>기능</t>
        </is>
      </c>
      <c r="G15" s="5" t="inlineStr">
        <is>
          <t>미실행</t>
        </is>
      </c>
      <c r="H15" s="10" t="inlineStr">
        <is>
          <t>회원가입 STEP 1 진입</t>
        </is>
      </c>
      <c r="I15" s="10" t="inlineStr">
        <is>
          <t>1. 선택지 목록의 행 수와 각 행의 표시 문자열을 기록
2. 3·4번 행의 부기가 라벨과 같은 한 줄인지, 1·2번에 부기가 없는지 확인
3. 목록에 「나중에 선택」류의 보류 선택지가 있는지 확인</t>
        </is>
      </c>
      <c r="J15" s="10" t="inlineStr">
        <is>
          <t>선택지가 라디오 4행(휠체어•유모차 / 노약자•임산부 / 저시력 – 화면을 볼 수 있어요. / 전맹 – 화면을 볼 수 없어요.)이고 부기는 3·4번에만 라벨 한 줄로 붙으며 보류 선택지가 없다</t>
        </is>
      </c>
      <c r="K15" s="10" t="inlineStr"/>
      <c r="L15" s="10" t="inlineStr">
        <is>
          <t>UX 01-로그인-회원가입 3.2절·3.6절 · PRD 1부 1.3 교통약자 유형 선택 4종</t>
        </is>
      </c>
      <c r="M15" s="10" t="inlineStr">
        <is>
          <t>UX 사양의 4종이 정본이다. PRD 1부 1.3도 2026-08-27 통합으로 4종이라 md끼리는 갈리지 않는다</t>
        </is>
      </c>
      <c r="N15" s="10" t="inlineStr"/>
    </row>
    <row r="16">
      <c r="A16" s="5" t="n">
        <v>15</v>
      </c>
      <c r="B16" s="10" t="inlineStr">
        <is>
          <t>TC-AUTH-04-02</t>
        </is>
      </c>
      <c r="C16" s="10" t="inlineStr">
        <is>
          <t>01-온보딩</t>
        </is>
      </c>
      <c r="D16" s="10" t="inlineStr">
        <is>
          <t>AUTH-04</t>
        </is>
      </c>
      <c r="E16" s="10" t="inlineStr">
        <is>
          <t>V-11</t>
        </is>
      </c>
      <c r="F16" s="5" t="inlineStr">
        <is>
          <t>기능</t>
        </is>
      </c>
      <c r="G16" s="5" t="inlineStr">
        <is>
          <t>미실행</t>
        </is>
      </c>
      <c r="H16" s="10" t="inlineStr">
        <is>
          <t>회원가입 STEP 1 진입 · 아직 아무것도 고르지 않은 상태</t>
        </is>
      </c>
      <c r="I16" s="10" t="inlineStr">
        <is>
          <t>1. 진입 직후 선택된 항목이 있는지 확인
2. 1번을 선택
3. 이어서 3번을 선택
4. 1번의 상태를 확인</t>
        </is>
      </c>
      <c r="J16" s="10" t="inlineStr">
        <is>
          <t>진입 시 선택된 항목이 없고, 3번을 고르면 1번이 자동 해제돼 항상 한 항목만 선택된다</t>
        </is>
      </c>
      <c r="K16" s="10" t="inlineStr"/>
      <c r="L16" s="10" t="inlineStr">
        <is>
          <t>UX 01-로그인-회원가입 3.6절·3.7절 요소 4</t>
        </is>
      </c>
      <c r="M16" s="10" t="inlineStr"/>
      <c r="N16" s="10" t="inlineStr"/>
    </row>
    <row r="17">
      <c r="A17" s="5" t="n">
        <v>16</v>
      </c>
      <c r="B17" s="10" t="inlineStr">
        <is>
          <t>TC-AUTH-04-03</t>
        </is>
      </c>
      <c r="C17" s="10" t="inlineStr">
        <is>
          <t>01-온보딩</t>
        </is>
      </c>
      <c r="D17" s="10" t="inlineStr">
        <is>
          <t>AUTH-04</t>
        </is>
      </c>
      <c r="E17" s="10" t="inlineStr">
        <is>
          <t>V-11 · V-6</t>
        </is>
      </c>
      <c r="F17" s="5" t="inlineStr">
        <is>
          <t>기능</t>
        </is>
      </c>
      <c r="G17" s="5" t="inlineStr">
        <is>
          <t>미실행</t>
        </is>
      </c>
      <c r="H17" s="10" t="inlineStr">
        <is>
          <t>회원가입 STEP 1 진입 · 아직 아무것도 고르지 않은 상태</t>
        </is>
      </c>
      <c r="I17" s="10" t="inlineStr">
        <is>
          <t>1. 「다음」 버튼의 활성 여부를 확인
2. 「다음」을 눌러 진행을 시도
3. 유형 하나를 선택한 뒤 「다음」의 활성 여부를 다시 확인</t>
        </is>
      </c>
      <c r="J17" s="10" t="inlineStr">
        <is>
          <t>선택 전에는 「다음」이 비활성이라 진행되지 않고, 유형을 하나 선택하면 활성으로 바뀐다</t>
        </is>
      </c>
      <c r="K17" s="10" t="inlineStr"/>
      <c r="L17" s="10" t="inlineStr">
        <is>
          <t>UX 01-로그인-회원가입 3.7절 요소 6 · 3.10절</t>
        </is>
      </c>
      <c r="M17" s="10" t="inlineStr"/>
      <c r="N17" s="10" t="inlineStr"/>
    </row>
    <row r="18">
      <c r="A18" s="5" t="n">
        <v>17</v>
      </c>
      <c r="B18" s="10" t="inlineStr">
        <is>
          <t>TC-AUTH-04-04</t>
        </is>
      </c>
      <c r="C18" s="10" t="inlineStr">
        <is>
          <t>01-온보딩</t>
        </is>
      </c>
      <c r="D18" s="10" t="inlineStr">
        <is>
          <t>AUTH-04</t>
        </is>
      </c>
      <c r="E18" s="10" t="inlineStr">
        <is>
          <t>V-6 · AC-05</t>
        </is>
      </c>
      <c r="F18" s="5" t="inlineStr">
        <is>
          <t>접근성</t>
        </is>
      </c>
      <c r="G18" s="5" t="inlineStr">
        <is>
          <t>미실행</t>
        </is>
      </c>
      <c r="H18" s="10" t="inlineStr">
        <is>
          <t>스크린리더 켬 · 회원가입 STEP 1 진입 · 아직 아무것도 고르지 않은 상태</t>
        </is>
      </c>
      <c r="I18" s="10" t="inlineStr">
        <is>
          <t>1. 비활성 상태의 「다음」 버튼에 포커스
2. 낭독 문자열을 기록
3. 화면에 표시된 버튼 문구를 기록</t>
        </is>
      </c>
      <c r="J18" s="10" t="inlineStr">
        <is>
          <t>낭독이 사용할 수 없음과 함께 무엇을 골라야 하는지 사유까지 전달하고, 화면 표시 문구는 「다음」으로 고정돼 사유로 바뀌지 않는다</t>
        </is>
      </c>
      <c r="K18" s="10" t="inlineStr"/>
      <c r="L18" s="10" t="inlineStr">
        <is>
          <t>UX 01-로그인-회원가입 3.7절 요소 6 · 00-공통 7절</t>
        </is>
      </c>
      <c r="M18" s="10" t="inlineStr">
        <is>
          <t>사유 문안은 기획 초안이며 검수 전이다</t>
        </is>
      </c>
      <c r="N18" s="10" t="inlineStr"/>
    </row>
    <row r="19">
      <c r="A19" s="5" t="n">
        <v>18</v>
      </c>
      <c r="B19" s="10" t="inlineStr">
        <is>
          <t>TC-AUTH-04-05</t>
        </is>
      </c>
      <c r="C19" s="10" t="inlineStr">
        <is>
          <t>01-온보딩</t>
        </is>
      </c>
      <c r="D19" s="10" t="inlineStr">
        <is>
          <t>AUTH-04</t>
        </is>
      </c>
      <c r="E19" s="10" t="inlineStr">
        <is>
          <t>V-3</t>
        </is>
      </c>
      <c r="F19" s="5" t="inlineStr">
        <is>
          <t>접근성</t>
        </is>
      </c>
      <c r="G19" s="5" t="inlineStr">
        <is>
          <t>미실행</t>
        </is>
      </c>
      <c r="H19" s="10" t="inlineStr">
        <is>
          <t>회원가입 STEP 1 진입 · 그레이스케일 표시로 전환한 단말</t>
        </is>
      </c>
      <c r="I19" s="10" t="inlineStr">
        <is>
          <t>1. 유형 하나를 선택
2. 그레이스케일 상태에서 선택된 항목과 선택되지 않은 항목을 구별할 수 있는지 확인</t>
        </is>
      </c>
      <c r="J19" s="10" t="inlineStr">
        <is>
          <t>라디오 표시 형태로 선택 항목이 구별된다. 색만으로 선택 상태를 전달하지 않는다</t>
        </is>
      </c>
      <c r="K19" s="10" t="inlineStr"/>
      <c r="L19" s="10" t="inlineStr">
        <is>
          <t>UX 01-로그인-회원가입 3.7절 요소 4 · 3.9절</t>
        </is>
      </c>
      <c r="M19" s="10" t="inlineStr"/>
      <c r="N19" s="10" t="inlineStr"/>
    </row>
    <row r="20">
      <c r="A20" s="5" t="n">
        <v>19</v>
      </c>
      <c r="B20" s="10" t="inlineStr">
        <is>
          <t>TC-AUTH-04-06</t>
        </is>
      </c>
      <c r="C20" s="10" t="inlineStr">
        <is>
          <t>01-온보딩</t>
        </is>
      </c>
      <c r="D20" s="10" t="inlineStr">
        <is>
          <t>AUTH-04</t>
        </is>
      </c>
      <c r="E20" s="10" t="inlineStr">
        <is>
          <t>AC-05 · NFR-05</t>
        </is>
      </c>
      <c r="F20" s="5" t="inlineStr">
        <is>
          <t>접근성</t>
        </is>
      </c>
      <c r="G20" s="5" t="inlineStr">
        <is>
          <t>미실행</t>
        </is>
      </c>
      <c r="H20" s="10" t="inlineStr">
        <is>
          <t>스크린리더 켬 · 회원가입 STEP 1 진입</t>
        </is>
      </c>
      <c r="I20" s="10" t="inlineStr">
        <is>
          <t>1. 선택지 4행에 순서대로 포커스를 이동
2. 각 행의 낭독 문자열을 기록</t>
        </is>
      </c>
      <c r="J20" s="10" t="inlineStr">
        <is>
          <t>각 행이 라벨(부기 포함) + 라디오 버튼 + 선택 상태 순으로 낭독되고, 부기가 있는 3·4번은 부기까지 한 라벨로 읽힌다</t>
        </is>
      </c>
      <c r="K20" s="10" t="inlineStr"/>
      <c r="L20" s="10" t="inlineStr">
        <is>
          <t>UX 01-로그인-회원가입 3.7절 요소 4·5</t>
        </is>
      </c>
      <c r="M20" s="10" t="inlineStr"/>
      <c r="N20" s="10" t="inlineStr"/>
    </row>
    <row r="21">
      <c r="A21" s="5" t="n">
        <v>20</v>
      </c>
      <c r="B21" s="10" t="inlineStr">
        <is>
          <t>TC-AUTH-04-07</t>
        </is>
      </c>
      <c r="C21" s="10" t="inlineStr">
        <is>
          <t>01-온보딩</t>
        </is>
      </c>
      <c r="D21" s="10" t="inlineStr">
        <is>
          <t>AUTH-04</t>
        </is>
      </c>
      <c r="E21" s="10" t="inlineStr">
        <is>
          <t>AC-05</t>
        </is>
      </c>
      <c r="F21" s="5" t="inlineStr">
        <is>
          <t>접근성</t>
        </is>
      </c>
      <c r="G21" s="5" t="inlineStr">
        <is>
          <t>미실행</t>
        </is>
      </c>
      <c r="H21" s="10" t="inlineStr">
        <is>
          <t>스크린리더 켬 · 회원가입 STEP 1 진입</t>
        </is>
      </c>
      <c r="I21" s="10" t="inlineStr">
        <is>
          <t>1. 선택지 4행의 낭독 문자열을 모두 기록
2. 진단 여부를 되묻는 의문문 형태가 있는지 확인</t>
        </is>
      </c>
      <c r="J21" s="10" t="inlineStr">
        <is>
          <t>모든 행이 상태 기술 + 역할 형태로 낭독되고 진단을 확인하는 의문문으로 읽히는 행이 없다</t>
        </is>
      </c>
      <c r="K21" s="10" t="inlineStr"/>
      <c r="L21" s="10" t="inlineStr">
        <is>
          <t>UX 01-로그인-회원가입 3.3절 · 3.7절 요소 4 낭독 주의</t>
        </is>
      </c>
      <c r="M21" s="10" t="inlineStr"/>
      <c r="N21" s="10" t="inlineStr"/>
    </row>
    <row r="22">
      <c r="A22" s="5" t="n">
        <v>21</v>
      </c>
      <c r="B22" s="10" t="inlineStr">
        <is>
          <t>TC-AUTH-04-08</t>
        </is>
      </c>
      <c r="C22" s="10" t="inlineStr">
        <is>
          <t>01-온보딩</t>
        </is>
      </c>
      <c r="D22" s="10" t="inlineStr">
        <is>
          <t>AUTH-04</t>
        </is>
      </c>
      <c r="E22" s="10" t="inlineStr">
        <is>
          <t>SG-1 · V-1</t>
        </is>
      </c>
      <c r="F22" s="5" t="inlineStr">
        <is>
          <t>접근성</t>
        </is>
      </c>
      <c r="G22" s="5" t="inlineStr">
        <is>
          <t>미실행</t>
        </is>
      </c>
      <c r="H22" s="10" t="inlineStr">
        <is>
          <t>스크린리더 켬 · 회원가입 STEP 1 진입</t>
        </is>
      </c>
      <c r="I22" s="10" t="inlineStr">
        <is>
          <t>1. 화면에서 선택지가 시각적으로 묶여 보이는 단위를 기록
2. 스크린리더로 같은 구간을 통과하며 그룹 경계가 전달되는지 확인</t>
        </is>
      </c>
      <c r="J22" s="10" t="inlineStr">
        <is>
          <t>시각적으로 묶인 단위에 대응하는 그룹 구조가 스크린리더에도 존재한다. 시각 채널에만 있는 그루핑이 없다</t>
        </is>
      </c>
      <c r="K22" s="10" t="inlineStr"/>
      <c r="L22" s="10" t="inlineStr">
        <is>
          <t>PRD 2부 7.4 SG-1 · UX 01-로그인-회원가입 3.6절·3.9절</t>
        </is>
      </c>
      <c r="M22" s="10" t="inlineStr">
        <is>
          <t>그룹 라벨을 화면에 노출하지 않는 것은 허용된다. 스크린리더에 그룹이 존재하는지가 판정 기준이다</t>
        </is>
      </c>
      <c r="N22" s="10" t="inlineStr"/>
    </row>
    <row r="23">
      <c r="A23" s="5" t="n">
        <v>22</v>
      </c>
      <c r="B23" s="10" t="inlineStr">
        <is>
          <t>TC-AUTH-04-09</t>
        </is>
      </c>
      <c r="C23" s="10" t="inlineStr">
        <is>
          <t>01-온보딩</t>
        </is>
      </c>
      <c r="D23" s="10" t="inlineStr">
        <is>
          <t>AUTH-04</t>
        </is>
      </c>
      <c r="E23" s="10" t="inlineStr">
        <is>
          <t>SG-2</t>
        </is>
      </c>
      <c r="F23" s="5" t="inlineStr">
        <is>
          <t>기능</t>
        </is>
      </c>
      <c r="G23" s="5" t="inlineStr">
        <is>
          <t>미실행</t>
        </is>
      </c>
      <c r="H23" s="10" t="inlineStr">
        <is>
          <t>유형별로 온보딩을 4회 반복 수행할 수 있는 단말</t>
        </is>
      </c>
      <c r="I23" s="10" t="inlineStr">
        <is>
          <t>1. 1번 휠체어•유모차를 골라 온보딩을 끝내고 진입한 화면 세트를 기록
2. 앱 데이터를 지우고 2번 노약자•임산부로 반복
3. 같은 방식으로 3번 저시력, 4번 전맹으로 반복
4. 4회 결과의 화면 세트를 대조</t>
        </is>
      </c>
      <c r="J23" s="10" t="inlineStr">
        <is>
          <t>선택지는 4종이지만 화면 세트는 S1과 S2 두 벌뿐이다. 1·2·3번이 같은 S1 화면 세트이고 4번만 S2다</t>
        </is>
      </c>
      <c r="K23" s="10" t="inlineStr"/>
      <c r="L23" s="10" t="inlineStr">
        <is>
          <t>PRD 2부 7.4 SG-2 · UX 01-로그인-회원가입 3.2절 3분류 표</t>
        </is>
      </c>
      <c r="M23" s="10" t="inlineStr">
        <is>
          <t>선택지 수를 화면 세트 수로 읽는 것이 SG-2가 막는 실패 모드다</t>
        </is>
      </c>
      <c r="N23" s="10" t="inlineStr"/>
    </row>
    <row r="24">
      <c r="A24" s="5" t="n">
        <v>23</v>
      </c>
      <c r="B24" s="10" t="inlineStr">
        <is>
          <t>TC-AUTH-04-10</t>
        </is>
      </c>
      <c r="C24" s="10" t="inlineStr">
        <is>
          <t>01-온보딩</t>
        </is>
      </c>
      <c r="D24" s="10" t="inlineStr">
        <is>
          <t>AUTH-04</t>
        </is>
      </c>
      <c r="E24" s="10" t="inlineStr">
        <is>
          <t>SG-3 · AC-06 · T-4</t>
        </is>
      </c>
      <c r="F24" s="5" t="inlineStr">
        <is>
          <t>비기능</t>
        </is>
      </c>
      <c r="G24" s="5" t="inlineStr">
        <is>
          <t>미실행</t>
        </is>
      </c>
      <c r="H24" s="10" t="inlineStr">
        <is>
          <t>회원가입 STEP 1 진입</t>
        </is>
      </c>
      <c r="I24" s="10" t="inlineStr">
        <is>
          <t>1. 질문·선택지 목록·하단 버튼 묶음의 구분 수단을 기록
2. 시스템 글자 크기를 200%로 올린 뒤 같은 구간을 다시 확인</t>
        </is>
      </c>
      <c r="J24" s="10" t="inlineStr">
        <is>
          <t>묶음 구분이 구분선·면 대비 등 간격 외의 수단으로도 유지되고 200%에서 덩이가 뭉개지지 않는다</t>
        </is>
      </c>
      <c r="K24" s="10" t="inlineStr"/>
      <c r="L24" s="10" t="inlineStr">
        <is>
          <t>PRD 2부 7.4 SG-3 · UX 01-로그인-회원가입 3.6절</t>
        </is>
      </c>
      <c r="M24" s="10" t="inlineStr"/>
      <c r="N24" s="10" t="inlineStr"/>
    </row>
    <row r="25">
      <c r="A25" s="5" t="n">
        <v>24</v>
      </c>
      <c r="B25" s="10" t="inlineStr">
        <is>
          <t>TC-AUTH-04-11</t>
        </is>
      </c>
      <c r="C25" s="10" t="inlineStr">
        <is>
          <t>01-온보딩</t>
        </is>
      </c>
      <c r="D25" s="10" t="inlineStr">
        <is>
          <t>AUTH-04</t>
        </is>
      </c>
      <c r="E25" s="10" t="inlineStr">
        <is>
          <t>SG-4</t>
        </is>
      </c>
      <c r="F25" s="5" t="inlineStr">
        <is>
          <t>시나리오</t>
        </is>
      </c>
      <c r="G25" s="5" t="inlineStr">
        <is>
          <t>미실행</t>
        </is>
      </c>
      <c r="H25" s="10" t="inlineStr">
        <is>
          <t>3번 저시력으로 온보딩을 끝내고 로그인된 상태</t>
        </is>
      </c>
      <c r="I25" s="10" t="inlineStr">
        <is>
          <t>1. 마이페이지의 교통약자 유형 변경으로 진입
2. 선택지 구성을 최초 온보딩과 대조
3. 다른 유형으로 바꾼 뒤 저장 결과를 확인</t>
        </is>
      </c>
      <c r="J25" s="10" t="inlineStr">
        <is>
          <t>재선택 경로에서 최초와 같은 4종이 제공되고 유형을 바꿀 수 있다. 최초 선택이 사용자를 한 분류에 고정하지 않는다</t>
        </is>
      </c>
      <c r="K25" s="10" t="inlineStr"/>
      <c r="L25" s="10" t="inlineStr">
        <is>
          <t>PRD 2부 7.4 SG-4 · UX 01-로그인-회원가입 3.1절 재선택 조항</t>
        </is>
      </c>
      <c r="M25" s="10" t="inlineStr">
        <is>
          <t>중복 장애 사용자 대응은 복수 선택이 아니라 이 사후 변경 경로가 담당한다</t>
        </is>
      </c>
      <c r="N25" s="10" t="inlineStr"/>
    </row>
    <row r="26">
      <c r="A26" s="5" t="n">
        <v>25</v>
      </c>
      <c r="B26" s="10" t="inlineStr">
        <is>
          <t>TC-AUTH-04-12</t>
        </is>
      </c>
      <c r="C26" s="10" t="inlineStr">
        <is>
          <t>01-온보딩</t>
        </is>
      </c>
      <c r="D26" s="10" t="inlineStr">
        <is>
          <t>AUTH-04</t>
        </is>
      </c>
      <c r="E26" s="10" t="inlineStr">
        <is>
          <t>SG-6</t>
        </is>
      </c>
      <c r="F26" s="5" t="inlineStr">
        <is>
          <t>시나리오</t>
        </is>
      </c>
      <c r="G26" s="5" t="inlineStr">
        <is>
          <t>미실행</t>
        </is>
      </c>
      <c r="H26" s="10" t="inlineStr">
        <is>
          <t>1번 휠체어•유모차로 온보딩을 끝낸 상태</t>
        </is>
      </c>
      <c r="I26" s="10" t="inlineStr">
        <is>
          <t>1. 마이페이지에서 글자 크기를 확대로 바꿈
2. 교통약자 유형이 1번 그대로인지 확인
3. 유형을 3번 저시력으로 바꾼 뒤 글자 크기 설정값이 유지되는지 확인</t>
        </is>
      </c>
      <c r="J26" s="10" t="inlineStr">
        <is>
          <t>이동 축(유형)과 시각 축(글자 크기)이 서로를 덮어쓰지 않고 각각 독립으로 유지된다</t>
        </is>
      </c>
      <c r="K26" s="10" t="inlineStr"/>
      <c r="L26" s="10" t="inlineStr">
        <is>
          <t>PRD 2부 7.4 SG-6</t>
        </is>
      </c>
      <c r="M26" s="10" t="inlineStr"/>
      <c r="N26" s="10" t="inlineStr"/>
    </row>
    <row r="27">
      <c r="A27" s="5" t="n">
        <v>26</v>
      </c>
      <c r="B27" s="10" t="inlineStr">
        <is>
          <t>TC-AUTH-04-13</t>
        </is>
      </c>
      <c r="C27" s="10" t="inlineStr">
        <is>
          <t>01-온보딩</t>
        </is>
      </c>
      <c r="D27" s="10" t="inlineStr">
        <is>
          <t>AUTH-04</t>
        </is>
      </c>
      <c r="E27" s="10" t="inlineStr">
        <is>
          <t>SG-7</t>
        </is>
      </c>
      <c r="F27" s="5" t="inlineStr">
        <is>
          <t>시나리오</t>
        </is>
      </c>
      <c r="G27" s="5" t="inlineStr">
        <is>
          <t>미실행</t>
        </is>
      </c>
      <c r="H27" s="10" t="inlineStr">
        <is>
          <t>1번 휠체어•유모차와 2번 노약자•임산부로 각각 온보딩을 끝낸 단말 2대 또는 초기화 2회</t>
        </is>
      </c>
      <c r="I27" s="10" t="inlineStr">
        <is>
          <t>1. 두 경우의 온보딩 직후 홈 화면 구성을 나란히 기록
2. 두 화면의 요소 종류·개수·배치를 대조</t>
        </is>
      </c>
      <c r="J27" s="10" t="inlineStr">
        <is>
          <t>이동 축이 갈려도 화면 세트는 같다. 유형에 따라 별도 화면 벌이 추가되지 않는다</t>
        </is>
      </c>
      <c r="K27" s="10" t="inlineStr"/>
      <c r="L27" s="10" t="inlineStr">
        <is>
          <t>PRD 2부 7.4 SG-7 · PRD 1부 1.3 선택 UI 4개·구현 2축</t>
        </is>
      </c>
      <c r="M27" s="10" t="inlineStr">
        <is>
          <t>이동 축이 갈리는 자리는 경로 산출·동선·안내 문안이며 그 검증은 길안내 화면 TC가 진다</t>
        </is>
      </c>
      <c r="N27" s="10" t="inlineStr"/>
    </row>
    <row r="28">
      <c r="A28" s="5" t="n">
        <v>27</v>
      </c>
      <c r="B28" s="10" t="inlineStr">
        <is>
          <t>TC-AUTH-04-14</t>
        </is>
      </c>
      <c r="C28" s="10" t="inlineStr">
        <is>
          <t>01-온보딩</t>
        </is>
      </c>
      <c r="D28" s="10" t="inlineStr">
        <is>
          <t>AUTH-04</t>
        </is>
      </c>
      <c r="E28" s="10" t="inlineStr">
        <is>
          <t>V-11</t>
        </is>
      </c>
      <c r="F28" s="5" t="inlineStr">
        <is>
          <t>기능</t>
        </is>
      </c>
      <c r="G28" s="5" t="inlineStr">
        <is>
          <t>미실행</t>
        </is>
      </c>
      <c r="H28" s="10" t="inlineStr">
        <is>
          <t>회원가입 STEP 1 진입</t>
        </is>
      </c>
      <c r="I28" s="10" t="inlineStr">
        <is>
          <t>1. 3번 저시력을 선택하고 「다음」을 누름
2. 온보딩을 끝내고 홈에 진입해 본문 글자 크기 상태를 확인
3. 마이페이지에서 글자 크기 조절 지점이 있는지 확인</t>
        </is>
      </c>
      <c r="J28" s="10" t="inlineStr">
        <is>
          <t>글자 크기 초기값이 확대로 적용되고, 조절 지점은 마이페이지에 그대로 있다. 이 선택지가 조절 지점을 대체하지 않는다</t>
        </is>
      </c>
      <c r="K28" s="10" t="inlineStr"/>
      <c r="L28" s="10" t="inlineStr">
        <is>
          <t>UX 01-로그인-회원가입 3.2절·3.4절 · PRD 1부 1.3 유형 표 3번</t>
        </is>
      </c>
      <c r="M28" s="10" t="inlineStr"/>
      <c r="N28" s="10" t="inlineStr"/>
    </row>
    <row r="29">
      <c r="A29" s="5" t="n">
        <v>28</v>
      </c>
      <c r="B29" s="10" t="inlineStr">
        <is>
          <t>TC-AUTH-04-15</t>
        </is>
      </c>
      <c r="C29" s="10" t="inlineStr">
        <is>
          <t>01-온보딩</t>
        </is>
      </c>
      <c r="D29" s="10" t="inlineStr">
        <is>
          <t>AUTH-04</t>
        </is>
      </c>
      <c r="E29" s="10" t="inlineStr">
        <is>
          <t>V-11</t>
        </is>
      </c>
      <c r="F29" s="5" t="inlineStr">
        <is>
          <t>기능</t>
        </is>
      </c>
      <c r="G29" s="5" t="inlineStr">
        <is>
          <t>미실행</t>
        </is>
      </c>
      <c r="H29" s="10" t="inlineStr">
        <is>
          <t>회원가입 STEP 1 진입</t>
        </is>
      </c>
      <c r="I29" s="10" t="inlineStr">
        <is>
          <t>1. 4번 전맹을 선택
2. 「다음」을 누름
3. 다음에 표시되는 단계를 기록</t>
        </is>
      </c>
      <c r="J29" s="10" t="inlineStr">
        <is>
          <t>닉네임 입력 단계를 건너뛰고 남은 단계로 이동한다. 중간에 별도의 음성 안내 전용 단계가 삽입되지 않는다</t>
        </is>
      </c>
      <c r="K29" s="10" t="inlineStr"/>
      <c r="L29" s="10" t="inlineStr">
        <is>
          <t>UX 01-로그인-회원가입 1절 STEP 표 · 3.5절 이탈</t>
        </is>
      </c>
      <c r="M29" s="10" t="inlineStr"/>
      <c r="N29" s="10" t="inlineStr"/>
    </row>
    <row r="30">
      <c r="A30" s="5" t="n">
        <v>29</v>
      </c>
      <c r="B30" s="10" t="inlineStr">
        <is>
          <t>TC-AUTH-04-16</t>
        </is>
      </c>
      <c r="C30" s="10" t="inlineStr">
        <is>
          <t>01-온보딩</t>
        </is>
      </c>
      <c r="D30" s="10" t="inlineStr">
        <is>
          <t>AUTH-04</t>
        </is>
      </c>
      <c r="E30" s="10" t="inlineStr">
        <is>
          <t>AC-05 · V-6</t>
        </is>
      </c>
      <c r="F30" s="5" t="inlineStr">
        <is>
          <t>접근성</t>
        </is>
      </c>
      <c r="G30" s="12" t="inlineStr">
        <is>
          <t>보류</t>
        </is>
      </c>
      <c r="H30" s="10" t="inlineStr">
        <is>
          <t>스크린리더 켬 · 회원가입 STEP 1 진입</t>
        </is>
      </c>
      <c r="I30" s="10" t="inlineStr">
        <is>
          <t>1. 4번 전맹에 포커스해 낭독을 기록
2. 4번을 선택한 뒤 낭독을 기록</t>
        </is>
      </c>
      <c r="J30" s="10" t="inlineStr">
        <is>
          <t>사양이 갈린다. UX 3.7절은 전맹 선택 시 다음 단계가 음성 안내로 바뀐다는 예고를 낭독할지를 ⬜ 미확정으로 두면서 「화면 성격이 바뀌는 전환이므로 예고하는 쪽이 안전하다」고만 적고 문안을 작성하지 않았다. 예고 낭독의 유무·문안이 정해질 때까지 합불을 가를 수 없다</t>
        </is>
      </c>
      <c r="K30" s="10" t="inlineStr"/>
      <c r="L30" s="10" t="inlineStr">
        <is>
          <t>UX 01-로그인-회원가입 3.7절 요소 5 · 3.11절 미확정</t>
        </is>
      </c>
      <c r="M30" s="10" t="inlineStr">
        <is>
          <t>U-116 문안 미작성 — 기획 소관. 문안이 확정되면 낭독 유무와 문자열을 판정 기준으로 바꾼다</t>
        </is>
      </c>
      <c r="N30" s="10" t="inlineStr"/>
    </row>
    <row r="31">
      <c r="A31" s="5" t="n">
        <v>30</v>
      </c>
      <c r="B31" s="10" t="inlineStr">
        <is>
          <t>TC-AUTH-04-17</t>
        </is>
      </c>
      <c r="C31" s="10" t="inlineStr">
        <is>
          <t>01-온보딩</t>
        </is>
      </c>
      <c r="D31" s="10" t="inlineStr">
        <is>
          <t>AUTH-04</t>
        </is>
      </c>
      <c r="E31" s="10" t="inlineStr">
        <is>
          <t>NFR-04 · V-6</t>
        </is>
      </c>
      <c r="F31" s="5" t="inlineStr">
        <is>
          <t>기능</t>
        </is>
      </c>
      <c r="G31" s="12" t="inlineStr">
        <is>
          <t>보류</t>
        </is>
      </c>
      <c r="H31" s="10" t="inlineStr">
        <is>
          <t>3번 저시력으로 온보딩을 끝낸 상태 · 마이페이지의 교통약자 유형 변경 진입</t>
        </is>
      </c>
      <c r="I31" s="10" t="inlineStr">
        <is>
          <t>1. 4번 전맹으로 바꿈
2. 확인 단계가 뜨는지와 몇 단계인지 기록
3. 확인 문안과 낭독을 기록</t>
        </is>
      </c>
      <c r="J31" s="10" t="inlineStr">
        <is>
          <t>사양이 갈린다. UX 3.10절은 전맹 선택·해제에 확인 단계를 둔다고 요건화했으나 확인 문안·단계 수·낭독 문안이 ⬜ 미작성이다. 확인 단계의 존재만으로는 합불을 가를 수 없다</t>
        </is>
      </c>
      <c r="K31" s="10" t="inlineStr"/>
      <c r="L31" s="10" t="inlineStr">
        <is>
          <t>UX 01-로그인-회원가입 3.10절 「재선택으로 스킨이 바뀜」</t>
        </is>
      </c>
      <c r="M31" s="10" t="inlineStr">
        <is>
          <t>확인 단계를 두는 것 자체는 확정이다. 미확정은 문안·단계 수이며 기획 소관</t>
        </is>
      </c>
      <c r="N31" s="10" t="inlineStr"/>
    </row>
    <row r="32">
      <c r="A32" s="5" t="n">
        <v>31</v>
      </c>
      <c r="B32" s="10" t="inlineStr">
        <is>
          <t>TC-AUTH-04-18</t>
        </is>
      </c>
      <c r="C32" s="10" t="inlineStr">
        <is>
          <t>01-온보딩</t>
        </is>
      </c>
      <c r="D32" s="10" t="inlineStr">
        <is>
          <t>AUTH-04</t>
        </is>
      </c>
      <c r="E32" s="10" t="inlineStr">
        <is>
          <t>V-6</t>
        </is>
      </c>
      <c r="F32" s="5" t="inlineStr">
        <is>
          <t>기능</t>
        </is>
      </c>
      <c r="G32" s="5" t="inlineStr">
        <is>
          <t>미실행</t>
        </is>
      </c>
      <c r="H32" s="10" t="inlineStr">
        <is>
          <t>회원가입 STEP 1 진입 · 통신을 끊을 수 있는 환경</t>
        </is>
      </c>
      <c r="I32" s="10" t="inlineStr">
        <is>
          <t>1. 유형 하나를 선택
2. 통신을 끊은 상태에서 「다음」을 누름
3. 선택값이 유지되는지 확인
4. 통신을 복구한 뒤 계정에 동기화되는지 확인</t>
        </is>
      </c>
      <c r="J32" s="10" t="inlineStr">
        <is>
          <t>통신이 끊겨도 선택이 로컬에 유지되고 복구 시 계정에 동기화된다. 선택이 사라진 것처럼 보이지 않는다</t>
        </is>
      </c>
      <c r="K32" s="10" t="inlineStr"/>
      <c r="L32" s="10" t="inlineStr">
        <is>
          <t>UX 01-로그인-회원가입 3.10절 「저장 실패(통신 두절)」</t>
        </is>
      </c>
      <c r="M32" s="10" t="inlineStr"/>
      <c r="N32" s="10" t="inlineStr"/>
    </row>
    <row r="33">
      <c r="A33" s="5" t="n">
        <v>32</v>
      </c>
      <c r="B33" s="10" t="inlineStr">
        <is>
          <t>TC-AUTH-04-19</t>
        </is>
      </c>
      <c r="C33" s="10" t="inlineStr">
        <is>
          <t>01-온보딩</t>
        </is>
      </c>
      <c r="D33" s="10" t="inlineStr">
        <is>
          <t>AUTH-04</t>
        </is>
      </c>
      <c r="E33" s="10" t="inlineStr">
        <is>
          <t>NFR-04</t>
        </is>
      </c>
      <c r="F33" s="5" t="inlineStr">
        <is>
          <t>기능</t>
        </is>
      </c>
      <c r="G33" s="12" t="inlineStr">
        <is>
          <t>보류</t>
        </is>
      </c>
      <c r="H33" s="10" t="inlineStr">
        <is>
          <t>회원가입 STEP 1 진입 · 아직 아무것도 고르지 않은 상태</t>
        </is>
      </c>
      <c r="I33" s="10" t="inlineStr">
        <is>
          <t>1. 「이전으로」를 누름
2. 도착한 화면을 기록
3. 다시 STEP 1로 돌아와 진행 상태가 남아 있는지 확인</t>
        </is>
      </c>
      <c r="J33" s="10" t="inlineStr">
        <is>
          <t>사양이 갈린다. UX 3.10절이 온보딩 첫 단계에서 「이전으로」의 목적지와 그때 진행 상태가 남는지를 ⬜ 미확정(U-66)으로 두고 있어 도착 화면·상태 보존 여부의 합불을 가를 수 없다</t>
        </is>
      </c>
      <c r="K33" s="10" t="inlineStr"/>
      <c r="L33" s="10" t="inlineStr">
        <is>
          <t>UX 01-로그인-회원가입 3.10절 「선택하지 않고 뒤로 나감」</t>
        </is>
      </c>
      <c r="M33" s="10" t="inlineStr">
        <is>
          <t>U-66 — 기획 소관</t>
        </is>
      </c>
      <c r="N33" s="10" t="inlineStr"/>
    </row>
    <row r="34">
      <c r="A34" s="5" t="n">
        <v>33</v>
      </c>
      <c r="B34" s="10" t="inlineStr">
        <is>
          <t>TC-AUTH-04-20</t>
        </is>
      </c>
      <c r="C34" s="10" t="inlineStr">
        <is>
          <t>01-온보딩</t>
        </is>
      </c>
      <c r="D34" s="10" t="inlineStr">
        <is>
          <t>AUTH-04</t>
        </is>
      </c>
      <c r="E34" s="10" t="inlineStr">
        <is>
          <t>NFR-02 · S-1 · S-2</t>
        </is>
      </c>
      <c r="F34" s="5" t="inlineStr">
        <is>
          <t>비기능</t>
        </is>
      </c>
      <c r="G34" s="5" t="inlineStr">
        <is>
          <t>미실행</t>
        </is>
      </c>
      <c r="H34" s="10" t="inlineStr">
        <is>
          <t>회원가입 STEP 1 진입 · 측정 도구 준비</t>
        </is>
      </c>
      <c r="I34" s="10" t="inlineStr">
        <is>
          <t>1. 선택지 4행 각각의 히트 영역을 측정
2. 인접한 행 사이 간격과 하단 두 버튼 사이 간격을 측정</t>
        </is>
      </c>
      <c r="J34" s="10" t="inlineStr">
        <is>
          <t>선택지 행과 하단 버튼의 히트 영역이 44×44pt 이상이고 인접 간격이 8px 이상이다</t>
        </is>
      </c>
      <c r="K34" s="10" t="inlineStr"/>
      <c r="L34" s="10" t="inlineStr">
        <is>
          <t>UX 01-로그인-회원가입 3.9절 · PRD 2부 7.8 S-1·S-2</t>
        </is>
      </c>
      <c r="M34" s="10" t="inlineStr"/>
      <c r="N34" s="10" t="inlineStr"/>
    </row>
    <row r="35">
      <c r="A35" s="5" t="n">
        <v>34</v>
      </c>
      <c r="B35" s="10" t="inlineStr">
        <is>
          <t>TC-AUTH-04-21</t>
        </is>
      </c>
      <c r="C35" s="10" t="inlineStr">
        <is>
          <t>01-온보딩</t>
        </is>
      </c>
      <c r="D35" s="10" t="inlineStr">
        <is>
          <t>AUTH-04</t>
        </is>
      </c>
      <c r="E35" s="10" t="inlineStr">
        <is>
          <t>NFR-04 · AC-05</t>
        </is>
      </c>
      <c r="F35" s="5" t="inlineStr">
        <is>
          <t>접근성</t>
        </is>
      </c>
      <c r="G35" s="5" t="inlineStr">
        <is>
          <t>미실행</t>
        </is>
      </c>
      <c r="H35" s="10" t="inlineStr">
        <is>
          <t>스크린리더 켬 · 회원가입 STEP 1 진입 · 포인팅 없이 포커스 이동만 사용</t>
        </is>
      </c>
      <c r="I35" s="10" t="inlineStr">
        <is>
          <t>1. 화면 첫 요소부터 마지막 요소까지 포커스를 순서대로 이동해 순서를 기록
2. 포커스 상태에서 누르기만으로 유형 선택과 「다음」 진행을 수행</t>
        </is>
      </c>
      <c r="J35" s="10" t="inlineStr">
        <is>
          <t>제목 → 스텝 인디케이터 → 질문 → 선택지 4행 → 「다음」 → 「이전으로」 순으로 포커스가 이동하고, 누르기만으로 선택과 진행이 모두 가능하다</t>
        </is>
      </c>
      <c r="K35" s="10" t="inlineStr"/>
      <c r="L35" s="10" t="inlineStr">
        <is>
          <t>UX 01-로그인-회원가입 3.6절·3.7절 · 00-공통 5절</t>
        </is>
      </c>
      <c r="M35" s="10" t="inlineStr"/>
      <c r="N35" s="10" t="inlineStr"/>
    </row>
    <row r="36">
      <c r="A36" s="5" t="n">
        <v>35</v>
      </c>
      <c r="B36" s="10" t="inlineStr">
        <is>
          <t>TC-AUTH-04-22</t>
        </is>
      </c>
      <c r="C36" s="10" t="inlineStr">
        <is>
          <t>01-온보딩</t>
        </is>
      </c>
      <c r="D36" s="10" t="inlineStr">
        <is>
          <t>AUTH-04</t>
        </is>
      </c>
      <c r="E36" s="10" t="inlineStr">
        <is>
          <t>AC-06 · T-4</t>
        </is>
      </c>
      <c r="F36" s="5" t="inlineStr">
        <is>
          <t>비기능</t>
        </is>
      </c>
      <c r="G36" s="5" t="inlineStr">
        <is>
          <t>미실행</t>
        </is>
      </c>
      <c r="H36" s="10" t="inlineStr">
        <is>
          <t>4번 전맹으로 온보딩을 끝낸 상태(S2) · 시스템 글자 크기 200%</t>
        </is>
      </c>
      <c r="I36" s="10" t="inlineStr">
        <is>
          <t>1. 마이페이지에서 글자 크기 조절 단이 제공되는지 확인
2. 시스템 글자 크기 200% 상태에서 화면 텍스트 크기와 레이아웃을 확인</t>
        </is>
      </c>
      <c r="J36" s="10" t="inlineStr">
        <is>
          <t>전맹에는 앱의 글자 크기 조절 단이 없고, 그럼에도 시스템 배율 200%가 그대로 적용되며 레이아웃이 깨지지 않는다</t>
        </is>
      </c>
      <c r="K36" s="10" t="inlineStr"/>
      <c r="L36" s="10" t="inlineStr">
        <is>
          <t>UX 01-로그인-회원가입 3.2절·3.4절 · PRD 2부 7.3 T-4</t>
        </is>
      </c>
      <c r="M36" s="10" t="inlineStr">
        <is>
          <t>앱 크기 축이 없는 것과 시스템 배율이 적용되지 않는 것은 다르다</t>
        </is>
      </c>
      <c r="N36" s="10" t="inlineStr"/>
    </row>
    <row r="37">
      <c r="A37" s="5" t="n">
        <v>36</v>
      </c>
      <c r="B37" s="10" t="inlineStr">
        <is>
          <t>TC-AUTH-03-01</t>
        </is>
      </c>
      <c r="C37" s="10" t="inlineStr">
        <is>
          <t>01-온보딩</t>
        </is>
      </c>
      <c r="D37" s="10" t="inlineStr">
        <is>
          <t>AUTH-03</t>
        </is>
      </c>
      <c r="E37" s="10" t="inlineStr">
        <is>
          <t>V-1</t>
        </is>
      </c>
      <c r="F37" s="5" t="inlineStr">
        <is>
          <t>기능</t>
        </is>
      </c>
      <c r="G37" s="5" t="inlineStr">
        <is>
          <t>미실행</t>
        </is>
      </c>
      <c r="H37" s="10" t="inlineStr">
        <is>
          <t>로그인 화면에서 회원가입을 선택</t>
        </is>
      </c>
      <c r="I37" s="10" t="inlineStr">
        <is>
          <t>1. STEP 1부터 완료까지 진행하며 거치는 단계를 기록
2. 마지막 단계의 완료 버튼 문구를 기록</t>
        </is>
      </c>
      <c r="J37" s="10" t="inlineStr">
        <is>
          <t>회원가입이 교통약자 유형 → 닉네임 → 약관 동의 3단계이고 마지막 단계 버튼이 「시작하기」다</t>
        </is>
      </c>
      <c r="K37" s="10" t="inlineStr"/>
      <c r="L37" s="10" t="inlineStr">
        <is>
          <t>UX 01-로그인-회원가입 1절 전체 흐름·STEP 표</t>
        </is>
      </c>
      <c r="M37" s="10" t="inlineStr"/>
      <c r="N37" s="10" t="inlineStr"/>
    </row>
    <row r="38">
      <c r="A38" s="5" t="n">
        <v>37</v>
      </c>
      <c r="B38" s="10" t="inlineStr">
        <is>
          <t>TC-AUTH-03-02</t>
        </is>
      </c>
      <c r="C38" s="10" t="inlineStr">
        <is>
          <t>01-온보딩</t>
        </is>
      </c>
      <c r="D38" s="10" t="inlineStr">
        <is>
          <t>AUTH-03 · AUTH-04</t>
        </is>
      </c>
      <c r="E38" s="10" t="inlineStr">
        <is>
          <t>V-13</t>
        </is>
      </c>
      <c r="F38" s="5" t="inlineStr">
        <is>
          <t>기능</t>
        </is>
      </c>
      <c r="G38" s="5" t="inlineStr">
        <is>
          <t>미실행</t>
        </is>
      </c>
      <c r="H38" s="10" t="inlineStr">
        <is>
          <t>앱 데이터가 없는 단말 · 로그인 화면에서 「비회원으로 시작하기」를 누름</t>
        </is>
      </c>
      <c r="I38" s="10" t="inlineStr">
        <is>
          <t>1. 상단 제목 문자열을 기록
2. 스텝 인디케이터의 유무를 확인
3. 하단 완료 버튼 문구를 기록
4. 완료 후 도착 화면을 기록</t>
        </is>
      </c>
      <c r="J38" s="10" t="inlineStr">
        <is>
          <t>제목이 「정보 입력」이고 스텝 인디케이터가 없으며 완료 버튼이 「시작하기」이고, 누르면 홈으로 진입한다</t>
        </is>
      </c>
      <c r="K38" s="10" t="inlineStr"/>
      <c r="L38" s="10" t="inlineStr">
        <is>
          <t>UX 01-로그인-회원가입 1절 · 2.8절 「비회원 선택」 · 3.7절 요소 1·2</t>
        </is>
      </c>
      <c r="M38" s="10" t="inlineStr">
        <is>
          <t>U-61 — 비회원 진입 화면에 별도 화면 ID를 줄지 미확정이다. 부여되면 이 TC의 화면 키를 이관한다</t>
        </is>
      </c>
      <c r="N38" s="10" t="inlineStr"/>
    </row>
    <row r="39">
      <c r="A39" s="5" t="n">
        <v>38</v>
      </c>
      <c r="B39" s="10" t="inlineStr">
        <is>
          <t>TC-AUTH-03-03</t>
        </is>
      </c>
      <c r="C39" s="10" t="inlineStr">
        <is>
          <t>01-온보딩</t>
        </is>
      </c>
      <c r="D39" s="10" t="inlineStr">
        <is>
          <t>AUTH-03 · AUTH-04</t>
        </is>
      </c>
      <c r="E39" s="10" t="inlineStr">
        <is>
          <t>V-13 · V-14</t>
        </is>
      </c>
      <c r="F39" s="5" t="inlineStr">
        <is>
          <t>기능</t>
        </is>
      </c>
      <c r="G39" s="5" t="inlineStr">
        <is>
          <t>미실행</t>
        </is>
      </c>
      <c r="H39" s="10" t="inlineStr">
        <is>
          <t>로그인 화면에서 「비회원으로 시작하기」를 누름</t>
        </is>
      </c>
      <c r="I39" s="10" t="inlineStr">
        <is>
          <t>1. 교통약자 유형을 하나 선택하고 「시작하기」를 누름
2. 닉네임 입력 단계와 약관 동의 단계가 나타나는지 확인
3. 홈 진입 후 닉네임 표기를 확인</t>
        </is>
      </c>
      <c r="J39" s="10" t="inlineStr">
        <is>
          <t>비회원은 교통약자 유형만 받고 닉네임 입력·약관 동의 단계에 도달하지 않으며 닉네임이 시스템에서 자동 부여돼 있다</t>
        </is>
      </c>
      <c r="K39" s="10" t="inlineStr"/>
      <c r="L39" s="10" t="inlineStr">
        <is>
          <t>UX 01-로그인-회원가입 1절 STEP 표 · 5.1절·5.2절 · PRD 2부 7.4 V-13</t>
        </is>
      </c>
      <c r="M39" s="10" t="inlineStr"/>
      <c r="N39" s="10" t="inlineStr"/>
    </row>
    <row r="40">
      <c r="A40" s="5" t="n">
        <v>39</v>
      </c>
      <c r="B40" s="10" t="inlineStr">
        <is>
          <t>TC-AUTH-03-04</t>
        </is>
      </c>
      <c r="C40" s="10" t="inlineStr">
        <is>
          <t>01-온보딩</t>
        </is>
      </c>
      <c r="D40" s="10" t="inlineStr">
        <is>
          <t>AUTH-03</t>
        </is>
      </c>
      <c r="E40" s="10" t="inlineStr">
        <is>
          <t>V-13</t>
        </is>
      </c>
      <c r="F40" s="5" t="inlineStr">
        <is>
          <t>기능</t>
        </is>
      </c>
      <c r="G40" s="12" t="inlineStr">
        <is>
          <t>보류</t>
        </is>
      </c>
      <c r="H40" s="10" t="inlineStr">
        <is>
          <t>비회원으로 시작하는 흐름 진입</t>
        </is>
      </c>
      <c r="I40" s="10" t="inlineStr">
        <is>
          <t>1. 비회원 흐름 전체에서 위치기반 서비스 약관 동의를 받는 지점이 있는지 확인
2. 약관 3종의 열람 경로가 제공되는지 확인</t>
        </is>
      </c>
      <c r="J40" s="10" t="inlineStr">
        <is>
          <t>사양이 갈린다. 현행 UX·PRD는 비회원에게 약관 동의를 받지 않는 것으로 확정돼 있으나, 비회원 위치기반 약관 동의의 법령 근거가 열린 미결(PM → 법무·발주처)이고 결과가 반대면 비회원 전용 약관 1종이 추가된다. 동의 지점의 유무를 지금 합불로 가를 수 없다</t>
        </is>
      </c>
      <c r="K40" s="10" t="inlineStr"/>
      <c r="L40" s="10" t="inlineStr">
        <is>
          <t>UX 01-로그인-회원가입 2.6절 입력 · 5.6절 입력</t>
        </is>
      </c>
      <c r="M40" s="10" t="inlineStr">
        <is>
          <t>동의를 받지 않는 것과 문서를 감추는 것은 다르다 — 약관 열람 경로는 비회원에게도 제공된다. 그 부분은 확정 사양이다</t>
        </is>
      </c>
      <c r="N40" s="10" t="inlineStr"/>
    </row>
    <row r="41">
      <c r="A41" s="5" t="n">
        <v>40</v>
      </c>
      <c r="B41" s="10" t="inlineStr">
        <is>
          <t>TC-AUTH-03-05</t>
        </is>
      </c>
      <c r="C41" s="10" t="inlineStr">
        <is>
          <t>01-온보딩</t>
        </is>
      </c>
      <c r="D41" s="10" t="inlineStr">
        <is>
          <t>AUTH-03</t>
        </is>
      </c>
      <c r="E41" s="10" t="inlineStr">
        <is>
          <t>NFR-05</t>
        </is>
      </c>
      <c r="F41" s="5" t="inlineStr">
        <is>
          <t>접근성</t>
        </is>
      </c>
      <c r="G41" s="5" t="inlineStr">
        <is>
          <t>미실행</t>
        </is>
      </c>
      <c r="H41" s="10" t="inlineStr">
        <is>
          <t>스크린리더 켬 · 회원가입 STEP 2 진입</t>
        </is>
      </c>
      <c r="I41" s="10" t="inlineStr">
        <is>
          <t>1. 닉네임 입력란에 포커스해 낭독을 기록
2. 문자를 입력한 뒤 라벨 근거가 남아 있는지 확인</t>
        </is>
      </c>
      <c r="J41" s="10" t="inlineStr">
        <is>
          <t>입력란이 "닉네임, 입력란"처럼 라벨과 함께 낭독되고, 값을 입력해도 라벨 근거가 사라지지 않는다. 라벨을 placeholder로만 제공하지 않는다</t>
        </is>
      </c>
      <c r="K41" s="10" t="inlineStr"/>
      <c r="L41" s="10" t="inlineStr">
        <is>
          <t>00-공통 1절 입력 필드 공통 요건 · UX 01-로그인-회원가입 4.3절 요소 4</t>
        </is>
      </c>
      <c r="M41" s="10" t="inlineStr"/>
      <c r="N41" s="10" t="inlineStr"/>
    </row>
    <row r="42">
      <c r="A42" s="5" t="n">
        <v>41</v>
      </c>
      <c r="B42" s="10" t="inlineStr">
        <is>
          <t>TC-AUTH-03-06</t>
        </is>
      </c>
      <c r="C42" s="10" t="inlineStr">
        <is>
          <t>01-온보딩</t>
        </is>
      </c>
      <c r="D42" s="10" t="inlineStr">
        <is>
          <t>AUTH-03</t>
        </is>
      </c>
      <c r="E42" s="10" t="inlineStr">
        <is>
          <t>V-6</t>
        </is>
      </c>
      <c r="F42" s="5" t="inlineStr">
        <is>
          <t>기능</t>
        </is>
      </c>
      <c r="G42" s="5" t="inlineStr">
        <is>
          <t>미실행</t>
        </is>
      </c>
      <c r="H42" s="10" t="inlineStr">
        <is>
          <t>회원가입 STEP 2 진입</t>
        </is>
      </c>
      <c r="I42" s="10" t="inlineStr">
        <is>
          <t>1. 닉네임 입력란에 특수기호를 입력 시도
2. 숫자와 이모지를 차례로 입력 시도
3. 한글 8글자를 채운 뒤 9번째 글자를 입력 시도
4. 입력란의 값과 글자 수를 확인</t>
        </is>
      </c>
      <c r="J42" s="10" t="inlineStr">
        <is>
          <t>특수기호·숫자·이모지가 입력란에 들어가지 않고 8글자를 넘으면 더 이상 입력되지 않는다. 입력된 뒤 오류로 알리는 방식이 아니다</t>
        </is>
      </c>
      <c r="K42" s="10" t="inlineStr"/>
      <c r="L42" s="10" t="inlineStr">
        <is>
          <t>UX 01-로그인-회원가입 4.3절 요소 4 · 4.4절</t>
        </is>
      </c>
      <c r="M42" s="10" t="inlineStr">
        <is>
          <t>입력이 막히는 것을 침묵으로 넘기지 않는다는 요건은 TC-AUTH-03-07이 진다</t>
        </is>
      </c>
      <c r="N42" s="10" t="inlineStr"/>
    </row>
    <row r="43">
      <c r="A43" s="5" t="n">
        <v>42</v>
      </c>
      <c r="B43" s="10" t="inlineStr">
        <is>
          <t>TC-AUTH-03-07</t>
        </is>
      </c>
      <c r="C43" s="10" t="inlineStr">
        <is>
          <t>01-온보딩</t>
        </is>
      </c>
      <c r="D43" s="10" t="inlineStr">
        <is>
          <t>AUTH-03</t>
        </is>
      </c>
      <c r="E43" s="10" t="inlineStr">
        <is>
          <t>V-6 · AC-05</t>
        </is>
      </c>
      <c r="F43" s="5" t="inlineStr">
        <is>
          <t>접근성</t>
        </is>
      </c>
      <c r="G43" s="12" t="inlineStr">
        <is>
          <t>보류</t>
        </is>
      </c>
      <c r="H43" s="10" t="inlineStr">
        <is>
          <t>스크린리더 켬 · 회원가입 STEP 2 진입</t>
        </is>
      </c>
      <c r="I43" s="10" t="inlineStr">
        <is>
          <t>1. 닉네임 입력란에 특수기호를 입력 시도
2. 입력이 막힌 직후의 화면 표시와 낭독을 기록</t>
        </is>
      </c>
      <c r="J43" s="10" t="inlineStr">
        <is>
          <t>사양이 갈린다. UX는 입력이 막히는 것을 침묵으로 넘기지 않는다를 요건으로 두면서 알림 문안을 ⬜ 미확정(U-66)으로 남겼다. 알림이 무엇으로 전달되는지 정해지지 않아 합불을 가를 수 없다</t>
        </is>
      </c>
      <c r="K43" s="10" t="inlineStr"/>
      <c r="L43" s="10" t="inlineStr">
        <is>
          <t>UX 01-로그인-회원가입 4.3절 요소 4 · 4.4절 · 4.5절 미확정</t>
        </is>
      </c>
      <c r="M43" s="10" t="inlineStr">
        <is>
          <t>U-66 — 기획 소관. 8글자 초과 차단 시 알림도 같은 미확정에 걸린다</t>
        </is>
      </c>
      <c r="N43" s="10" t="inlineStr"/>
    </row>
    <row r="44">
      <c r="A44" s="5" t="n">
        <v>43</v>
      </c>
      <c r="B44" s="10" t="inlineStr">
        <is>
          <t>TC-AUTH-03-08</t>
        </is>
      </c>
      <c r="C44" s="10" t="inlineStr">
        <is>
          <t>01-온보딩</t>
        </is>
      </c>
      <c r="D44" s="10" t="inlineStr">
        <is>
          <t>AUTH-03</t>
        </is>
      </c>
      <c r="E44" s="10" t="inlineStr">
        <is>
          <t>V-3 · V-6 · NFR-04</t>
        </is>
      </c>
      <c r="F44" s="5" t="inlineStr">
        <is>
          <t>기능</t>
        </is>
      </c>
      <c r="G44" s="5" t="inlineStr">
        <is>
          <t>미실행</t>
        </is>
      </c>
      <c r="H44" s="10" t="inlineStr">
        <is>
          <t>회원가입 STEP 2 진입 · 이미 사용 중인 닉네임을 준비</t>
        </is>
      </c>
      <c r="I44" s="10" t="inlineStr">
        <is>
          <t>1. 중복된 닉네임을 입력
2. 입력 중 실시간 오류가 뜨는지 확인
3. 「다음」을 누름
4. 오류 표기 채널·버튼 상태·포커스 위치를 기록</t>
        </is>
      </c>
      <c r="J44" s="10" t="inlineStr">
        <is>
          <t>중복 체크가 「다음」을 누른 시점에 일어나고, 입력란 하단에 색·텍스트·아이콘을 병기한 오류가 표시되며 「다음」이 비활성이 되고 포커스가 입력란으로 이동한다</t>
        </is>
      </c>
      <c r="K44" s="10" t="inlineStr"/>
      <c r="L44" s="10" t="inlineStr">
        <is>
          <t>UX 01-로그인-회원가입 4.3절 요소 5 · 00-공통 1절</t>
        </is>
      </c>
      <c r="M44" s="10" t="inlineStr"/>
      <c r="N44" s="10" t="inlineStr"/>
    </row>
    <row r="45">
      <c r="A45" s="5" t="n">
        <v>44</v>
      </c>
      <c r="B45" s="10" t="inlineStr">
        <is>
          <t>TC-AUTH-03-09</t>
        </is>
      </c>
      <c r="C45" s="10" t="inlineStr">
        <is>
          <t>01-온보딩</t>
        </is>
      </c>
      <c r="D45" s="10" t="inlineStr">
        <is>
          <t>AUTH-03</t>
        </is>
      </c>
      <c r="E45" s="10" t="inlineStr">
        <is>
          <t>V-6</t>
        </is>
      </c>
      <c r="F45" s="5" t="inlineStr">
        <is>
          <t>기능</t>
        </is>
      </c>
      <c r="G45" s="12" t="inlineStr">
        <is>
          <t>보류</t>
        </is>
      </c>
      <c r="H45" s="10" t="inlineStr">
        <is>
          <t>회원가입 STEP 2 진입 · 통신을 끊을 수 있는 환경</t>
        </is>
      </c>
      <c r="I45" s="10" t="inlineStr">
        <is>
          <t>1. 닉네임을 입력하고 통신이 끊긴 상태에서 「다음」을 누름
2. 진행 허용 여부를 기록
3. 통신을 복구하고 공백만 입력한 뒤 「다음」을 누름</t>
        </is>
      </c>
      <c r="J45" s="10" t="inlineStr">
        <is>
          <t>사양이 갈린다. UX 4.4절이 중복 체크 통신 실패 시 진행 허용 여부와 공백 허용 여부를 모두 ⬜ 미확정(U-66)으로 두고 있어 두 경우의 합불을 가를 수 없다</t>
        </is>
      </c>
      <c r="K45" s="10" t="inlineStr"/>
      <c r="L45" s="10" t="inlineStr">
        <is>
          <t>UX 01-로그인-회원가입 4.4절 「중복 체크 통신 실패」·「공백만 입력」</t>
        </is>
      </c>
      <c r="M45" s="10" t="inlineStr">
        <is>
          <t>U-66 — 기획 소관</t>
        </is>
      </c>
      <c r="N45" s="10" t="inlineStr"/>
    </row>
    <row r="46">
      <c r="A46" s="5" t="n">
        <v>45</v>
      </c>
      <c r="B46" s="10" t="inlineStr">
        <is>
          <t>TC-AUTH-03-10</t>
        </is>
      </c>
      <c r="C46" s="10" t="inlineStr">
        <is>
          <t>01-온보딩</t>
        </is>
      </c>
      <c r="D46" s="10" t="inlineStr">
        <is>
          <t>AUTH-03</t>
        </is>
      </c>
      <c r="E46" s="10" t="inlineStr">
        <is>
          <t>V-14 · V-3</t>
        </is>
      </c>
      <c r="F46" s="5" t="inlineStr">
        <is>
          <t>기능</t>
        </is>
      </c>
      <c r="G46" s="5" t="inlineStr">
        <is>
          <t>미실행</t>
        </is>
      </c>
      <c r="H46" s="10" t="inlineStr">
        <is>
          <t>회원가입 STEP 3 진입</t>
        </is>
      </c>
      <c r="I46" s="10" t="inlineStr">
        <is>
          <t>1. 동의 항목의 개수와 약관명을 기록
2. 각 항목의 필수·선택 표기를 기록
3. 선택 항목이 있는지 확인</t>
        </is>
      </c>
      <c r="J46" s="10" t="inlineStr">
        <is>
          <t>동의 항목이 서비스 이용 약관·위치기반 서비스 이용약관·개인정보 처리방침 3종이고 3종 모두 필수가 텍스트로 표기되며 선택 항목이 없다</t>
        </is>
      </c>
      <c r="K46" s="10" t="inlineStr"/>
      <c r="L46" s="10" t="inlineStr">
        <is>
          <t>UX 01-로그인-회원가입 5.3절·5.4절 요소 5 · PRD 2부 7.4 V-14</t>
        </is>
      </c>
      <c r="M46" s="10" t="inlineStr">
        <is>
          <t>3항 라벨은 개인정보 처리방침으로 확정됐다. 문안 조정 가능성은 발주처·법무 확인 대상이며 3종 전부 필수라는 요건은 불변이다</t>
        </is>
      </c>
      <c r="N46" s="10" t="inlineStr"/>
    </row>
    <row r="47">
      <c r="A47" s="5" t="n">
        <v>46</v>
      </c>
      <c r="B47" s="10" t="inlineStr">
        <is>
          <t>TC-AUTH-03-11</t>
        </is>
      </c>
      <c r="C47" s="10" t="inlineStr">
        <is>
          <t>01-온보딩</t>
        </is>
      </c>
      <c r="D47" s="10" t="inlineStr">
        <is>
          <t>AUTH-03</t>
        </is>
      </c>
      <c r="E47" s="10" t="inlineStr">
        <is>
          <t>V-14</t>
        </is>
      </c>
      <c r="F47" s="5" t="inlineStr">
        <is>
          <t>기능</t>
        </is>
      </c>
      <c r="G47" s="5" t="inlineStr">
        <is>
          <t>미실행</t>
        </is>
      </c>
      <c r="H47" s="10" t="inlineStr">
        <is>
          <t>회원가입 STEP 3 진입 · 모든 항목 미체크</t>
        </is>
      </c>
      <c r="I47" s="10" t="inlineStr">
        <is>
          <t>1. 3종 중 2종만 체크
2. 「시작하기」의 활성 여부를 확인하고 눌러 진행을 시도
3. 나머지 1종을 체크한 뒤 다시 확인</t>
        </is>
      </c>
      <c r="J47" s="10" t="inlineStr">
        <is>
          <t>2종만 체크한 상태에서는 「시작하기」가 비활성이라 가입이 완료되지 않고, 3종 전부 체크했을 때만 활성이 된다</t>
        </is>
      </c>
      <c r="K47" s="10" t="inlineStr"/>
      <c r="L47" s="10" t="inlineStr">
        <is>
          <t>UX 01-로그인-회원가입 5.4절 요소 5·7 · PRD 2부 7.4 V-14</t>
        </is>
      </c>
      <c r="M47" s="10" t="inlineStr"/>
      <c r="N47" s="10" t="inlineStr"/>
    </row>
    <row r="48">
      <c r="A48" s="5" t="n">
        <v>47</v>
      </c>
      <c r="B48" s="10" t="inlineStr">
        <is>
          <t>TC-AUTH-03-12</t>
        </is>
      </c>
      <c r="C48" s="10" t="inlineStr">
        <is>
          <t>01-온보딩</t>
        </is>
      </c>
      <c r="D48" s="10" t="inlineStr">
        <is>
          <t>AUTH-03</t>
        </is>
      </c>
      <c r="E48" s="10" t="inlineStr">
        <is>
          <t>V-14 · V-6</t>
        </is>
      </c>
      <c r="F48" s="5" t="inlineStr">
        <is>
          <t>접근성</t>
        </is>
      </c>
      <c r="G48" s="5" t="inlineStr">
        <is>
          <t>미실행</t>
        </is>
      </c>
      <c r="H48" s="10" t="inlineStr">
        <is>
          <t>스크린리더 켬 · 회원가입 STEP 3 진입 · 1종만 체크한 상태</t>
        </is>
      </c>
      <c r="I48" s="10" t="inlineStr">
        <is>
          <t>1. 비활성 상태의 「시작하기」에 포커스
2. 낭독 문자열을 기록
3. 화면에 표시된 버튼 문구를 기록</t>
        </is>
      </c>
      <c r="J48" s="10" t="inlineStr">
        <is>
          <t>낭독이 남은 약관을 이름으로 나열해 알리고(2건 이상이면 쉼표 나열) 화면 표시 문구는 「시작하기」로 고정된다. 남은 건수만 알리거나 버튼 문구를 사유로 바꾸지 않는다</t>
        </is>
      </c>
      <c r="K48" s="10" t="inlineStr"/>
      <c r="L48" s="10" t="inlineStr">
        <is>
          <t>UX 01-로그인-회원가입 5.4절 요소 7 · 00-공통 7절</t>
        </is>
      </c>
      <c r="M48" s="10" t="inlineStr"/>
      <c r="N48" s="10" t="inlineStr"/>
    </row>
    <row r="49">
      <c r="A49" s="5" t="n">
        <v>48</v>
      </c>
      <c r="B49" s="10" t="inlineStr">
        <is>
          <t>TC-AUTH-03-13</t>
        </is>
      </c>
      <c r="C49" s="10" t="inlineStr">
        <is>
          <t>01-온보딩</t>
        </is>
      </c>
      <c r="D49" s="10" t="inlineStr">
        <is>
          <t>AUTH-03</t>
        </is>
      </c>
      <c r="E49" s="10" t="inlineStr">
        <is>
          <t>V-14 · AC-05</t>
        </is>
      </c>
      <c r="F49" s="5" t="inlineStr">
        <is>
          <t>접근성</t>
        </is>
      </c>
      <c r="G49" s="5" t="inlineStr">
        <is>
          <t>미실행</t>
        </is>
      </c>
      <c r="H49" s="10" t="inlineStr">
        <is>
          <t>스크린리더 켬 · 회원가입 STEP 3 진입</t>
        </is>
      </c>
      <c r="I49" s="10" t="inlineStr">
        <is>
          <t>1. 「전체 동의」를 체크
2. 개별 항목 3종에 각각 포커스해 낭독 상태를 기록
3. 개별 항목 중 1종을 해제한 뒤 진행 가능 여부를 확인</t>
        </is>
      </c>
      <c r="J49" s="10" t="inlineStr">
        <is>
          <t>개별 체크 상태가 정본으로 동작한다. 전체 동의를 켰더라도 개별 1종이 해제되면 가입이 완료되지 않고 각 항목이 독립으로 낭독된다</t>
        </is>
      </c>
      <c r="K49" s="10" t="inlineStr"/>
      <c r="L49" s="10" t="inlineStr">
        <is>
          <t>UX 01-로그인-회원가입 5.4절 요소 4·5 · 5.5절</t>
        </is>
      </c>
      <c r="M49" s="10" t="inlineStr"/>
      <c r="N49" s="10" t="inlineStr"/>
    </row>
    <row r="50">
      <c r="A50" s="5" t="n">
        <v>49</v>
      </c>
      <c r="B50" s="10" t="inlineStr">
        <is>
          <t>TC-AUTH-03-14</t>
        </is>
      </c>
      <c r="C50" s="10" t="inlineStr">
        <is>
          <t>01-온보딩</t>
        </is>
      </c>
      <c r="D50" s="10" t="inlineStr">
        <is>
          <t>AUTH-03</t>
        </is>
      </c>
      <c r="E50" s="10" t="inlineStr">
        <is>
          <t>V-14</t>
        </is>
      </c>
      <c r="F50" s="5" t="inlineStr">
        <is>
          <t>기능</t>
        </is>
      </c>
      <c r="G50" s="12" t="inlineStr">
        <is>
          <t>보류</t>
        </is>
      </c>
      <c r="H50" s="10" t="inlineStr">
        <is>
          <t>회원가입 STEP 3 진입 · 모든 항목 미체크</t>
        </is>
      </c>
      <c r="I50" s="10" t="inlineStr">
        <is>
          <t>1. 「전체 동의」를 체크해 3종이 모두 체크되는지 확인
2. 「전체 동의」를 해제해 3종이 모두 해제되는지 확인
3. 3종 전부 체크한 상태에서 개별 1종을 해제해 「전체 동의」 상태를 확인</t>
        </is>
      </c>
      <c r="J50" s="10" t="inlineStr">
        <is>
          <t>사양이 갈린다. UX 5.3절·5.8절이 「전체 동의」의 전체 체크·해제 동작과 개별 해제 시 전체 해제 여부를 ⬜ 미확정으로 두고 있어 세 절차의 기대 상태를 정할 수 없다</t>
        </is>
      </c>
      <c r="K50" s="10" t="inlineStr"/>
      <c r="L50" s="10" t="inlineStr">
        <is>
          <t>UX 01-로그인-회원가입 5.3절 미확정 · 5.8절 미확정</t>
        </is>
      </c>
      <c r="M50" s="10" t="inlineStr">
        <is>
          <t>개별 체크가 정본이라는 원칙(V-14)은 확정이며 TC-AUTH-03-13이 그 부분을 진다. 미확정은 전체 동의 컨트롤의 연동 동작이다</t>
        </is>
      </c>
      <c r="N50" s="10" t="inlineStr"/>
    </row>
    <row r="51">
      <c r="A51" s="5" t="n">
        <v>50</v>
      </c>
      <c r="B51" s="10" t="inlineStr">
        <is>
          <t>TC-AUTH-03-15</t>
        </is>
      </c>
      <c r="C51" s="10" t="inlineStr">
        <is>
          <t>01-온보딩</t>
        </is>
      </c>
      <c r="D51" s="10" t="inlineStr">
        <is>
          <t>AUTH-03</t>
        </is>
      </c>
      <c r="E51" s="10" t="inlineStr">
        <is>
          <t>NFR-04 · AC-05</t>
        </is>
      </c>
      <c r="F51" s="5" t="inlineStr">
        <is>
          <t>접근성</t>
        </is>
      </c>
      <c r="G51" s="5" t="inlineStr">
        <is>
          <t>미실행</t>
        </is>
      </c>
      <c r="H51" s="10" t="inlineStr">
        <is>
          <t>스크린리더 켬 · 회원가입 STEP 3 진입 · 포인팅 없이 포커스 이동만 사용</t>
        </is>
      </c>
      <c r="I51" s="10" t="inlineStr">
        <is>
          <t>1. 화면 첫 요소부터 마지막 요소까지 포커스를 순서대로 이동
2. 낭독된 항목을 순서대로 기록
3. 개별 동의 항목 3종이 모두 포커스를 받는지 확인</t>
        </is>
      </c>
      <c r="J51" s="10" t="inlineStr">
        <is>
          <t>가입 단계 안내 → 동의 항목 3종 각각(보기 버튼 포함) → 「전체 동의」 → 완료 버튼 순으로 낭독되고, 「전체 동의」만 포커스되고 개별 3종이 건너뛰어지는 일이 없다</t>
        </is>
      </c>
      <c r="K51" s="10" t="inlineStr"/>
      <c r="L51" s="10" t="inlineStr">
        <is>
          <t>UX 01-로그인-회원가입 5.5절 낭독 순서</t>
        </is>
      </c>
      <c r="M51" s="10" t="inlineStr"/>
      <c r="N51" s="10" t="inlineStr"/>
    </row>
    <row r="52">
      <c r="A52" s="5" t="n">
        <v>51</v>
      </c>
      <c r="B52" s="10" t="inlineStr">
        <is>
          <t>TC-AUTH-03-16</t>
        </is>
      </c>
      <c r="C52" s="10" t="inlineStr">
        <is>
          <t>01-온보딩</t>
        </is>
      </c>
      <c r="D52" s="10" t="inlineStr">
        <is>
          <t>AUTH-03</t>
        </is>
      </c>
      <c r="E52" s="10" t="inlineStr">
        <is>
          <t>NFR-05</t>
        </is>
      </c>
      <c r="F52" s="5" t="inlineStr">
        <is>
          <t>접근성</t>
        </is>
      </c>
      <c r="G52" s="5" t="inlineStr">
        <is>
          <t>미실행</t>
        </is>
      </c>
      <c r="H52" s="10" t="inlineStr">
        <is>
          <t>회원가입 STEP 3 진입</t>
        </is>
      </c>
      <c r="I52" s="10" t="inlineStr">
        <is>
          <t>1. 각 동의 항목 행 우측의 약관 전문 진입 수단을 확인
2. 아이콘 단독으로 제공되는 행이 있는지 확인</t>
        </is>
      </c>
      <c r="J52" s="10" t="inlineStr">
        <is>
          <t>3개 행 모두 「보기」 텍스트 버튼으로 약관 전문 경로를 제공한다. 아이콘 단독으로 둔 행이 없다</t>
        </is>
      </c>
      <c r="K52" s="10" t="inlineStr"/>
      <c r="L52" s="10" t="inlineStr">
        <is>
          <t>UX 01-로그인-회원가입 5.3절·5.4절 요소 6</t>
        </is>
      </c>
      <c r="M52" s="10" t="inlineStr"/>
      <c r="N52" s="10" t="inlineStr"/>
    </row>
    <row r="53">
      <c r="A53" s="5" t="n">
        <v>52</v>
      </c>
      <c r="B53" s="10" t="inlineStr">
        <is>
          <t>TC-AUTH-03-17</t>
        </is>
      </c>
      <c r="C53" s="10" t="inlineStr">
        <is>
          <t>01-온보딩</t>
        </is>
      </c>
      <c r="D53" s="10" t="inlineStr">
        <is>
          <t>AUTH-03</t>
        </is>
      </c>
      <c r="E53" s="10" t="inlineStr">
        <is>
          <t>V-1</t>
        </is>
      </c>
      <c r="F53" s="5" t="inlineStr">
        <is>
          <t>기능</t>
        </is>
      </c>
      <c r="G53" s="12" t="inlineStr">
        <is>
          <t>보류</t>
        </is>
      </c>
      <c r="H53" s="10" t="inlineStr">
        <is>
          <t>회원가입 STEP 3 진입</t>
        </is>
      </c>
      <c r="I53" s="10" t="inlineStr">
        <is>
          <t>1. 서비스 이용 약관 행의 「보기」를 누름
2. 도착한 곳이 앱 내 화면인지 외부 웹인지 기록
3. 돌아와 나머지 2종에서 반복</t>
        </is>
      </c>
      <c r="J53" s="10" t="inlineStr">
        <is>
          <t>사양이 갈린다. UX 5.2절은 이탈처를 약관 화면 3종으로 적고 5.3절·5.8절은 외부 웹인지 앱 내 화면인지를 ⬜ 미확정(U-83)으로 둔다. 도착지의 형태를 합불로 가를 수 없다</t>
        </is>
      </c>
      <c r="K53" s="10" t="inlineStr"/>
      <c r="L53" s="10" t="inlineStr">
        <is>
          <t>UX 01-로그인-회원가입 5.2절 이탈 · 5.8절 미확정</t>
        </is>
      </c>
      <c r="M53" s="10" t="inlineStr">
        <is>
          <t>U-83 — 기획 소관</t>
        </is>
      </c>
      <c r="N53" s="10" t="inlineStr"/>
    </row>
    <row r="54">
      <c r="A54" s="5" t="n">
        <v>53</v>
      </c>
      <c r="B54" s="10" t="inlineStr">
        <is>
          <t>TC-AUTH-03-18</t>
        </is>
      </c>
      <c r="C54" s="10" t="inlineStr">
        <is>
          <t>01-온보딩</t>
        </is>
      </c>
      <c r="D54" s="10" t="inlineStr">
        <is>
          <t>AUTH-03</t>
        </is>
      </c>
      <c r="E54" s="10" t="inlineStr">
        <is>
          <t>NFR-02 · S-1 · S-2</t>
        </is>
      </c>
      <c r="F54" s="5" t="inlineStr">
        <is>
          <t>비기능</t>
        </is>
      </c>
      <c r="G54" s="5" t="inlineStr">
        <is>
          <t>미실행</t>
        </is>
      </c>
      <c r="H54" s="10" t="inlineStr">
        <is>
          <t>회원가입 STEP 3 진입 · 측정 도구 준비</t>
        </is>
      </c>
      <c r="I54" s="10" t="inlineStr">
        <is>
          <t>1. 체크박스 4개(전체 동의 1 + 개별 3)와 「보기」 3개의 히트 영역을 측정
2. 같은 행 안의 체크박스와 「보기」 사이, 인접한 행 사이 간격을 측정</t>
        </is>
      </c>
      <c r="J54" s="10" t="inlineStr">
        <is>
          <t>모든 체크박스와 「보기」의 히트 영역이 44×44pt 이상이고 인접 간격이 8px 이상이다</t>
        </is>
      </c>
      <c r="K54" s="10" t="inlineStr"/>
      <c r="L54" s="10" t="inlineStr">
        <is>
          <t>UX 01-로그인-회원가입 5.3절·5.4절 · PRD 2부 7.8 S-1·S-2</t>
        </is>
      </c>
      <c r="M54" s="10" t="inlineStr"/>
      <c r="N54" s="10" t="inlineStr"/>
    </row>
    <row r="55">
      <c r="A55" s="5" t="n">
        <v>54</v>
      </c>
      <c r="B55" s="10" t="inlineStr">
        <is>
          <t>TC-AUTH-03-19</t>
        </is>
      </c>
      <c r="C55" s="10" t="inlineStr">
        <is>
          <t>01-온보딩</t>
        </is>
      </c>
      <c r="D55" s="10" t="inlineStr">
        <is>
          <t>AUTH-03</t>
        </is>
      </c>
      <c r="E55" s="10" t="inlineStr">
        <is>
          <t>AC-06 · T-4</t>
        </is>
      </c>
      <c r="F55" s="5" t="inlineStr">
        <is>
          <t>비기능</t>
        </is>
      </c>
      <c r="G55" s="5" t="inlineStr">
        <is>
          <t>미실행</t>
        </is>
      </c>
      <c r="H55" s="10" t="inlineStr">
        <is>
          <t>시스템 글자 크기 200% · 회원가입 STEP 3 진입</t>
        </is>
      </c>
      <c r="I55" s="10" t="inlineStr">
        <is>
          <t>1. 약관 4행과 하단 고정 2버튼의 표시를 확인
2. 약관명·필수 표기·「보기」가 잘리거나 겹치는지 기록
3. 하단 버튼 문구가 줄바꿈·말줄임되는지 확인</t>
        </is>
      </c>
      <c r="J55" s="10" t="inlineStr">
        <is>
          <t>200%에서 약관명·필수 표기·「보기」가 모두 읽히고 하단 버튼 문구가 1행을 유지한다</t>
        </is>
      </c>
      <c r="K55" s="10" t="inlineStr"/>
      <c r="L55" s="10" t="inlineStr">
        <is>
          <t>UX 01-로그인-회원가입 5.3절 · 00-공통 7절 · PRD 2부 7.3 T-4</t>
        </is>
      </c>
      <c r="M55" s="10" t="inlineStr"/>
      <c r="N55" s="10" t="inlineStr"/>
    </row>
    <row r="56">
      <c r="A56" s="5" t="n">
        <v>55</v>
      </c>
      <c r="B56" s="10" t="inlineStr">
        <is>
          <t>TC-AUTH-03-20</t>
        </is>
      </c>
      <c r="C56" s="10" t="inlineStr">
        <is>
          <t>01-온보딩</t>
        </is>
      </c>
      <c r="D56" s="10" t="inlineStr">
        <is>
          <t>AUTH-03</t>
        </is>
      </c>
      <c r="E56" s="10" t="inlineStr">
        <is>
          <t>V-1 · AC-05</t>
        </is>
      </c>
      <c r="F56" s="5" t="inlineStr">
        <is>
          <t>접근성</t>
        </is>
      </c>
      <c r="G56" s="12" t="inlineStr">
        <is>
          <t>보류</t>
        </is>
      </c>
      <c r="H56" s="10" t="inlineStr">
        <is>
          <t>스크린리더 켬 · STEP 1에서 4번 전맹을 선택하고 「다음」을 누른 직후</t>
        </is>
      </c>
      <c r="I56" s="10" t="inlineStr">
        <is>
          <t>1. 이후 단계의 화면 형태가 S1 배치인지 S2 형태인지 기록
2. 각 단계를 스크린리더만으로 끝까지 통과</t>
        </is>
      </c>
      <c r="J56" s="10" t="inlineStr">
        <is>
          <t>사양이 갈린다. 00-공통 5절은 AUTH-01·AUTH-03·AUTH-04 세 화면을 S1 고정으로 못박았으나, UX 1절이 STEP 1의 전맹 분기 이후 음성 진행이 그 판정과 긴장 관계이며 판정 개정 여부는 담당자 확인이 필요하다고 적고 있다. 전맹 선택 후 남은 단계의 스킨을 합불로 가를 수 없다</t>
        </is>
      </c>
      <c r="K56" s="10" t="inlineStr"/>
      <c r="L56" s="10" t="inlineStr">
        <is>
          <t>00-공통 5절 스킨 선택 전 구간 S1 고정 · UX 01-로그인-회원가입 1절 전맹 분기</t>
        </is>
      </c>
      <c r="M56" s="10" t="inlineStr">
        <is>
          <t>스크린리더로 완주 가능해야 한다는 AC-05 요건 자체는 어느 판정이든 불변이며 그 부분은 TC-AUTH-03-15가 진다</t>
        </is>
      </c>
      <c r="N56" s="10" t="inlineStr"/>
    </row>
    <row r="57">
      <c r="A57" s="5" t="n">
        <v>56</v>
      </c>
      <c r="B57" s="10" t="inlineStr">
        <is>
          <t>TC-HOME-01-01</t>
        </is>
      </c>
      <c r="C57" s="10" t="inlineStr">
        <is>
          <t>02-홈</t>
        </is>
      </c>
      <c r="D57" s="10" t="inlineStr">
        <is>
          <t>HOME-01</t>
        </is>
      </c>
      <c r="E57" s="10" t="inlineStr">
        <is>
          <t>SC-01</t>
        </is>
      </c>
      <c r="F57" s="5" t="inlineStr">
        <is>
          <t>기능</t>
        </is>
      </c>
      <c r="G57" s="5" t="inlineStr">
        <is>
          <t>미실행</t>
        </is>
      </c>
      <c r="H57" s="10" t="inlineStr">
        <is>
          <t>S1 유형(전맹 외)으로 계정 유형이 설정된 상태 · 홈 진입</t>
        </is>
      </c>
      <c r="I57" s="10" t="inlineStr">
        <is>
          <t>1. 홈 화면에 진입한다
2. 메뉴 버튼의 개수와 행·열 배치를 센다
3. 버튼의 나열 순서를 좌상단부터 읽는다</t>
        </is>
      </c>
      <c r="J57" s="10" t="inlineStr">
        <is>
          <t>메뉴가 6버튼이고 2열 × 3행 그리드로 놓인다. 순서는 길안내 → 인근 편의시설 → 버스정류장 → 지하철역 → 택시 호출 → 불편신고다. 버튼 1개는 아이콘(상) + 라벨(하) 구성이다</t>
        </is>
      </c>
      <c r="K57" s="10" t="inlineStr"/>
      <c r="L57" s="10" t="inlineStr">
        <is>
          <t>UX 02-홈 3.1절 · 4절 요소 2 · PRD 2부 7.4 SC-01</t>
        </is>
      </c>
      <c r="M57" s="10" t="inlineStr"/>
      <c r="N57" s="10" t="inlineStr"/>
    </row>
    <row r="58">
      <c r="A58" s="5" t="n">
        <v>57</v>
      </c>
      <c r="B58" s="10" t="inlineStr">
        <is>
          <t>TC-HOME-01-02</t>
        </is>
      </c>
      <c r="C58" s="10" t="inlineStr">
        <is>
          <t>02-홈</t>
        </is>
      </c>
      <c r="D58" s="10" t="inlineStr">
        <is>
          <t>HOME-01</t>
        </is>
      </c>
      <c r="E58" s="10" t="inlineStr">
        <is>
          <t>SC-01</t>
        </is>
      </c>
      <c r="F58" s="5" t="inlineStr">
        <is>
          <t>기능</t>
        </is>
      </c>
      <c r="G58" s="5" t="inlineStr">
        <is>
          <t>미실행</t>
        </is>
      </c>
      <c r="H58" s="10" t="inlineStr">
        <is>
          <t>S1 홈 진입</t>
        </is>
      </c>
      <c r="I58" s="10" t="inlineStr">
        <is>
          <t>1. 홈 화면 전체를 훑는다
2. 지도 레이어·POI·지도 컨트롤이 그려지는지 본다</t>
        </is>
      </c>
      <c r="J58" s="10" t="inlineStr">
        <is>
          <t>홈에 지도가 표출되지 않는다. 지도는 길안내·탐색 기능 안에서만 쓰이며 홈의 상주 레이어가 아니다</t>
        </is>
      </c>
      <c r="K58" s="10" t="inlineStr"/>
      <c r="L58" s="10" t="inlineStr">
        <is>
          <t>PRD 2부 7.4 SC-01 주석 「지도 비사용」 · UX 02-홈 6절</t>
        </is>
      </c>
      <c r="M58" s="10" t="inlineStr">
        <is>
          <t>앱 잠정값 A-1(지도 전체화면 + 크기 조절 바텀시트)은 폐기됐다 — 그 구성이 나오면 실패다</t>
        </is>
      </c>
      <c r="N58" s="10" t="inlineStr"/>
    </row>
    <row r="59">
      <c r="A59" s="5" t="n">
        <v>58</v>
      </c>
      <c r="B59" s="10" t="inlineStr">
        <is>
          <t>TC-HOME-01-03</t>
        </is>
      </c>
      <c r="C59" s="10" t="inlineStr">
        <is>
          <t>02-홈</t>
        </is>
      </c>
      <c r="D59" s="10" t="inlineStr">
        <is>
          <t>HOME-01</t>
        </is>
      </c>
      <c r="E59" s="10" t="inlineStr">
        <is>
          <t>SC-01</t>
        </is>
      </c>
      <c r="F59" s="5" t="inlineStr">
        <is>
          <t>기능</t>
        </is>
      </c>
      <c r="G59" s="5" t="inlineStr">
        <is>
          <t>미실행</t>
        </is>
      </c>
      <c r="H59" s="10" t="inlineStr">
        <is>
          <t>S1 홈 진입</t>
        </is>
      </c>
      <c r="I59" s="10" t="inlineStr">
        <is>
          <t>1. 홈 화면에서 검색 입력란을 찾는다
2. 즐겨찾기(집·회사·복지관) 칩을 찾는다
3. 인근 편의시설 칩 7종과 최근 도착지 목록을 찾는다</t>
        </is>
      </c>
      <c r="J59" s="10" t="inlineStr">
        <is>
          <t>네 가지 모두 홈에 없다. 홈의 구성요소는 앱바 · 메뉴 6버튼 · 하단 Nav 3탭 셋뿐이다</t>
        </is>
      </c>
      <c r="K59" s="10" t="inlineStr"/>
      <c r="L59" s="10" t="inlineStr">
        <is>
          <t>UX 02-홈 6절 「홈에 없는 것」</t>
        </is>
      </c>
      <c r="M59" s="10" t="inlineStr">
        <is>
          <t>이 요소들의 실제 위치는 `2-0` 길안내의 검색창·바텀시트다(2026-08-26 확정)</t>
        </is>
      </c>
      <c r="N59" s="10" t="inlineStr"/>
    </row>
    <row r="60">
      <c r="A60" s="5" t="n">
        <v>59</v>
      </c>
      <c r="B60" s="10" t="inlineStr">
        <is>
          <t>TC-HOME-01-04</t>
        </is>
      </c>
      <c r="C60" s="10" t="inlineStr">
        <is>
          <t>02-홈</t>
        </is>
      </c>
      <c r="D60" s="10" t="inlineStr">
        <is>
          <t>HOME-01</t>
        </is>
      </c>
      <c r="E60" s="10" t="inlineStr">
        <is>
          <t>SC-01</t>
        </is>
      </c>
      <c r="F60" s="5" t="inlineStr">
        <is>
          <t>기능</t>
        </is>
      </c>
      <c r="G60" s="5" t="inlineStr">
        <is>
          <t>미실행</t>
        </is>
      </c>
      <c r="H60" s="10" t="inlineStr">
        <is>
          <t>계정 교통약자 유형이 「전맹」(S2)으로 설정된 상태 · 홈 진입</t>
        </is>
      </c>
      <c r="I60" s="10" t="inlineStr">
        <is>
          <t>1. 홈 화면에 진입한다
2. 메뉴 버튼의 배치(열 수·행 수)를 센다
3. 행의 나열 순서를 위에서부터 읽는다</t>
        </is>
      </c>
      <c r="J60" s="10" t="inlineStr">
        <is>
          <t>메뉴 6버튼이 1열 직렬 6행으로 놓이고, 행 1개는 아이콘(좌) + 라벨(우) 구성이다. 순서는 S1과 같다(길안내 → 인근 편의시설 → 버스정류장 → 지하철역 → 택시 호출 → 불편신고)</t>
        </is>
      </c>
      <c r="K60" s="10" t="inlineStr"/>
      <c r="L60" s="10" t="inlineStr">
        <is>
          <t>UX 02-홈 3.2절 · 4.1절 · 00-공통 9절 규칙 4</t>
        </is>
      </c>
      <c r="M60" s="10" t="inlineStr">
        <is>
          <t>배치만 갈리고 메뉴 항목·하단 탭·순서는 두 스킨이 같다</t>
        </is>
      </c>
      <c r="N60" s="10" t="inlineStr"/>
    </row>
    <row r="61">
      <c r="A61" s="5" t="n">
        <v>60</v>
      </c>
      <c r="B61" s="10" t="inlineStr">
        <is>
          <t>TC-HOME-01-05</t>
        </is>
      </c>
      <c r="C61" s="10" t="inlineStr">
        <is>
          <t>02-홈</t>
        </is>
      </c>
      <c r="D61" s="10" t="inlineStr">
        <is>
          <t>HOME-01</t>
        </is>
      </c>
      <c r="E61" s="10" t="inlineStr">
        <is>
          <t>SC-01</t>
        </is>
      </c>
      <c r="F61" s="5" t="inlineStr">
        <is>
          <t>기능</t>
        </is>
      </c>
      <c r="G61" s="5" t="inlineStr">
        <is>
          <t>미실행</t>
        </is>
      </c>
      <c r="H61" s="10" t="inlineStr">
        <is>
          <t>S1 홈 진입 · 회원 로그인 상태</t>
        </is>
      </c>
      <c r="I61" s="10" t="inlineStr">
        <is>
          <t>1. 메뉴 6버튼을 하나씩 선택하고 도달 화면을 기록한다
2. 각 회차마다 홈으로 복귀한다</t>
        </is>
      </c>
      <c r="J61" s="10" t="inlineStr">
        <is>
          <t>길안내 → `2-0` 길안내 / 인근 편의시설 → `1-2` / 버스정류장 → `2-5` 버스정류장 정보 / 지하철역 → `1-4` / 택시 호출 → `1-5` / 불편신고 → `1-6`으로 각각 이동한다. 6건 모두 성립해야 통과</t>
        </is>
      </c>
      <c r="K61" s="10" t="inlineStr"/>
      <c r="L61" s="10" t="inlineStr">
        <is>
          <t>UX 02-홈 4절 요소 2-1~2-6</t>
        </is>
      </c>
      <c r="M61" s="10" t="inlineStr">
        <is>
          <t>「버스정류장」은 `2-5`를 공용으로 쓴다 — 전용 화면을 새로 띄우면 실패다</t>
        </is>
      </c>
      <c r="N61" s="10" t="inlineStr"/>
    </row>
    <row r="62">
      <c r="A62" s="5" t="n">
        <v>61</v>
      </c>
      <c r="B62" s="10" t="inlineStr">
        <is>
          <t>TC-HOME-01-06</t>
        </is>
      </c>
      <c r="C62" s="10" t="inlineStr">
        <is>
          <t>02-홈</t>
        </is>
      </c>
      <c r="D62" s="10" t="inlineStr">
        <is>
          <t>HOME-01</t>
        </is>
      </c>
      <c r="E62" s="10" t="inlineStr">
        <is>
          <t>SC-01 · V-3</t>
        </is>
      </c>
      <c r="F62" s="5" t="inlineStr">
        <is>
          <t>기능</t>
        </is>
      </c>
      <c r="G62" s="5" t="inlineStr">
        <is>
          <t>미실행</t>
        </is>
      </c>
      <c r="H62" s="10" t="inlineStr">
        <is>
          <t>S1 홈 진입</t>
        </is>
      </c>
      <c r="I62" s="10" t="inlineStr">
        <is>
          <t>1. 하단 Nav의 탭 개수를 센다
2. 좌에서 우로 탭 라벨을 읽는다</t>
        </is>
      </c>
      <c r="J62" s="10" t="inlineStr">
        <is>
          <t>탭이 3개이고 좌부터 「홈」 · 「길안내」 · 「마이페이지」 순이다. 홈이 최좌측이다</t>
        </is>
      </c>
      <c r="K62" s="10" t="inlineStr"/>
      <c r="L62" s="10" t="inlineStr">
        <is>
          <t>UX 02-홈 4절 요소 3 · adr/2026-08-31-탭바-순서-krds-홈-최좌측 · KRDS 컴포넌트 12-07</t>
        </is>
      </c>
      <c r="M62" s="10" t="inlineStr">
        <is>
          <t>구 배치(「길안내 · 홈 · 마이페이지」)는 폐기됐다 — 홈이 가운데면 실패다</t>
        </is>
      </c>
      <c r="N62" s="10" t="inlineStr"/>
    </row>
    <row r="63">
      <c r="A63" s="5" t="n">
        <v>62</v>
      </c>
      <c r="B63" s="10" t="inlineStr">
        <is>
          <t>TC-HOME-01-07</t>
        </is>
      </c>
      <c r="C63" s="10" t="inlineStr">
        <is>
          <t>02-홈</t>
        </is>
      </c>
      <c r="D63" s="10" t="inlineStr">
        <is>
          <t>HOME-01</t>
        </is>
      </c>
      <c r="E63" s="10" t="inlineStr">
        <is>
          <t>SC-01 · V-3 · NFR-05</t>
        </is>
      </c>
      <c r="F63" s="5" t="inlineStr">
        <is>
          <t>접근성</t>
        </is>
      </c>
      <c r="G63" s="5" t="inlineStr">
        <is>
          <t>미실행</t>
        </is>
      </c>
      <c r="H63" s="10" t="inlineStr">
        <is>
          <t>S1 홈 진입</t>
        </is>
      </c>
      <c r="I63" s="10" t="inlineStr">
        <is>
          <t>1. 하단 Nav 3탭 각각에 아이콘과 텍스트 라벨이 함께 있는지 본다
2. 현재 탭과 나머지 탭의 구분이 색 외의 수단(텍스트·아이콘 형태)으로도 드러나는지 본다</t>
        </is>
      </c>
      <c r="J63" s="10" t="inlineStr">
        <is>
          <t>3탭 모두 아이콘 + 라벨을 병기한다. 아이콘 단독 탭이 없고, 현재 탭 구분에 색을 단독으로 쓰지 않는다</t>
        </is>
      </c>
      <c r="K63" s="10" t="inlineStr"/>
      <c r="L63" s="10" t="inlineStr">
        <is>
          <t>UX 02-홈 4절 요소 3 · PRD 2부 7.4 SC-01 「하단 탭은 아이콘 + 라벨 병기」</t>
        </is>
      </c>
      <c r="M63" s="10" t="inlineStr"/>
      <c r="N63" s="10" t="inlineStr"/>
    </row>
    <row r="64">
      <c r="A64" s="5" t="n">
        <v>63</v>
      </c>
      <c r="B64" s="10" t="inlineStr">
        <is>
          <t>TC-HOME-01-08</t>
        </is>
      </c>
      <c r="C64" s="10" t="inlineStr">
        <is>
          <t>02-홈</t>
        </is>
      </c>
      <c r="D64" s="10" t="inlineStr">
        <is>
          <t>HOME-01</t>
        </is>
      </c>
      <c r="E64" s="10" t="inlineStr">
        <is>
          <t>V-6 · AC-05</t>
        </is>
      </c>
      <c r="F64" s="5" t="inlineStr">
        <is>
          <t>접근성</t>
        </is>
      </c>
      <c r="G64" s="5" t="inlineStr">
        <is>
          <t>미실행</t>
        </is>
      </c>
      <c r="H64" s="10" t="inlineStr">
        <is>
          <t>S2(전맹) 유형 · TalkBack(또는 VoiceOver) 켬 · 홈 진입</t>
        </is>
      </c>
      <c r="I64" s="10" t="inlineStr">
        <is>
          <t>1. 하단 Nav의 「홈」 탭에 포커스를 옮긴다
2. 낭독 문구를 듣는다
3. 「홈」 탭을 선택한다</t>
        </is>
      </c>
      <c r="J64" s="10" t="inlineStr">
        <is>
          <t>「홈, 현재 화면」으로 낭독되고, 선택해도 화면이 바뀌지 않는다는 사실이 낭독으로 전달된다. 무반응이 침묵으로 남지 않는다</t>
        </is>
      </c>
      <c r="K64" s="10" t="inlineStr"/>
      <c r="L64" s="10" t="inlineStr">
        <is>
          <t>UX 02-홈 4절 요소 3 · 5절 · 7절 · PRD 2부 7.4 V-6</t>
        </is>
      </c>
      <c r="M64" s="10" t="inlineStr"/>
      <c r="N64" s="10" t="inlineStr"/>
    </row>
    <row r="65">
      <c r="A65" s="5" t="n">
        <v>64</v>
      </c>
      <c r="B65" s="10" t="inlineStr">
        <is>
          <t>TC-HOME-01-09</t>
        </is>
      </c>
      <c r="C65" s="10" t="inlineStr">
        <is>
          <t>02-홈</t>
        </is>
      </c>
      <c r="D65" s="10" t="inlineStr">
        <is>
          <t>HOME-01</t>
        </is>
      </c>
      <c r="E65" s="10" t="inlineStr">
        <is>
          <t>SC-01</t>
        </is>
      </c>
      <c r="F65" s="5" t="inlineStr">
        <is>
          <t>기능</t>
        </is>
      </c>
      <c r="G65" s="5" t="inlineStr">
        <is>
          <t>미실행</t>
        </is>
      </c>
      <c r="H65" s="10" t="inlineStr">
        <is>
          <t>S1 홈 진입</t>
        </is>
      </c>
      <c r="I65" s="10" t="inlineStr">
        <is>
          <t>1. 앱바의 좌측 영역에 뒤로가기 컨트롤이 있는지 본다
2. 앱바 타이틀 문구를 읽는다
3. OS 뒤로가기(안드로이드 제스처·버튼)를 실행한다</t>
        </is>
      </c>
      <c r="J65" s="10" t="inlineStr">
        <is>
          <t>앱바에 뒤로가기 컨트롤이 없고 타이틀은 「서울동행맵」이다. 홈은 1depth이므로 앱 내부의 이전 화면으로 되돌아가지 않는다</t>
        </is>
      </c>
      <c r="K65" s="10" t="inlineStr"/>
      <c r="L65" s="10" t="inlineStr">
        <is>
          <t>UX 02-홈 1절 depth · 4절 요소 1</t>
        </is>
      </c>
      <c r="M65" s="10" t="inlineStr"/>
      <c r="N65" s="10" t="inlineStr"/>
    </row>
    <row r="66">
      <c r="A66" s="5" t="n">
        <v>65</v>
      </c>
      <c r="B66" s="10" t="inlineStr">
        <is>
          <t>TC-HOME-01-10</t>
        </is>
      </c>
      <c r="C66" s="10" t="inlineStr">
        <is>
          <t>02-홈</t>
        </is>
      </c>
      <c r="D66" s="10" t="inlineStr">
        <is>
          <t>HOME-01</t>
        </is>
      </c>
      <c r="E66" s="10" t="inlineStr">
        <is>
          <t>V-1 · AC-05 · NFR-04</t>
        </is>
      </c>
      <c r="F66" s="5" t="inlineStr">
        <is>
          <t>접근성</t>
        </is>
      </c>
      <c r="G66" s="5" t="inlineStr">
        <is>
          <t>미실행</t>
        </is>
      </c>
      <c r="H66" s="10" t="inlineStr">
        <is>
          <t>S2(전맹) 유형 · 스크린리더 켬 · 홈 진입</t>
        </is>
      </c>
      <c r="I66" s="10" t="inlineStr">
        <is>
          <t>1. 화면 첫 요소부터 스와이프로 포커스를 끝까지 이동시킨다
2. 낭독된 항목의 순서를 기록한다</t>
        </is>
      </c>
      <c r="J66" s="10" t="inlineStr">
        <is>
          <t>① 앱 타이틀 → ② 메뉴 6개(길안내 → 인근 편의시설 → 버스정류장 → 지하철역 → 택시 호출 → 불편신고) → ③ 하단 3탭(홈 → 길안내 → 마이페이지) 순으로 낭독되고, 포커스 순서가 낭독 순서와 일치한다</t>
        </is>
      </c>
      <c r="K66" s="10" t="inlineStr"/>
      <c r="L66" s="10" t="inlineStr">
        <is>
          <t>UX 02-홈 5절 낭독 순서 표</t>
        </is>
      </c>
      <c r="M66" s="10" t="inlineStr">
        <is>
          <t>「음성인식 시작하기」는 낭독 순서에 없다 — 홈에 두지 않는다</t>
        </is>
      </c>
      <c r="N66" s="10" t="inlineStr"/>
    </row>
    <row r="67">
      <c r="A67" s="5" t="n">
        <v>66</v>
      </c>
      <c r="B67" s="10" t="inlineStr">
        <is>
          <t>TC-HOME-01-11</t>
        </is>
      </c>
      <c r="C67" s="10" t="inlineStr">
        <is>
          <t>02-홈</t>
        </is>
      </c>
      <c r="D67" s="10" t="inlineStr">
        <is>
          <t>HOME-01</t>
        </is>
      </c>
      <c r="E67" s="10" t="inlineStr">
        <is>
          <t>NFR-02 · S-1 · S-2</t>
        </is>
      </c>
      <c r="F67" s="5" t="inlineStr">
        <is>
          <t>접근성</t>
        </is>
      </c>
      <c r="G67" s="5" t="inlineStr">
        <is>
          <t>미실행</t>
        </is>
      </c>
      <c r="H67" s="10" t="inlineStr">
        <is>
          <t>S1 홈 진입 · 접근성 검사 도구로 터치 영역 측정 가능</t>
        </is>
      </c>
      <c r="I67" s="10" t="inlineStr">
        <is>
          <t>1. 메뉴 6버튼 각각의 터치 히트 영역을 측정한다
2. 하단 Nav 3탭 각각의 터치 히트 영역을 측정한다
3. 인접한 두 타겟 사이의 간격을 측정한다</t>
        </is>
      </c>
      <c r="J67" s="10" t="inlineStr">
        <is>
          <t>모든 터치 타겟이 44×44pt 이상이고 인접 타겟 간격이 8px 이상이다. radius가 있어도 히트 영역은 사각 44×44pt를 유지한다</t>
        </is>
      </c>
      <c r="K67" s="10" t="inlineStr"/>
      <c r="L67" s="10" t="inlineStr">
        <is>
          <t>PRD 2부 7.8 S-1·S-2 · PRD 1부 NFR-02</t>
        </is>
      </c>
      <c r="M67" s="10" t="inlineStr"/>
      <c r="N67" s="10" t="inlineStr"/>
    </row>
    <row r="68">
      <c r="A68" s="5" t="n">
        <v>67</v>
      </c>
      <c r="B68" s="10" t="inlineStr">
        <is>
          <t>TC-HOME-01-12</t>
        </is>
      </c>
      <c r="C68" s="10" t="inlineStr">
        <is>
          <t>02-홈</t>
        </is>
      </c>
      <c r="D68" s="10" t="inlineStr">
        <is>
          <t>HOME-01</t>
        </is>
      </c>
      <c r="E68" s="10" t="inlineStr">
        <is>
          <t>AC-06 · T-4</t>
        </is>
      </c>
      <c r="F68" s="5" t="inlineStr">
        <is>
          <t>접근성</t>
        </is>
      </c>
      <c r="G68" s="5" t="inlineStr">
        <is>
          <t>미실행</t>
        </is>
      </c>
      <c r="H68" s="10" t="inlineStr">
        <is>
          <t>S1 홈 진입 · OS 글자 크기 설정 200%</t>
        </is>
      </c>
      <c r="I68" s="10" t="inlineStr">
        <is>
          <t>1. OS 설정에서 글자 크기를 200%로 올린다
2. 홈으로 돌아와 메뉴 6버튼 라벨과 하단 탭 라벨을 본다</t>
        </is>
      </c>
      <c r="J68" s="10" t="inlineStr">
        <is>
          <t>6버튼 라벨과 3탭 라벨이 잘리거나 겹치지 않고, 그리드·탭 배치가 무너지지 않는다. 라벨이 말줄임으로 사라지지 않는다</t>
        </is>
      </c>
      <c r="K68" s="10" t="inlineStr"/>
      <c r="L68" s="10" t="inlineStr">
        <is>
          <t>PRD 1부 AC-06 · PRD 2부 7.3 T-4</t>
        </is>
      </c>
      <c r="M68" s="10" t="inlineStr">
        <is>
          <t>S2(1열 직렬)에서도 같은 측정을 반복한다</t>
        </is>
      </c>
      <c r="N68" s="10" t="inlineStr"/>
    </row>
    <row r="69">
      <c r="A69" s="5" t="n">
        <v>68</v>
      </c>
      <c r="B69" s="10" t="inlineStr">
        <is>
          <t>TC-HOME-01-13</t>
        </is>
      </c>
      <c r="C69" s="10" t="inlineStr">
        <is>
          <t>02-홈</t>
        </is>
      </c>
      <c r="D69" s="10" t="inlineStr">
        <is>
          <t>HOME-01</t>
        </is>
      </c>
      <c r="E69" s="10" t="inlineStr">
        <is>
          <t>NFR-05 · AC-05</t>
        </is>
      </c>
      <c r="F69" s="5" t="inlineStr">
        <is>
          <t>접근성</t>
        </is>
      </c>
      <c r="G69" s="5" t="inlineStr">
        <is>
          <t>미실행</t>
        </is>
      </c>
      <c r="H69" s="10" t="inlineStr">
        <is>
          <t>S2 유형 · 스크린리더 켬 · 홈 진입</t>
        </is>
      </c>
      <c r="I69" s="10" t="inlineStr">
        <is>
          <t>1. 메뉴 6버튼에 차례로 포커스를 옮긴다
2. 각 버튼의 낭독 문구를 기록한다</t>
        </is>
      </c>
      <c r="J69" s="10" t="inlineStr">
        <is>
          <t>각 버튼이 「길안내, 버튼」 형식으로 기능명 + 역할이 함께 낭독된다. 아이콘이 파일명·기호로 읽히거나 이름 없이 「버튼」만 읽히는 항목이 없다</t>
        </is>
      </c>
      <c r="K69" s="10" t="inlineStr"/>
      <c r="L69" s="10" t="inlineStr">
        <is>
          <t>PRD 1부 NFR-05 · UX 02-홈 4절 「음성(S2) 낭독 라벨」 칸</t>
        </is>
      </c>
      <c r="M69" s="10" t="inlineStr"/>
      <c r="N69" s="10" t="inlineStr"/>
    </row>
    <row r="70">
      <c r="A70" s="5" t="n">
        <v>69</v>
      </c>
      <c r="B70" s="10" t="inlineStr">
        <is>
          <t>TC-HOME-01-14</t>
        </is>
      </c>
      <c r="C70" s="10" t="inlineStr">
        <is>
          <t>02-홈</t>
        </is>
      </c>
      <c r="D70" s="10" t="inlineStr">
        <is>
          <t>HOME-01</t>
        </is>
      </c>
      <c r="E70" s="10" t="inlineStr">
        <is>
          <t>NFR-04</t>
        </is>
      </c>
      <c r="F70" s="5" t="inlineStr">
        <is>
          <t>접근성</t>
        </is>
      </c>
      <c r="G70" s="5" t="inlineStr">
        <is>
          <t>미실행</t>
        </is>
      </c>
      <c r="H70" s="10" t="inlineStr">
        <is>
          <t>S1 홈 진입</t>
        </is>
      </c>
      <c r="I70" s="10" t="inlineStr">
        <is>
          <t>1. 메뉴 6버튼과 하단 3탭을 누르기(탭) 동작만으로 차례로 실행한다
2. 드래그·스와이프·길게 누르기가 필요한 컨트롤이 있는지 확인한다</t>
        </is>
      </c>
      <c r="J70" s="10" t="inlineStr">
        <is>
          <t>홈의 모든 컨트롤이 단순 누르기만으로 실행된다. 누르기 외의 동작을 요구하는 컨트롤이 없다</t>
        </is>
      </c>
      <c r="K70" s="10" t="inlineStr"/>
      <c r="L70" s="10" t="inlineStr">
        <is>
          <t>PRD 1부 NFR-04 「모든 컨트롤은 누르기 동작만으로 제어 가능」</t>
        </is>
      </c>
      <c r="M70" s="10" t="inlineStr"/>
      <c r="N70" s="10" t="inlineStr"/>
    </row>
    <row r="71">
      <c r="A71" s="5" t="n">
        <v>70</v>
      </c>
      <c r="B71" s="10" t="inlineStr">
        <is>
          <t>TC-HOME-01-15</t>
        </is>
      </c>
      <c r="C71" s="10" t="inlineStr">
        <is>
          <t>02-홈</t>
        </is>
      </c>
      <c r="D71" s="10" t="inlineStr">
        <is>
          <t>HOME-01</t>
        </is>
      </c>
      <c r="E71" s="10" t="inlineStr">
        <is>
          <t>SC-01 · V-6</t>
        </is>
      </c>
      <c r="F71" s="5" t="inlineStr">
        <is>
          <t>기능</t>
        </is>
      </c>
      <c r="G71" s="5" t="inlineStr">
        <is>
          <t>미실행</t>
        </is>
      </c>
      <c r="H71" s="10" t="inlineStr">
        <is>
          <t>비회원 시작(`0-3`)으로 진입한 상태 · 홈</t>
        </is>
      </c>
      <c r="I71" s="10" t="inlineStr">
        <is>
          <t>1. 홈의 메뉴 6버튼 노출 상태를 확인한다
2. 회원 전용 기능에 해당하는 메뉴를 선택한다</t>
        </is>
      </c>
      <c r="J71" s="10" t="inlineStr">
        <is>
          <t>홈 메뉴는 회원과 동일하게 6개가 그대로 노출되고, 회원 전용 기능은 진입 시점에 비회원 차단 다이얼로그가 뜬다. 메뉴를 숨기거나 침묵으로 막지 않는다</t>
        </is>
      </c>
      <c r="K71" s="10" t="inlineStr"/>
      <c r="L71" s="10" t="inlineStr">
        <is>
          <t>UX 02-홈 7절 예외 케이스 · 01-로그인-회원가입 6절</t>
        </is>
      </c>
      <c r="M71" s="10" t="inlineStr"/>
      <c r="N71" s="10" t="inlineStr"/>
    </row>
    <row r="72">
      <c r="A72" s="5" t="n">
        <v>71</v>
      </c>
      <c r="B72" s="10" t="inlineStr">
        <is>
          <t>TC-HOME-01-16</t>
        </is>
      </c>
      <c r="C72" s="10" t="inlineStr">
        <is>
          <t>02-홈</t>
        </is>
      </c>
      <c r="D72" s="10" t="inlineStr">
        <is>
          <t>HOME-01</t>
        </is>
      </c>
      <c r="E72" s="10" t="inlineStr">
        <is>
          <t>SC-01</t>
        </is>
      </c>
      <c r="F72" s="5" t="inlineStr">
        <is>
          <t>기능</t>
        </is>
      </c>
      <c r="G72" s="12" t="inlineStr">
        <is>
          <t>보류</t>
        </is>
      </c>
      <c r="H72" s="10" t="inlineStr">
        <is>
          <t>실시간 안내(내비게이션)가 진행 중인 상태에서 홈으로 이동</t>
        </is>
      </c>
      <c r="I72" s="10" t="inlineStr">
        <is>
          <t>1. 길안내를 시작해 안내가 진행 중인 상태를 만든다
2. 하단 Nav로 홈으로 이동한다
3. 홈에서 실시간 안내 상태 표시를 찾는다</t>
        </is>
      </c>
      <c r="J72" s="10" t="inlineStr">
        <is>
          <t>보류 — 사양이 갈린다. PRD `SC-01`은 「실시간 안내 상태를 텍스트로 명시」를 요구하지만 UX 02-홈 현행 구성은 앱바·메뉴 6버튼·하단 3탭 셋뿐이고 실시간 안내 카드 자리가 없다. UX가 이를 U-40(홈 레이아웃 3중 불일치)·U-35(화면에 반영되지 않은 PRD 홈 요건)로 등재해 두었다</t>
        </is>
      </c>
      <c r="K72" s="10" t="inlineStr"/>
      <c r="L72" s="10" t="inlineStr">
        <is>
          <t>PRD 2부 7.4 SC-01 「실시간 안내 상태를 텍스트로 명시」 · UX 02-홈 8.1절 U-40·U-35</t>
        </is>
      </c>
      <c r="M72" s="10" t="inlineStr">
        <is>
          <t>소관 PM · 판정 전까지 합/불합을 가를 수 없다</t>
        </is>
      </c>
      <c r="N72" s="10" t="inlineStr"/>
    </row>
    <row r="73">
      <c r="A73" s="5" t="n">
        <v>72</v>
      </c>
      <c r="B73" s="10" t="inlineStr">
        <is>
          <t>TC-HOME-01-17</t>
        </is>
      </c>
      <c r="C73" s="10" t="inlineStr">
        <is>
          <t>02-홈</t>
        </is>
      </c>
      <c r="D73" s="10" t="inlineStr">
        <is>
          <t>HOME-01</t>
        </is>
      </c>
      <c r="E73" s="10" t="inlineStr">
        <is>
          <t>SC-01 · US-01</t>
        </is>
      </c>
      <c r="F73" s="5" t="inlineStr">
        <is>
          <t>기능</t>
        </is>
      </c>
      <c r="G73" s="12" t="inlineStr">
        <is>
          <t>보류</t>
        </is>
      </c>
      <c r="H73" s="10" t="inlineStr">
        <is>
          <t>S1 홈 진입</t>
        </is>
      </c>
      <c r="I73" s="10" t="inlineStr">
        <is>
          <t>1. 홈에서 주변 탐색 진입점을 찾는다
2. 그 진입점이 전면 배치인지(6버튼 중 어디에 놓였는지) 확인한다</t>
        </is>
      </c>
      <c r="J73" s="10" t="inlineStr">
        <is>
          <t>보류 — 사양이 갈린다. PRD `SC-01`은 주변 탐색을 홈의 핵심 진입점으로 전면 배치할 것을 요구하지만, UX 02-홈 메뉴 6종에 주변 탐색이 없다(가장 가까운 「인근 편의시설」은 `1-2` 계열로 축이 다르다). UX가 U-35로 등재했고 KWCAG 심사 대상으로 표시했다</t>
        </is>
      </c>
      <c r="K73" s="10" t="inlineStr"/>
      <c r="L73" s="10" t="inlineStr">
        <is>
          <t>PRD 2부 7.4 SC-01 「주변 탐색(US-01)을 핵심 진입점으로 전면 배치」 · UX 02-홈 8.1절 U-35</t>
        </is>
      </c>
      <c r="M73" s="10" t="inlineStr">
        <is>
          <t>소관 PM · 주변 탐색 독립 화면 확정(2026-08-21)과 홈 배치 요건의 관계가 정리되지 않았다</t>
        </is>
      </c>
      <c r="N73" s="10" t="inlineStr"/>
    </row>
    <row r="74">
      <c r="A74" s="5" t="n">
        <v>73</v>
      </c>
      <c r="B74" s="10" t="inlineStr">
        <is>
          <t>TC-HOME-01-18</t>
        </is>
      </c>
      <c r="C74" s="10" t="inlineStr">
        <is>
          <t>02-홈</t>
        </is>
      </c>
      <c r="D74" s="10" t="inlineStr">
        <is>
          <t>HOME-01</t>
        </is>
      </c>
      <c r="E74" s="10" t="inlineStr">
        <is>
          <t>V-10</t>
        </is>
      </c>
      <c r="F74" s="5" t="inlineStr">
        <is>
          <t>기능</t>
        </is>
      </c>
      <c r="G74" s="12" t="inlineStr">
        <is>
          <t>보류</t>
        </is>
      </c>
      <c r="H74" s="10" t="inlineStr">
        <is>
          <t>S1 홈 진입</t>
        </is>
      </c>
      <c r="I74" s="10" t="inlineStr">
        <is>
          <t>1. 홈에서 지도 확대·축소 버튼을 찾는다</t>
        </is>
      </c>
      <c r="J74" s="10" t="inlineStr">
        <is>
          <t>보류 — 사양이 갈린다. UX 02-홈 U-35가 확대·축소(`V-10`)를 「화면에 반영되지 않은 PRD 홈 요건」으로 등재했으나, 같은 `SC-01`이 홈에서 지도를 제거해 대체할 다중 포인터 제스처 자체가 홈에 없다. 요건이 홈에 걸리는지부터 판정이 필요하다</t>
        </is>
      </c>
      <c r="K74" s="10" t="inlineStr"/>
      <c r="L74" s="10" t="inlineStr">
        <is>
          <t>PRD 2부 7.4 V-10 · UX 02-홈 8.1절 U-35 · PRD 2부 7.4 SC-01 주석</t>
        </is>
      </c>
      <c r="M74" s="10" t="inlineStr">
        <is>
          <t>소관 PM · 지도가 있는 화면(`ROUTE-01` 등)에서의 `V-10`은 03-길안내 TC가 담는다</t>
        </is>
      </c>
      <c r="N74" s="10" t="inlineStr"/>
    </row>
    <row r="75">
      <c r="A75" s="5" t="n">
        <v>74</v>
      </c>
      <c r="B75" s="10" t="inlineStr">
        <is>
          <t>TC-ROUTE-01-01</t>
        </is>
      </c>
      <c r="C75" s="10" t="inlineStr">
        <is>
          <t>03-길안내</t>
        </is>
      </c>
      <c r="D75" s="10" t="inlineStr">
        <is>
          <t>ROUTE-01</t>
        </is>
      </c>
      <c r="E75" s="10" t="inlineStr">
        <is>
          <t>SC-02</t>
        </is>
      </c>
      <c r="F75" s="5" t="inlineStr">
        <is>
          <t>기능</t>
        </is>
      </c>
      <c r="G75" s="5" t="inlineStr">
        <is>
          <t>미실행</t>
        </is>
      </c>
      <c r="H75" s="10" t="inlineStr">
        <is>
          <t>S1 유형 · 하단 Nav 「길안내」로 `2-0` 최초 진입(경로 미입력)</t>
        </is>
      </c>
      <c r="I75" s="10" t="inlineStr">
        <is>
          <t>1. `2-0`에 진입해 바텀시트의 기본 크기를 확인한다
2. 시트 안의 섹션 이름과 순서를 위에서부터 읽는다
3. 각 섹션의 항목 개수를 센다</t>
        </is>
      </c>
      <c r="J75" s="10" t="inlineStr">
        <is>
          <t>시트가 최대화 상태로 열리고, 즐겨찾기(칩 3개: 집·회사·복지관) → 인근 편의시설(칩 7개) → 최근 도착지(행 2개) 순으로 표출된다</t>
        </is>
      </c>
      <c r="K75" s="10" t="inlineStr"/>
      <c r="L75" s="10" t="inlineStr">
        <is>
          <t>UX 03-길안내-메인 4.1절 · 6절 요소 6~8</t>
        </is>
      </c>
      <c r="M75" s="10" t="inlineStr"/>
      <c r="N75" s="10" t="inlineStr"/>
    </row>
    <row r="76">
      <c r="A76" s="5" t="n">
        <v>75</v>
      </c>
      <c r="B76" s="10" t="inlineStr">
        <is>
          <t>TC-ROUTE-01-02</t>
        </is>
      </c>
      <c r="C76" s="10" t="inlineStr">
        <is>
          <t>03-길안내</t>
        </is>
      </c>
      <c r="D76" s="10" t="inlineStr">
        <is>
          <t>ROUTE-01</t>
        </is>
      </c>
      <c r="E76" s="10" t="inlineStr">
        <is>
          <t>SC-02 · NFR-04</t>
        </is>
      </c>
      <c r="F76" s="5" t="inlineStr">
        <is>
          <t>기능</t>
        </is>
      </c>
      <c r="G76" s="5" t="inlineStr">
        <is>
          <t>미실행</t>
        </is>
      </c>
      <c r="H76" s="10" t="inlineStr">
        <is>
          <t>S1 · `2-0` 시트 최대화 상태</t>
        </is>
      </c>
      <c r="I76" s="10" t="inlineStr">
        <is>
          <t>1. 즐겨찾기 섹션 헤더 우측에 더보기 `[&gt;]`가 있는지 본다
2. 인근 편의시설 섹션 헤더 우측을 본다
3. 최근 도착지 섹션 헤더와 그 개별 행 우측을 각각 본다</t>
        </is>
      </c>
      <c r="J76" s="10" t="inlineStr">
        <is>
          <t>`[&gt;]` 더보기는 즐겨찾기 섹션 헤더와 최근 도착지 섹션 헤더 2곳에만 있다. 인근 편의시설 섹션에는 없고, 최근 도착지의 개별 행에도 없다</t>
        </is>
      </c>
      <c r="K76" s="10" t="inlineStr"/>
      <c r="L76" s="10" t="inlineStr">
        <is>
          <t>UX 03-길안내-메인 6절 요소 6~8 및 그 아래 ⛔ 조항</t>
        </is>
      </c>
      <c r="M76" s="10" t="inlineStr">
        <is>
          <t>이동처가 없는 컨트롤을 두지 않는다는 조항이다 — 인근 편의시설에 `[&gt;]`가 있으면 실패다</t>
        </is>
      </c>
      <c r="N76" s="10" t="inlineStr"/>
    </row>
    <row r="77">
      <c r="A77" s="5" t="n">
        <v>76</v>
      </c>
      <c r="B77" s="10" t="inlineStr">
        <is>
          <t>TC-ROUTE-01-03</t>
        </is>
      </c>
      <c r="C77" s="10" t="inlineStr">
        <is>
          <t>03-길안내</t>
        </is>
      </c>
      <c r="D77" s="10" t="inlineStr">
        <is>
          <t>ROUTE-01</t>
        </is>
      </c>
      <c r="E77" s="10" t="inlineStr">
        <is>
          <t>SC-02</t>
        </is>
      </c>
      <c r="F77" s="5" t="inlineStr">
        <is>
          <t>기능</t>
        </is>
      </c>
      <c r="G77" s="5" t="inlineStr">
        <is>
          <t>미실행</t>
        </is>
      </c>
      <c r="H77" s="10" t="inlineStr">
        <is>
          <t>S1 · `2-0` 시트 최대화 상태</t>
        </is>
      </c>
      <c r="I77" s="10" t="inlineStr">
        <is>
          <t>1. 시트 전환 컨트롤(손잡이)을 눌러 최소화로 전환한다
2. 시트에 남는 요소를 확인한다
3. 지도 우하단에 「내 위치」 컨트롤이 나타나는지 본다
4. 다시 최대화로 되돌려 「내 위치」 노출 여부를 본다</t>
        </is>
      </c>
      <c r="J77" s="10" t="inlineStr">
        <is>
          <t>최소화하면 시트에 손잡이만 남고 지도·POI가 드러나며 「내 위치」가 노출된다. 최대화로 되돌리면 「내 위치」가 사라진다. 최대화와 최소화 사이의 중간 단계는 없다</t>
        </is>
      </c>
      <c r="K77" s="10" t="inlineStr"/>
      <c r="L77" s="10" t="inlineStr">
        <is>
          <t>UX 03-길안내-메인 4.2절 · 5.1절 · 6절 요소 3</t>
        </is>
      </c>
      <c r="M77" s="10" t="inlineStr"/>
      <c r="N77" s="10" t="inlineStr"/>
    </row>
    <row r="78">
      <c r="A78" s="5" t="n">
        <v>77</v>
      </c>
      <c r="B78" s="10" t="inlineStr">
        <is>
          <t>TC-ROUTE-01-04</t>
        </is>
      </c>
      <c r="C78" s="10" t="inlineStr">
        <is>
          <t>03-길안내</t>
        </is>
      </c>
      <c r="D78" s="10" t="inlineStr">
        <is>
          <t>ROUTE-01</t>
        </is>
      </c>
      <c r="E78" s="10" t="inlineStr">
        <is>
          <t>V-10 · NFR-04</t>
        </is>
      </c>
      <c r="F78" s="5" t="inlineStr">
        <is>
          <t>접근성</t>
        </is>
      </c>
      <c r="G78" s="5" t="inlineStr">
        <is>
          <t>미실행</t>
        </is>
      </c>
      <c r="H78" s="10" t="inlineStr">
        <is>
          <t>S1 · `2-0` 진입</t>
        </is>
      </c>
      <c r="I78" s="10" t="inlineStr">
        <is>
          <t>1. 드래그를 쓰지 않고 시트 전환 컨트롤을 한 번 누른다
2. 시트 크기가 바뀌는지 본다
3. 같은 방식으로 다시 눌러 원래 크기로 돌아오는지 본다</t>
        </is>
      </c>
      <c r="J78" s="10" t="inlineStr">
        <is>
          <t>최대화 ↔ 최소화 전환이 누르기 동작만으로 양방향 모두 성립한다. 드래그를 병행 제공하는 것은 무방하나 드래그 없이는 전환할 수 없으면 실패다</t>
        </is>
      </c>
      <c r="K78" s="10" t="inlineStr"/>
      <c r="L78" s="10" t="inlineStr">
        <is>
          <t>UX 03-길안내-메인 6절 요소 4 · PRD 2부 7.4 V-10 적용 사례</t>
        </is>
      </c>
      <c r="M78" s="10" t="inlineStr">
        <is>
          <t>크롬 없는 토글(핸들 탭)을 택했다면 보조 기술에 컨트롤로 노출되고 초점을 받는지도 함께 본다</t>
        </is>
      </c>
      <c r="N78" s="10" t="inlineStr"/>
    </row>
    <row r="79">
      <c r="A79" s="5" t="n">
        <v>78</v>
      </c>
      <c r="B79" s="10" t="inlineStr">
        <is>
          <t>TC-ROUTE-01-05</t>
        </is>
      </c>
      <c r="C79" s="10" t="inlineStr">
        <is>
          <t>03-길안내</t>
        </is>
      </c>
      <c r="D79" s="10" t="inlineStr">
        <is>
          <t>ROUTE-01 · ROUTE-02</t>
        </is>
      </c>
      <c r="E79" s="10" t="inlineStr">
        <is>
          <t>V-1 · AC-05</t>
        </is>
      </c>
      <c r="F79" s="5" t="inlineStr">
        <is>
          <t>접근성</t>
        </is>
      </c>
      <c r="G79" s="5" t="inlineStr">
        <is>
          <t>미실행</t>
        </is>
      </c>
      <c r="H79" s="10" t="inlineStr">
        <is>
          <t>S2(전맹) 유형 · 스크린리더 켬 · `2-0` 진입</t>
        </is>
      </c>
      <c r="I79" s="10" t="inlineStr">
        <is>
          <t>1. 경로 입력 전 상태에서 바텀시트에 포커스를 올려 시트 이름 낭독을 듣는다
2. 시트 첫 줄에 시각적 제목(h2)이 그려져 있는지 본다
3. 출발지·도착지를 모두 입력해 경로 리스트 상태로 만든 뒤 시트 이름 낭독을 다시 듣는다</t>
        </is>
      </c>
      <c r="J79" s="10" t="inlineStr">
        <is>
          <t>경로 입력 전에는 「도착지 선택」, 경로 리스트 상태에서는 「경로 목록」으로 낭독된다. 이름은 낭독 전용이라 화면에 그려지지 않고, 시트 첫 줄은 즐겨찾기 섹션 헤더다. 어느 상태에서도 「길안내」로 낭독되지 않는다</t>
        </is>
      </c>
      <c r="K79" s="10" t="inlineStr"/>
      <c r="L79" s="10" t="inlineStr">
        <is>
          <t>UX 03-길안내-메인 5.2절</t>
        </is>
      </c>
      <c r="M79" s="10" t="inlineStr">
        <is>
          <t>화면명(`2-0` 길안내)과 같은 낱말을 두 번 듣게 되면 이동 여부를 알 수 없다는 것이 금지 근거다</t>
        </is>
      </c>
      <c r="N79" s="10" t="inlineStr"/>
    </row>
    <row r="80">
      <c r="A80" s="5" t="n">
        <v>79</v>
      </c>
      <c r="B80" s="10" t="inlineStr">
        <is>
          <t>TC-ROUTE-01-06</t>
        </is>
      </c>
      <c r="C80" s="10" t="inlineStr">
        <is>
          <t>03-길안내</t>
        </is>
      </c>
      <c r="D80" s="10" t="inlineStr">
        <is>
          <t>ROUTE-01</t>
        </is>
      </c>
      <c r="E80" s="10" t="inlineStr">
        <is>
          <t>V-10</t>
        </is>
      </c>
      <c r="F80" s="5" t="inlineStr">
        <is>
          <t>기능</t>
        </is>
      </c>
      <c r="G80" s="5" t="inlineStr">
        <is>
          <t>미실행</t>
        </is>
      </c>
      <c r="H80" s="10" t="inlineStr">
        <is>
          <t>S1 · `2-0` 시트 최소화 상태(지도 조작 가능)</t>
        </is>
      </c>
      <c r="I80" s="10" t="inlineStr">
        <is>
          <t>1. 두 손가락 회전 제스처로 지도를 돌린다
2. 「정북 복원」 컨트롤이 표출되는지 본다
3. 「정북 복원」을 한 번 누른다
4. 지도의 방위·기울기와 컨트롤 표출 상태, 그리고 지도 중심 위치를 확인한다</t>
        </is>
      </c>
      <c r="J80" s="10" t="inlineStr">
        <is>
          <t>방위축이 정북이 아닐 때 「정북 복원」이 표출되고, 누르기 한 번으로 방위 0°·기울기 0°가 복원되며 컨트롤은 미표출로 바뀐다. 위치축은 변하지 않는다</t>
        </is>
      </c>
      <c r="K80" s="10" t="inlineStr"/>
      <c r="L80" s="10" t="inlineStr">
        <is>
          <t>UX 00-공통 3.2·3.3·3.5절</t>
        </is>
      </c>
      <c r="M80" s="10" t="inlineStr">
        <is>
          <t>회전·기울이기는 앱이 지도 SDK로 직접 켠 다중 포인터 제스처라 `KWCAG 6.5.1` 면제 2건에 해당하지 않는다</t>
        </is>
      </c>
      <c r="N80" s="10" t="inlineStr"/>
    </row>
    <row r="81">
      <c r="A81" s="5" t="n">
        <v>80</v>
      </c>
      <c r="B81" s="10" t="inlineStr">
        <is>
          <t>TC-ROUTE-01-07</t>
        </is>
      </c>
      <c r="C81" s="10" t="inlineStr">
        <is>
          <t>03-길안내</t>
        </is>
      </c>
      <c r="D81" s="10" t="inlineStr">
        <is>
          <t>ROUTE-01</t>
        </is>
      </c>
      <c r="E81" s="10" t="inlineStr">
        <is>
          <t>V-3</t>
        </is>
      </c>
      <c r="F81" s="5" t="inlineStr">
        <is>
          <t>접근성</t>
        </is>
      </c>
      <c r="G81" s="5" t="inlineStr">
        <is>
          <t>미실행</t>
        </is>
      </c>
      <c r="H81" s="10" t="inlineStr">
        <is>
          <t>S1 · `2-0` 시트 최소화 상태</t>
        </is>
      </c>
      <c r="I81" s="10" t="inlineStr">
        <is>
          <t>1. 추적 중 상태에서 「내 위치」 아이콘을 캡처한다
2. 지도를 팬해 이탈 상태를 만들고 다시 캡처한다
3. 회전뷰로 전환해 세 번째 상태를 캡처한다
4. 세 캡처를 회색조로 변환해 구분되는지 본다</t>
        </is>
      </c>
      <c r="J81" s="10" t="inlineStr">
        <is>
          <t>활성·비활성·회전뷰 3상태가 색뿐 아니라 아이콘 형태로도 달라져 회색조에서도 구분된다. 색만 바뀌고 형태가 같으면 실패다</t>
        </is>
      </c>
      <c r="K81" s="10" t="inlineStr"/>
      <c r="L81" s="10" t="inlineStr">
        <is>
          <t>UX 00-공통 3.2·3.4절</t>
        </is>
      </c>
      <c r="M81" s="10" t="inlineStr">
        <is>
          <t>실제 도형은 디자인 소관(U-99)이라 형태 자체는 판정하지 않고 「형태가 갈리는가」만 본다</t>
        </is>
      </c>
      <c r="N81" s="10" t="inlineStr"/>
    </row>
    <row r="82">
      <c r="A82" s="5" t="n">
        <v>81</v>
      </c>
      <c r="B82" s="10" t="inlineStr">
        <is>
          <t>TC-ROUTE-01-08</t>
        </is>
      </c>
      <c r="C82" s="10" t="inlineStr">
        <is>
          <t>03-길안내</t>
        </is>
      </c>
      <c r="D82" s="10" t="inlineStr">
        <is>
          <t>ROUTE-01</t>
        </is>
      </c>
      <c r="E82" s="10" t="inlineStr">
        <is>
          <t>V-10</t>
        </is>
      </c>
      <c r="F82" s="5" t="inlineStr">
        <is>
          <t>기능</t>
        </is>
      </c>
      <c r="G82" s="12" t="inlineStr">
        <is>
          <t>보류</t>
        </is>
      </c>
      <c r="H82" s="10" t="inlineStr">
        <is>
          <t>S1 · `2-0` 지도 표출 상태</t>
        </is>
      </c>
      <c r="I82" s="10" t="inlineStr">
        <is>
          <t>1. 지도 영역에서 확대·축소 버튼을 찾는다
2. 버튼이 어느 시트 상태에서 노출되는지 확인한다</t>
        </is>
      </c>
      <c r="J82" s="10" t="inlineStr">
        <is>
          <t>보류 — 사양이 갈린다. PRD `V-10`은 지도 확대·축소 버튼을 핀치의 단일 포인터 대체로 요구사양으로 두고 「구현 완료」로 적지만, UX 03-길안내-메인 화면 구성(4.1·4.2절)에는 「내 위치」만 그려져 있고 확대·축소 버튼의 노출 위치·조건이 없다. 00-공통 3.5절도 핀치줌과 `[+]/[-]`를 「같은 자리」로 언급만 한다</t>
        </is>
      </c>
      <c r="K82" s="10" t="inlineStr"/>
      <c r="L82" s="10" t="inlineStr">
        <is>
          <t>PRD 2부 7.4 V-10 · UX 00-공통 3.5절 · UX 03-길안내-메인 4.1·4.2절</t>
        </is>
      </c>
      <c r="M82" s="10" t="inlineStr">
        <is>
          <t>소관 기획·디자인 · 요건 자체는 살아 있으므로 노출 사양이 정해지는 대로 미실행으로 되돌린다</t>
        </is>
      </c>
      <c r="N82" s="10" t="inlineStr"/>
    </row>
    <row r="83">
      <c r="A83" s="5" t="n">
        <v>82</v>
      </c>
      <c r="B83" s="10" t="inlineStr">
        <is>
          <t>TC-ROUTE-01-09</t>
        </is>
      </c>
      <c r="C83" s="10" t="inlineStr">
        <is>
          <t>03-길안내</t>
        </is>
      </c>
      <c r="D83" s="10" t="inlineStr">
        <is>
          <t>ROUTE-01</t>
        </is>
      </c>
      <c r="E83" s="10" t="inlineStr">
        <is>
          <t>C-4</t>
        </is>
      </c>
      <c r="F83" s="5" t="inlineStr">
        <is>
          <t>접근성</t>
        </is>
      </c>
      <c r="G83" s="5" t="inlineStr">
        <is>
          <t>미실행</t>
        </is>
      </c>
      <c r="H83" s="10" t="inlineStr">
        <is>
          <t>S1 · `2-0` 시트 최소화 상태 · 밝은 지형과 어두운 지형이 함께 보이도록 지도 이동</t>
        </is>
      </c>
      <c r="I83" s="10" t="inlineStr">
        <is>
          <t>1. 지도 위에 표출되는 텍스트(POI 라벨·핀 라벨·경로 표기)를 찾는다
2. 그 텍스트의 배경판이 있는지, 배경판 너머로 지도가 비치는지 본다
3. 밝은 배경 위와 어두운 배경 위에서 각각 확인한다</t>
        </is>
      </c>
      <c r="J83" s="10" t="inlineStr">
        <is>
          <t>지도 위 텍스트가 불투명 배경판을 갖고, 배경판 너머로 지도가 비치지 않는다. 반투명 배경판이나 배경판 없는 텍스트가 있으면 실패다</t>
        </is>
      </c>
      <c r="K83" s="10" t="inlineStr"/>
      <c r="L83" s="10" t="inlineStr">
        <is>
          <t>PRD 2부 C-4 · UX 03-길안내-메인 6절 요소 2</t>
        </is>
      </c>
      <c r="M83" s="10" t="inlineStr">
        <is>
          <t>배경이 가변이라 대비를 보증할 수 없다는 것이 불투명을 요구하는 근거다</t>
        </is>
      </c>
      <c r="N83" s="10" t="inlineStr"/>
    </row>
    <row r="84">
      <c r="A84" s="5" t="n">
        <v>83</v>
      </c>
      <c r="B84" s="10" t="inlineStr">
        <is>
          <t>TC-ROUTE-01-10</t>
        </is>
      </c>
      <c r="C84" s="10" t="inlineStr">
        <is>
          <t>03-길안내</t>
        </is>
      </c>
      <c r="D84" s="10" t="inlineStr">
        <is>
          <t>ROUTE-01</t>
        </is>
      </c>
      <c r="E84" s="10" t="inlineStr">
        <is>
          <t>MB-3</t>
        </is>
      </c>
      <c r="F84" s="5" t="inlineStr">
        <is>
          <t>비기능</t>
        </is>
      </c>
      <c r="G84" s="5" t="inlineStr">
        <is>
          <t>미실행</t>
        </is>
      </c>
      <c r="H84" s="10" t="inlineStr">
        <is>
          <t>Appsource 리포 체크아웃 상태 · 길안내 feature 모듈 구현분 존재</t>
        </is>
      </c>
      <c r="I84" s="10" t="inlineStr">
        <is>
          <t>1. `Appsource/feature/` 하위 모듈의 build 스크립트에서 지도 SDK 의존성 선언을 찾는다
2. 같은 모듈의 소스에서 지도 SDK 패키지를 직접 import하는 구문을 찾는다
3. 지도 사용 지점이 `core/map`이 노출하는 타입만 참조하는지 확인한다</t>
        </is>
      </c>
      <c r="J84" s="10" t="inlineStr">
        <is>
          <t>feature 모듈 어디에도 지도 SDK 직접 의존·직접 import가 없고, 지도 접근이 전부 `core/map` 격리 모듈을 경유한다</t>
        </is>
      </c>
      <c r="K84" s="10" t="inlineStr"/>
      <c r="L84" s="10" t="inlineStr">
        <is>
          <t>PRD 2부 MB-3 · Appsource 모듈 구조(`core/map` · `feature/`)</t>
        </is>
      </c>
      <c r="M84" s="10" t="inlineStr">
        <is>
          <t>베이스맵(M-02)이 번복돼도 영향 범위를 1개 모듈로 묶기 위한 요건이다</t>
        </is>
      </c>
      <c r="N84" s="10" t="inlineStr"/>
    </row>
    <row r="85">
      <c r="A85" s="5" t="n">
        <v>84</v>
      </c>
      <c r="B85" s="10" t="inlineStr">
        <is>
          <t>TC-ROUTE-01-11</t>
        </is>
      </c>
      <c r="C85" s="10" t="inlineStr">
        <is>
          <t>03-길안내</t>
        </is>
      </c>
      <c r="D85" s="10" t="inlineStr">
        <is>
          <t>ROUTE-01</t>
        </is>
      </c>
      <c r="E85" s="10" t="inlineStr">
        <is>
          <t>SC-02 · AC-05</t>
        </is>
      </c>
      <c r="F85" s="5" t="inlineStr">
        <is>
          <t>기능</t>
        </is>
      </c>
      <c r="G85" s="5" t="inlineStr">
        <is>
          <t>미실행</t>
        </is>
      </c>
      <c r="H85" s="10" t="inlineStr">
        <is>
          <t>최근 도착지가 2건 이상 쌓인 계정 · `2-0` 시트 최대화 상태</t>
        </is>
      </c>
      <c r="I85" s="10" t="inlineStr">
        <is>
          <t>1. 최근 도착지 섹션의 행 하나를 행 전체 영역에서 누른다
2. 이동한 화면과 도착지 입력값을 확인한다
3. S2에서 같은 행에 포커스를 올려 낭독 문구를 듣는다</t>
        </is>
      </c>
      <c r="J85" s="10" t="inlineStr">
        <is>
          <t>행 전체가 「도착지로 설정」 단일 동작으로 작동해 상세 확인 뎁스 없이 그 장소가 도착지로 들어간다. S2 낭독은 「{장소명}, 도착지로 설정, 버튼」이다</t>
        </is>
      </c>
      <c r="K85" s="10" t="inlineStr"/>
      <c r="L85" s="10" t="inlineStr">
        <is>
          <t>UX 03-길안내-메인 6절 요소 8</t>
        </is>
      </c>
      <c r="M85" s="10" t="inlineStr"/>
      <c r="N85" s="10" t="inlineStr"/>
    </row>
    <row r="86">
      <c r="A86" s="5" t="n">
        <v>85</v>
      </c>
      <c r="B86" s="10" t="inlineStr">
        <is>
          <t>TC-ROUTE-01-12</t>
        </is>
      </c>
      <c r="C86" s="10" t="inlineStr">
        <is>
          <t>03-길안내</t>
        </is>
      </c>
      <c r="D86" s="10" t="inlineStr">
        <is>
          <t>ROUTE-01</t>
        </is>
      </c>
      <c r="E86" s="10" t="inlineStr">
        <is>
          <t>SC-02</t>
        </is>
      </c>
      <c r="F86" s="5" t="inlineStr">
        <is>
          <t>기능</t>
        </is>
      </c>
      <c r="G86" s="5" t="inlineStr">
        <is>
          <t>미실행</t>
        </is>
      </c>
      <c r="H86" s="10" t="inlineStr">
        <is>
          <t>S1 · `2-0` 시트 최대화 상태</t>
        </is>
      </c>
      <c r="I86" s="10" t="inlineStr">
        <is>
          <t>1. 인근 편의시설 칩 중 하나(예: 장애인 화장실)를 선택한다
2. 이동 결과와 출발지·도착지 입력값을 확인한다</t>
        </is>
      </c>
      <c r="J86" s="10" t="inlineStr">
        <is>
          <t>그 항목 자체가 페이지(`1-2` 계열)로 열린다. 칩 선택이 도착지 설정으로 이어지지 않고 경로 탐색이 시작되지 않는다</t>
        </is>
      </c>
      <c r="K86" s="10" t="inlineStr"/>
      <c r="L86" s="10" t="inlineStr">
        <is>
          <t>UX 03-길안내-메인 5.2절 · 6절 요소 7</t>
        </is>
      </c>
      <c r="M86" s="10" t="inlineStr">
        <is>
          <t>즐겨찾기 칩(도착지로 설정)과 동작 축이 다르다 — 같게 동작하면 실패다</t>
        </is>
      </c>
      <c r="N86" s="10" t="inlineStr"/>
    </row>
    <row r="87">
      <c r="A87" s="5" t="n">
        <v>86</v>
      </c>
      <c r="B87" s="10" t="inlineStr">
        <is>
          <t>TC-ROUTE-01-13</t>
        </is>
      </c>
      <c r="C87" s="10" t="inlineStr">
        <is>
          <t>03-길안내</t>
        </is>
      </c>
      <c r="D87" s="10" t="inlineStr">
        <is>
          <t>ROUTE-01</t>
        </is>
      </c>
      <c r="E87" s="10" t="inlineStr">
        <is>
          <t>V-1 · AC-05</t>
        </is>
      </c>
      <c r="F87" s="5" t="inlineStr">
        <is>
          <t>접근성</t>
        </is>
      </c>
      <c r="G87" s="5" t="inlineStr">
        <is>
          <t>미실행</t>
        </is>
      </c>
      <c r="H87" s="10" t="inlineStr">
        <is>
          <t>S2(전맹) 유형 · 스크린리더 켬 · `2-0` 진입</t>
        </is>
      </c>
      <c r="I87" s="10" t="inlineStr">
        <is>
          <t>1. 시트 최상단 요소를 확인한다
2. [음성인식 시작하기]를 선택해 이동 결과를 본다
3. 화면 하단의 음성 안내 뱃지에 포커스를 옮겨 보고 선택도 시도한다</t>
        </is>
      </c>
      <c r="J87" s="10" t="inlineStr">
        <is>
          <t>[음성인식 시작하기]가 시트 최상단에 있고 선택 시 `S2-2` 챗봇형 대화창으로 이동한다. 음성 안내 뱃지는 하단 고정 표시이며 버튼이 아니어서 선택해도 아무 동작이 일어나지 않는다. 두 요소 모두 S1에는 없다</t>
        </is>
      </c>
      <c r="K87" s="10" t="inlineStr"/>
      <c r="L87" s="10" t="inlineStr">
        <is>
          <t>UX 03-길안내-메인 4.3절 · 6절 요소 5·10 · 00-공통 9절</t>
        </is>
      </c>
      <c r="M87" s="10" t="inlineStr">
        <is>
          <t>음성인식 진입점은 `2-0` 전맹 화면의 시트 최상단 1곳뿐이다 — 홈에 있으면 실패다</t>
        </is>
      </c>
      <c r="N87" s="10" t="inlineStr"/>
    </row>
    <row r="88">
      <c r="A88" s="5" t="n">
        <v>87</v>
      </c>
      <c r="B88" s="10" t="inlineStr">
        <is>
          <t>TC-ROUTE-01-14</t>
        </is>
      </c>
      <c r="C88" s="10" t="inlineStr">
        <is>
          <t>03-길안내</t>
        </is>
      </c>
      <c r="D88" s="10" t="inlineStr">
        <is>
          <t>ROUTE-01</t>
        </is>
      </c>
      <c r="E88" s="10" t="inlineStr">
        <is>
          <t>NFR-04 · AC-05</t>
        </is>
      </c>
      <c r="F88" s="5" t="inlineStr">
        <is>
          <t>접근성</t>
        </is>
      </c>
      <c r="G88" s="5" t="inlineStr">
        <is>
          <t>미실행</t>
        </is>
      </c>
      <c r="H88" s="10" t="inlineStr">
        <is>
          <t>S2 유형 · 스크린리더 켬 · `2-0` 진입(경로 미입력 = 「도착지 선택」 상태)</t>
        </is>
      </c>
      <c r="I88" s="10" t="inlineStr">
        <is>
          <t>1. 시트 안 첫 요소부터 스와이프로 포커스를 끝까지 이동시킨다
2. 낭독된 항목 순서를 기록한다</t>
        </is>
      </c>
      <c r="J88" s="10" t="inlineStr">
        <is>
          <t>시트 이름 → 시트 전환 컨트롤 → [음성인식 시작하기] → 즐겨찾기 → 인근 편의시설 → 최근 도착지 순으로 낭독된다. 전환 컨트롤이 콘텐츠보다 먼저 오고, 지도는 포커스 순서에 들어가지 않는다</t>
        </is>
      </c>
      <c r="K88" s="10" t="inlineStr"/>
      <c r="L88" s="10" t="inlineStr">
        <is>
          <t>UX 03-길안내-메인 7절 낭독 순서 표</t>
        </is>
      </c>
      <c r="M88" s="10" t="inlineStr">
        <is>
          <t>전환 컨트롤 낭독은 「누르면 일어나는 일」로 적는다 — 최대화 상태에서는 「시트 최소화, 버튼」이다</t>
        </is>
      </c>
      <c r="N88" s="10" t="inlineStr"/>
    </row>
    <row r="89">
      <c r="A89" s="5" t="n">
        <v>88</v>
      </c>
      <c r="B89" s="10" t="inlineStr">
        <is>
          <t>TC-ROUTE-01-15</t>
        </is>
      </c>
      <c r="C89" s="10" t="inlineStr">
        <is>
          <t>03-길안내</t>
        </is>
      </c>
      <c r="D89" s="10" t="inlineStr">
        <is>
          <t>ROUTE-01</t>
        </is>
      </c>
      <c r="E89" s="10" t="inlineStr">
        <is>
          <t>NFR-02 · S-1 · S-2</t>
        </is>
      </c>
      <c r="F89" s="5" t="inlineStr">
        <is>
          <t>접근성</t>
        </is>
      </c>
      <c r="G89" s="5" t="inlineStr">
        <is>
          <t>미실행</t>
        </is>
      </c>
      <c r="H89" s="10" t="inlineStr">
        <is>
          <t>S1 · `2-0` 시트 최대화 상태 · 터치 영역 측정 도구</t>
        </is>
      </c>
      <c r="I89" s="10" t="inlineStr">
        <is>
          <t>1. 즐겨찾기 칩 3개·인근 편의시설 칩 7개의 터치 히트 영역을 측정한다
2. 시트 전환 컨트롤과 「내 위치」·「정북 복원」의 히트 영역을 측정한다
3. 인접한 칩 사이 간격을 측정한다</t>
        </is>
      </c>
      <c r="J89" s="10" t="inlineStr">
        <is>
          <t>모든 터치 타겟이 44×44pt 이상이고 인접 간격이 8px 이상이다. 칩 radius와 무관하게 히트 영역은 사각 44×44pt를 유지한다</t>
        </is>
      </c>
      <c r="K89" s="10" t="inlineStr"/>
      <c r="L89" s="10" t="inlineStr">
        <is>
          <t>PRD 1부 NFR-02 · PRD 2부 7.8 S-1·S-2</t>
        </is>
      </c>
      <c r="M89" s="10" t="inlineStr">
        <is>
          <t>인근 편의시설은 칩이 7개라 3+3+1 배치에서 간격이 먼저 압박받는다</t>
        </is>
      </c>
      <c r="N89" s="10" t="inlineStr"/>
    </row>
    <row r="90">
      <c r="A90" s="5" t="n">
        <v>89</v>
      </c>
      <c r="B90" s="10" t="inlineStr">
        <is>
          <t>TC-ROUTE-01-16</t>
        </is>
      </c>
      <c r="C90" s="10" t="inlineStr">
        <is>
          <t>03-길안내</t>
        </is>
      </c>
      <c r="D90" s="10" t="inlineStr">
        <is>
          <t>ROUTE-01</t>
        </is>
      </c>
      <c r="E90" s="10" t="inlineStr">
        <is>
          <t>AC-06 · T-4</t>
        </is>
      </c>
      <c r="F90" s="5" t="inlineStr">
        <is>
          <t>접근성</t>
        </is>
      </c>
      <c r="G90" s="5" t="inlineStr">
        <is>
          <t>미실행</t>
        </is>
      </c>
      <c r="H90" s="10" t="inlineStr">
        <is>
          <t>S1 · OS 글자 크기 200% · `2-0` 시트 최대화 상태</t>
        </is>
      </c>
      <c r="I90" s="10" t="inlineStr">
        <is>
          <t>1. OS 설정에서 글자 크기를 200%로 올린다
2. `2-0`에서 세 섹션의 칩·행 라벨을 본다
3. 시트 내용이 넘칠 때 시트 내부 스크롤로 마지막 항목까지 도달하는지 확인한다</t>
        </is>
      </c>
      <c r="J90" s="10" t="inlineStr">
        <is>
          <t>칩·행 라벨이 잘리거나 겹치지 않고 섹션 구조가 무너지지 않는다. 넘치는 분량은 시트 내부 스크롤로 도달 가능하며 항목이 화면 밖에서 사라지지 않는다</t>
        </is>
      </c>
      <c r="K90" s="10" t="inlineStr"/>
      <c r="L90" s="10" t="inlineStr">
        <is>
          <t>PRD 1부 AC-06 · PRD 2부 7.3 T-4 · UX 03-길안내-메인 5.1절</t>
        </is>
      </c>
      <c r="M90" s="10" t="inlineStr">
        <is>
          <t>긴 라벨(「청계천 이동 약자 시설물」·「접근성 정보 조회」)이 기준 항목이다</t>
        </is>
      </c>
      <c r="N90" s="10" t="inlineStr"/>
    </row>
    <row r="91">
      <c r="A91" s="5" t="n">
        <v>90</v>
      </c>
      <c r="B91" s="10" t="inlineStr">
        <is>
          <t>TC-ROUTE-01-17</t>
        </is>
      </c>
      <c r="C91" s="10" t="inlineStr">
        <is>
          <t>03-길안내</t>
        </is>
      </c>
      <c r="D91" s="10" t="inlineStr">
        <is>
          <t>ROUTE-01</t>
        </is>
      </c>
      <c r="E91" s="10" t="inlineStr">
        <is>
          <t>NFR-05</t>
        </is>
      </c>
      <c r="F91" s="5" t="inlineStr">
        <is>
          <t>접근성</t>
        </is>
      </c>
      <c r="G91" s="5" t="inlineStr">
        <is>
          <t>미실행</t>
        </is>
      </c>
      <c r="H91" s="10" t="inlineStr">
        <is>
          <t>S2 유형 · 스크린리더 켬 · `2-0` 시트 최소화 상태</t>
        </is>
      </c>
      <c r="I91" s="10" t="inlineStr">
        <is>
          <t>1. 「내 위치」에 포커스를 올려 낭독 문구를 듣는다
2. 지도를 팬해 이탈 상태로 만든 뒤 같은 컨트롤의 낭독을 다시 듣는다
3. 회전뷰 상태에서 한 번 더 듣는다
4. 「정북 복원」이 나타난 직후 그 등장이 낭독으로 전달되는지 확인한다</t>
        </is>
      </c>
      <c r="J91" s="10" t="inlineStr">
        <is>
          <t>각 상태에서 「누르면 일어나는 일」이 낭독된다 — 이탈은 「내 위치로 이동, 버튼」, 추적 중·고정뷰는 「지도를 진행 방향에 맞춰 돌리기, 버튼」, 추적 중·회전뷰는 「지도 방향 고정, 버튼」이다. 아이콘만 있고 이름 없는 컨트롤이 없다</t>
        </is>
      </c>
      <c r="K91" s="10" t="inlineStr"/>
      <c r="L91" s="10" t="inlineStr">
        <is>
          <t>PRD 1부 NFR-05 · UX 00-공통 3.4절</t>
        </is>
      </c>
      <c r="M91" s="10" t="inlineStr">
        <is>
          <t>낭독 문안은 UX가 (案)으로 둔 상태다 — 문구 일치가 아니라 「상태별로 라벨이 갈리고 의미가 전달되는가」로 판정한다</t>
        </is>
      </c>
      <c r="N91" s="10" t="inlineStr"/>
    </row>
    <row r="92">
      <c r="A92" s="5" t="n">
        <v>91</v>
      </c>
      <c r="B92" s="10" t="inlineStr">
        <is>
          <t>TC-ROUTE-02-01</t>
        </is>
      </c>
      <c r="C92" s="10" t="inlineStr">
        <is>
          <t>03-길안내</t>
        </is>
      </c>
      <c r="D92" s="10" t="inlineStr">
        <is>
          <t>ROUTE-02</t>
        </is>
      </c>
      <c r="E92" s="10" t="inlineStr">
        <is>
          <t>SC-02 · V-6</t>
        </is>
      </c>
      <c r="F92" s="5" t="inlineStr">
        <is>
          <t>기능</t>
        </is>
      </c>
      <c r="G92" s="5" t="inlineStr">
        <is>
          <t>미실행</t>
        </is>
      </c>
      <c r="H92" s="10" t="inlineStr">
        <is>
          <t>S1 · `2-0`에서 출발지가 이미 입력된 상태</t>
        </is>
      </c>
      <c r="I92" s="10" t="inlineStr">
        <is>
          <t>1. 도착지를 입력해 출발지·도착지를 모두 채운다
2. 화면 전환이 일어나는지, 같은 화면의 시트만 바뀌는지 관찰한다
3. 배경 지도에 그려지는 경로를 확인한다</t>
        </is>
      </c>
      <c r="J92" s="10" t="inlineStr">
        <is>
          <t>화면 이동 없이 `2-0`의 바텀시트가 경로 리스트로 자동 전환되고, 시트 이름이 「경로 목록」으로 바뀌며, 배경 지도에 첫 번째 경로가 표시된다. 별도 화면으로 이동하면 실패다</t>
        </is>
      </c>
      <c r="K92" s="10" t="inlineStr"/>
      <c r="L92" s="10" t="inlineStr">
        <is>
          <t>UX 03-길안내-메인 3절 · 5.2절 · 8.5절 4</t>
        </is>
      </c>
      <c r="M92" s="10" t="inlineStr"/>
      <c r="N92" s="10" t="inlineStr"/>
    </row>
    <row r="93">
      <c r="A93" s="5" t="n">
        <v>92</v>
      </c>
      <c r="B93" s="10" t="inlineStr">
        <is>
          <t>TC-ROUTE-02-02</t>
        </is>
      </c>
      <c r="C93" s="10" t="inlineStr">
        <is>
          <t>03-길안내</t>
        </is>
      </c>
      <c r="D93" s="10" t="inlineStr">
        <is>
          <t>ROUTE-02</t>
        </is>
      </c>
      <c r="E93" s="10" t="inlineStr">
        <is>
          <t>FR-R10</t>
        </is>
      </c>
      <c r="F93" s="5" t="inlineStr">
        <is>
          <t>기능</t>
        </is>
      </c>
      <c r="G93" s="5" t="inlineStr">
        <is>
          <t>미실행</t>
        </is>
      </c>
      <c r="H93" s="10" t="inlineStr">
        <is>
          <t>S1 · 경로 리스트 표출 상태</t>
        </is>
      </c>
      <c r="I93" s="10" t="inlineStr">
        <is>
          <t>1. 시트 안의 옵션 변경 버튼을 선택한다
2. 제시되는 조건의 개수와 이름을 읽는다
3. 조건 2개 이상을 동시에 켤 수 있는지 시도한다
4. 켜져 있는 조건을 모두 끄려고 시도한다</t>
        </is>
      </c>
      <c r="J93" s="10" t="inlineStr">
        <is>
          <t>조건이 6종(저상버스 우선 · 엘리베이터 우선 · 경사로 우선 · 계단 회피 · 이동거리 최소 · 환승 최소)이고 복수 선택이 가능하며, 전체 해제가 막혀 최소 1개는 항상 켜져 있다</t>
        </is>
      </c>
      <c r="K93" s="10" t="inlineStr"/>
      <c r="L93" s="10" t="inlineStr">
        <is>
          <t>PRD 1부 FR-R10 · UX 03-길안내-메인 8.5.1절</t>
        </is>
      </c>
      <c r="M93" s="10" t="inlineStr">
        <is>
          <t>옵션 UI를 생략하고 유형 프리셋만 두면 `FR-R10` 미이행이다</t>
        </is>
      </c>
      <c r="N93" s="10" t="inlineStr"/>
    </row>
    <row r="94">
      <c r="A94" s="5" t="n">
        <v>93</v>
      </c>
      <c r="B94" s="10" t="inlineStr">
        <is>
          <t>TC-ROUTE-02-03</t>
        </is>
      </c>
      <c r="C94" s="10" t="inlineStr">
        <is>
          <t>03-길안내</t>
        </is>
      </c>
      <c r="D94" s="10" t="inlineStr">
        <is>
          <t>ROUTE-02</t>
        </is>
      </c>
      <c r="E94" s="10" t="inlineStr">
        <is>
          <t>FR-R10 · SC-02</t>
        </is>
      </c>
      <c r="F94" s="5" t="inlineStr">
        <is>
          <t>기능</t>
        </is>
      </c>
      <c r="G94" s="5" t="inlineStr">
        <is>
          <t>미실행</t>
        </is>
      </c>
      <c r="H94" s="10" t="inlineStr">
        <is>
          <t>계정 교통약자 유형이 「휠체어•유모차」 · 경로 리스트 최초 진입(옵션 미조정)</t>
        </is>
      </c>
      <c r="I94" s="10" t="inlineStr">
        <is>
          <t>1. 옵션 변경 버튼을 열어 켜져 있는 조건을 읽는다
2. 계정 유형을 「노약자•임산부」로 바꾼 뒤 같은 출발/도착으로 다시 진입해 조건을 읽는다</t>
        </is>
      </c>
      <c r="J94" s="10" t="inlineStr">
        <is>
          <t>휠체어•유모차에서 계단 회피·엘리베이터 우선이 기본으로 켜져 있다. 노약자•임산부에서는 환승 최소·이동거리 최소로 바뀌어 유형이 프리셋을 채운다는 사실이 확인된다</t>
        </is>
      </c>
      <c r="K94" s="10" t="inlineStr"/>
      <c r="L94" s="10" t="inlineStr">
        <is>
          <t>PRD 2부 7.4 SC-02 · UX 03-길안내-메인 8.5.1절 프리셋 표</t>
        </is>
      </c>
      <c r="M94" s="10" t="inlineStr">
        <is>
          <t>휠체어•유모차 값은 PRD `SC-02` 정본이고, 노약자•임산부 값은 PRD 근거 없이 UX가 정한 값이다(2026-09-11 담당자 확정)</t>
        </is>
      </c>
      <c r="N94" s="10" t="inlineStr"/>
    </row>
    <row r="95">
      <c r="A95" s="5" t="n">
        <v>94</v>
      </c>
      <c r="B95" s="10" t="inlineStr">
        <is>
          <t>TC-ROUTE-02-04</t>
        </is>
      </c>
      <c r="C95" s="10" t="inlineStr">
        <is>
          <t>03-길안내</t>
        </is>
      </c>
      <c r="D95" s="10" t="inlineStr">
        <is>
          <t>ROUTE-02</t>
        </is>
      </c>
      <c r="E95" s="10" t="inlineStr">
        <is>
          <t>FR-R10</t>
        </is>
      </c>
      <c r="F95" s="5" t="inlineStr">
        <is>
          <t>기능</t>
        </is>
      </c>
      <c r="G95" s="12" t="inlineStr">
        <is>
          <t>보류</t>
        </is>
      </c>
      <c r="H95" s="10" t="inlineStr">
        <is>
          <t>계정 교통약자 유형이 「저시력」 또는 「전맹」 · 경로 리스트 최초 진입</t>
        </is>
      </c>
      <c r="I95" s="10" t="inlineStr">
        <is>
          <t>1. 옵션 변경 버튼을 열어 기본으로 켜져 있는 조건을 읽는다</t>
        </is>
      </c>
      <c r="J95" s="10" t="inlineStr">
        <is>
          <t>보류 — 사양이 갈린다. UX가 저시력=계단 회피·엘리베이터 우선, 전맹=환승 최소를 (案)으로만 두었고 6종 중 시각 계열을 다루는 조항이 PRD·RFP 어디에도 없다. 특히 전맹의 「계단 회피」는 검증된 값이 아니며 UX가 `U-59` 실사용자 테스트 1순위로 등재했다</t>
        </is>
      </c>
      <c r="K95" s="10" t="inlineStr"/>
      <c r="L95" s="10" t="inlineStr">
        <is>
          <t>UX 03-길안내-메인 8.5.1절 프리셋 표 · 10.1절</t>
        </is>
      </c>
      <c r="M95" s="10" t="inlineStr">
        <is>
          <t>소관 기획·접근성 · 값이 확정되면 TC-ROUTE-02-03과 같은 형식으로 미실행 전환</t>
        </is>
      </c>
      <c r="N95" s="10" t="inlineStr"/>
    </row>
    <row r="96">
      <c r="A96" s="5" t="n">
        <v>95</v>
      </c>
      <c r="B96" s="10" t="inlineStr">
        <is>
          <t>TC-ROUTE-02-05</t>
        </is>
      </c>
      <c r="C96" s="10" t="inlineStr">
        <is>
          <t>03-길안내</t>
        </is>
      </c>
      <c r="D96" s="10" t="inlineStr">
        <is>
          <t>ROUTE-02</t>
        </is>
      </c>
      <c r="E96" s="10" t="inlineStr">
        <is>
          <t>AC-07 · SC-02</t>
        </is>
      </c>
      <c r="F96" s="5" t="inlineStr">
        <is>
          <t>기능</t>
        </is>
      </c>
      <c r="G96" s="5" t="inlineStr">
        <is>
          <t>미실행</t>
        </is>
      </c>
      <c r="H96" s="10" t="inlineStr">
        <is>
          <t>계정 유형을 바꿀 수 있는 테스트 계정 · 계단과 엘리베이터가 모두 존재하는 동일 출발지·도착지 쌍 1개 고정</t>
        </is>
      </c>
      <c r="I96" s="10" t="inlineStr">
        <is>
          <t>1. 유형을 「휠체어•유모차」로 두고 그 출발/도착으로 경로를 탐색해 결과를 기록한다
2. 옵션을 손대지 않고 유형만 「노약자•임산부」로 바꾼다
3. 같은 출발/도착으로 다시 탐색해 결과를 기록한다
4. 두 결과의 경로 구간·소요시간을 대조한다</t>
        </is>
      </c>
      <c r="J96" s="10" t="inlineStr">
        <is>
          <t>같은 출발/도착인데 유형에 따라 결과 경로가 달라진다. 두 결과가 동일하면 유형이 표시 전용으로만 쓰인 것이므로 실패다</t>
        </is>
      </c>
      <c r="K96" s="10" t="inlineStr"/>
      <c r="L96" s="10" t="inlineStr">
        <is>
          <t>PRD 1부 AC-07 · PRD 2부 7.4 SC-02 「선택된 유형이 경로 알고리즘의 실제 입력값」</t>
        </is>
      </c>
      <c r="M96" s="10" t="inlineStr">
        <is>
          <t>유형 축은 계정 설정값이다 — 화면 안의 유형 탭은 2026-08-14에 폐기됐다</t>
        </is>
      </c>
      <c r="N96" s="10" t="inlineStr"/>
    </row>
    <row r="97">
      <c r="A97" s="5" t="n">
        <v>96</v>
      </c>
      <c r="B97" s="10" t="inlineStr">
        <is>
          <t>TC-ROUTE-02-06</t>
        </is>
      </c>
      <c r="C97" s="10" t="inlineStr">
        <is>
          <t>03-길안내</t>
        </is>
      </c>
      <c r="D97" s="10" t="inlineStr">
        <is>
          <t>ROUTE-02</t>
        </is>
      </c>
      <c r="E97" s="10" t="inlineStr">
        <is>
          <t>V-5</t>
        </is>
      </c>
      <c r="F97" s="5" t="inlineStr">
        <is>
          <t>기능</t>
        </is>
      </c>
      <c r="G97" s="12" t="inlineStr">
        <is>
          <t>보류</t>
        </is>
      </c>
      <c r="H97" s="10" t="inlineStr">
        <is>
          <t>계정 유형이 「휠체어•유모차」 · 경로 리스트 표출 상태</t>
        </is>
      </c>
      <c r="I97" s="10" t="inlineStr">
        <is>
          <t>1. 마이페이지에서 유형 값 표기 문자열을 기록한다
2. 경로 리스트로 이동해 같은 유형이 어떤 문자열로 드러나는지 찾는다
3. 두 표기를 대조한다</t>
        </is>
      </c>
      <c r="J97" s="10" t="inlineStr">
        <is>
          <t>보류 — 사양이 갈린다. PRD `V-5`는 「휠체어, 유모차 길안내」 메뉴 ↔ 경로 유형의 `유모차` 병기를 이 요건의 사례로 들지만, UX 현행 정본에는 그 메뉴가 없고(홈 메뉴는 「길안내」) 경로 리스트에도 유형 표기 자리가 없다. 표기가 놓일 유일한 후보인 「탐색 기준 태그」는 `U-124` 종속으로 미확정이다</t>
        </is>
      </c>
      <c r="K97" s="10" t="inlineStr"/>
      <c r="L97" s="10" t="inlineStr">
        <is>
          <t>PRD 2부 7.5 V-5 · UX 03-길안내-메인 8.5절 경로 카드 구성 · 11-마이페이지 유형 값 표기</t>
        </is>
      </c>
      <c r="M97" s="10" t="inlineStr">
        <is>
          <t>소관 기획·PM · 유형 축이 탭에서 계정 설정값으로 옮겨진 뒤 표기 연속성의 실물 대상이 화면에서 사라졌다</t>
        </is>
      </c>
      <c r="N97" s="10" t="inlineStr"/>
    </row>
    <row r="98">
      <c r="A98" s="5" t="n">
        <v>97</v>
      </c>
      <c r="B98" s="10" t="inlineStr">
        <is>
          <t>TC-ROUTE-02-07</t>
        </is>
      </c>
      <c r="C98" s="10" t="inlineStr">
        <is>
          <t>03-길안내</t>
        </is>
      </c>
      <c r="D98" s="10" t="inlineStr">
        <is>
          <t>ROUTE-02</t>
        </is>
      </c>
      <c r="E98" s="10" t="inlineStr">
        <is>
          <t>SC-02</t>
        </is>
      </c>
      <c r="F98" s="5" t="inlineStr">
        <is>
          <t>기능</t>
        </is>
      </c>
      <c r="G98" s="5" t="inlineStr">
        <is>
          <t>미실행</t>
        </is>
      </c>
      <c r="H98" s="10" t="inlineStr">
        <is>
          <t>S1 · 출발지·도착지가 입력된 경로 리스트 상태</t>
        </is>
      </c>
      <c r="I98" s="10" t="inlineStr">
        <is>
          <t>1. 입력 블록의 `+` 버튼을 눌러 경유지를 1개 추가한다
2. 입력 블록의 행 수와 `+` 버튼 노출 상태를 확인한다
3. 경유지를 하나 더 추가할 수 있는지 시도한다
4. 경유지 추가 후 출발지·도착지 입력값이 남아 있는지 확인한다</t>
        </is>
      </c>
      <c r="J98" s="10" t="inlineStr">
        <is>
          <t>경유지는 최대 1개이고 1개를 추가하면 입력 블록이 3행이 되며 `+` 버튼이 사라진다. 출발지·도착지 입력값은 그대로 유지된 채 경로가 재탐색된다</t>
        </is>
      </c>
      <c r="K98" s="10" t="inlineStr"/>
      <c r="L98" s="10" t="inlineStr">
        <is>
          <t>UX 03-길안내-메인 8.1절 · 8.4절</t>
        </is>
      </c>
      <c r="M98" s="10" t="inlineStr"/>
      <c r="N98" s="10" t="inlineStr"/>
    </row>
    <row r="99">
      <c r="A99" s="5" t="n">
        <v>98</v>
      </c>
      <c r="B99" s="10" t="inlineStr">
        <is>
          <t>TC-ROUTE-02-08</t>
        </is>
      </c>
      <c r="C99" s="10" t="inlineStr">
        <is>
          <t>03-길안내</t>
        </is>
      </c>
      <c r="D99" s="10" t="inlineStr">
        <is>
          <t>ROUTE-02</t>
        </is>
      </c>
      <c r="E99" s="10" t="inlineStr">
        <is>
          <t>SC-02</t>
        </is>
      </c>
      <c r="F99" s="5" t="inlineStr">
        <is>
          <t>기능</t>
        </is>
      </c>
      <c r="G99" s="5" t="inlineStr">
        <is>
          <t>미실행</t>
        </is>
      </c>
      <c r="H99" s="10" t="inlineStr">
        <is>
          <t>S1 · 경로 카드가 1장 이상 표출된 상태</t>
        </is>
      </c>
      <c r="I99" s="10" t="inlineStr">
        <is>
          <t>1. 경로 카드의 버튼 표기를 읽는다
2. [안내시작]을 선택해 도달 화면을 확인한다
3. 경로 리스트로 돌아와 `[&gt;]` 상세를 선택해 도달 화면을 확인한다</t>
        </is>
      </c>
      <c r="J99" s="10" t="inlineStr">
        <is>
          <t>버튼 표기가 「[안내시작]」(공백 없음)이고 선택 시 `2-4` 내비게이션으로 들어간다. `[&gt;]` 상세는 `2-3` 상세경로로 들어간다</t>
        </is>
      </c>
      <c r="K99" s="10" t="inlineStr"/>
      <c r="L99" s="10" t="inlineStr">
        <is>
          <t>UX 03-길안내-메인 8.5절 4-1·4-2 및 경로 카드 구성 표</t>
        </is>
      </c>
      <c r="M99" s="10" t="inlineStr">
        <is>
          <t>카드에는 소요시간(「33분」)과 도착 예정 시각(「오전 11:33 도착」)이 함께 표기된다</t>
        </is>
      </c>
      <c r="N99" s="10" t="inlineStr"/>
    </row>
    <row r="100">
      <c r="A100" s="5" t="n">
        <v>99</v>
      </c>
      <c r="B100" s="10" t="inlineStr">
        <is>
          <t>TC-ROUTE-02-09</t>
        </is>
      </c>
      <c r="C100" s="10" t="inlineStr">
        <is>
          <t>03-길안내</t>
        </is>
      </c>
      <c r="D100" s="10" t="inlineStr">
        <is>
          <t>ROUTE-02</t>
        </is>
      </c>
      <c r="E100" s="10" t="inlineStr">
        <is>
          <t>FR-R10 · SC-02</t>
        </is>
      </c>
      <c r="F100" s="5" t="inlineStr">
        <is>
          <t>기능</t>
        </is>
      </c>
      <c r="G100" s="12" t="inlineStr">
        <is>
          <t>보류</t>
        </is>
      </c>
      <c r="H100" s="10" t="inlineStr">
        <is>
          <t>S1 · 옵션 2개 이상을 켠 상태로 경로 탐색</t>
        </is>
      </c>
      <c r="I100" s="10" t="inlineStr">
        <is>
          <t>1. 「이동거리 최소」와 「환승 최소」를 함께 켠다
2. 경로 탐색 결과의 카드 개수·정렬 순서·탐색 기준 태그를 기록한다</t>
        </is>
      </c>
      <c r="J100" s="10" t="inlineStr">
        <is>
          <t>보류 — 사양이 갈린다. 켠 조건 여러 개가 결과로 이어지는 방식(AND 합성 ↔ 조건별 경로)·목적함수 충돌 처리·카드 개수·정렬 기준이 모두 `U-124`로 열려 있어 합/불합 기준이 없다. 확정된 것은 최소 1개가 항상 켜져 있어 빈 리스트는 나오지 않는다는 점뿐이다</t>
        </is>
      </c>
      <c r="K100" s="10" t="inlineStr"/>
      <c r="L100" s="10" t="inlineStr">
        <is>
          <t>PRD 1부 FR-R10 「결과에 대체 경로 포함」 · UX 03-길안내-메인 8.5.2절 U-124</t>
        </is>
      </c>
      <c r="M100" s="10" t="inlineStr">
        <is>
          <t>소관 기획·PM·아로 · 탐색 엔진 동작이라 UX 단독으로 정할 수 없고 `M-19` 파라미터 규격과 함께 정해진다</t>
        </is>
      </c>
      <c r="N100" s="10" t="inlineStr"/>
    </row>
    <row r="101">
      <c r="A101" s="5" t="n">
        <v>100</v>
      </c>
      <c r="B101" s="10" t="inlineStr">
        <is>
          <t>TC-ROUTE-02-10</t>
        </is>
      </c>
      <c r="C101" s="10" t="inlineStr">
        <is>
          <t>03-길안내</t>
        </is>
      </c>
      <c r="D101" s="10" t="inlineStr">
        <is>
          <t>ROUTE-02</t>
        </is>
      </c>
      <c r="E101" s="10" t="inlineStr">
        <is>
          <t>V-6 · AC-05</t>
        </is>
      </c>
      <c r="F101" s="5" t="inlineStr">
        <is>
          <t>접근성</t>
        </is>
      </c>
      <c r="G101" s="5" t="inlineStr">
        <is>
          <t>미실행</t>
        </is>
      </c>
      <c r="H101" s="10" t="inlineStr">
        <is>
          <t>S2 유형 · 스크린리더 켬 · 경로 리스트 표출 상태</t>
        </is>
      </c>
      <c r="I101" s="10" t="inlineStr">
        <is>
          <t>1. 옵션 변경 버튼을 열어 켜진 조건을 하나 바꾼다
2. 옵션을 닫고 재탐색이 끝날 때까지 기다린다
3. 결과가 바뀐 사실이 낭독으로 전달되는지 듣는다</t>
        </is>
      </c>
      <c r="J101" s="10" t="inlineStr">
        <is>
          <t>재탐색이 끝나면 바뀐 결과가 낭독으로 전달된다(예: 「경로 2개」). 리스트만 조용히 갈리고 낭독이 없으면 무음 실패로 실패다</t>
        </is>
      </c>
      <c r="K101" s="10" t="inlineStr"/>
      <c r="L101" s="10" t="inlineStr">
        <is>
          <t>UX 03-길안내-메인 8.7.4절</t>
        </is>
      </c>
      <c r="M101" s="10" t="inlineStr">
        <is>
          <t>낭독 문안은 UX가 (案)으로 둔 상태다 — 문구 일치가 아니라 「변경 사실이 전달되는가」로 판정한다</t>
        </is>
      </c>
      <c r="N101" s="10" t="inlineStr"/>
    </row>
    <row r="102">
      <c r="A102" s="5" t="n">
        <v>101</v>
      </c>
      <c r="B102" s="10" t="inlineStr">
        <is>
          <t>TC-ROUTE-02-11</t>
        </is>
      </c>
      <c r="C102" s="10" t="inlineStr">
        <is>
          <t>03-길안내</t>
        </is>
      </c>
      <c r="D102" s="10" t="inlineStr">
        <is>
          <t>ROUTE-02</t>
        </is>
      </c>
      <c r="E102" s="10" t="inlineStr">
        <is>
          <t>AC-05 · NFR-04</t>
        </is>
      </c>
      <c r="F102" s="5" t="inlineStr">
        <is>
          <t>접근성</t>
        </is>
      </c>
      <c r="G102" s="5" t="inlineStr">
        <is>
          <t>미실행</t>
        </is>
      </c>
      <c r="H102" s="10" t="inlineStr">
        <is>
          <t>S2 유형 · 스크린리더 켬 · 경로 카드 1장 이상 표출</t>
        </is>
      </c>
      <c r="I102" s="10" t="inlineStr">
        <is>
          <t>1. 경로 카드 1장 범위 안에서 스와이프로 포커스를 이동시킨다
2. 포커스가 멈추는 횟수와 각 칸의 낭독 내용을 기록한다</t>
        </is>
      </c>
      <c r="J102" s="10" t="inlineStr">
        <is>
          <t>카드 1장이 3칸으로 읽힌다 — 정보 1칸(소요시간·도착 예정 시각을 함께 읽는다) + [안내시작] 버튼 1칸 + [상세] 버튼 1칸. 소요시간과 도착 시각이 따로 떨어져 포커스를 각각 받으면 실패이고, 버튼이 포커스를 받지 못해도 실패다</t>
        </is>
      </c>
      <c r="K102" s="10" t="inlineStr"/>
      <c r="L102" s="10" t="inlineStr">
        <is>
          <t>UX 03-길안내-메인 8.7.3절(2026-09-11 담당자 확정)</t>
        </is>
      </c>
      <c r="M102" s="10" t="inlineStr">
        <is>
          <t>정보 칸 맨 앞에 올 탐색 기준 태그 표기는 `U-124` 종속이라 이 TC에서 판정하지 않는다</t>
        </is>
      </c>
      <c r="N102" s="10" t="inlineStr"/>
    </row>
    <row r="103">
      <c r="A103" s="5" t="n">
        <v>102</v>
      </c>
      <c r="B103" s="10" t="inlineStr">
        <is>
          <t>TC-ROUTE-02-12</t>
        </is>
      </c>
      <c r="C103" s="10" t="inlineStr">
        <is>
          <t>03-길안내</t>
        </is>
      </c>
      <c r="D103" s="10" t="inlineStr">
        <is>
          <t>ROUTE-02</t>
        </is>
      </c>
      <c r="E103" s="10" t="inlineStr">
        <is>
          <t>SC-02 · V-6</t>
        </is>
      </c>
      <c r="F103" s="5" t="inlineStr">
        <is>
          <t>기능</t>
        </is>
      </c>
      <c r="G103" s="5" t="inlineStr">
        <is>
          <t>미실행</t>
        </is>
      </c>
      <c r="H103" s="10" t="inlineStr">
        <is>
          <t>`2-4` 내비게이션이 진행 중인 상태</t>
        </is>
      </c>
      <c r="I103" s="10" t="inlineStr">
        <is>
          <t>1. [경로 바꾸기]를 선택해 이동처와 출발지·경유지·도착지 입력값을 확인한다
2. 안내 음성이 계속되는지 확인한다
3. 다시 [안내시작]으로 들어간 뒤 이번에는 [길안내 종료]를 선택한다
4. 이동처와 입력값을 다시 확인한다</t>
        </is>
      </c>
      <c r="J103" s="10" t="inlineStr">
        <is>
          <t>[경로 바꾸기]는 경로 리스트로 가면서 입력값을 유지하고, [길안내 종료]는 `2-0`으로 가면서 출발지·경유지·도착지를 모두 비운다. 두 컨트롤 모두 진행 중 안내를 중단한다 — 안내를 유지한 채 경로를 고치는 경로는 없다</t>
        </is>
      </c>
      <c r="K103" s="10" t="inlineStr"/>
      <c r="L103" s="10" t="inlineStr">
        <is>
          <t>UX 03-길안내-메인 8.6절</t>
        </is>
      </c>
      <c r="M103" s="10" t="inlineStr">
        <is>
          <t>내비 중 검색(`ONAV-02`)은 폐기됐다 — 안내 중 경로 변경 입구는 [경로 바꾸기] 하나다</t>
        </is>
      </c>
      <c r="N103" s="10" t="inlineStr"/>
    </row>
    <row r="104">
      <c r="A104" s="5" t="n">
        <v>103</v>
      </c>
      <c r="B104" s="10" t="inlineStr">
        <is>
          <t>TC-ROUTE-02-13</t>
        </is>
      </c>
      <c r="C104" s="10" t="inlineStr">
        <is>
          <t>03-길안내</t>
        </is>
      </c>
      <c r="D104" s="10" t="inlineStr">
        <is>
          <t>ROUTE-02</t>
        </is>
      </c>
      <c r="E104" s="10" t="inlineStr">
        <is>
          <t>AC-05</t>
        </is>
      </c>
      <c r="F104" s="5" t="inlineStr">
        <is>
          <t>접근성</t>
        </is>
      </c>
      <c r="G104" s="12" t="inlineStr">
        <is>
          <t>보류</t>
        </is>
      </c>
      <c r="H104" s="10" t="inlineStr">
        <is>
          <t>S2 유형 · 스크린리더 켬 · 경로 카드가 시트 높이를 넘는 개수로 표출된 상태</t>
        </is>
      </c>
      <c r="I104" s="10" t="inlineStr">
        <is>
          <t>1. 시트 안 마지막 경로 카드까지 포커스를 이동시킨다
2. 낭독 위치 고정과 시트 내부 스크롤이 함께 성립하는지 확인한다</t>
        </is>
      </c>
      <c r="J104" s="10" t="inlineStr">
        <is>
          <t>보류 — 사양이 갈린다. S2 공통 규칙 3(낭독 위치 유지 — 스크롤 고정)과 시트 내부 스크롤의 양립 방식이 `U-89`로 열려 있고, UX가 이 화면을 「실물로 걸리는 자리」로 표시하면서 도달 방법을 비워 두었다. 경로 카드 개수가 가변(`U-124`)이라 스크롤은 필연이다</t>
        </is>
      </c>
      <c r="K104" s="10" t="inlineStr"/>
      <c r="L104" s="10" t="inlineStr">
        <is>
          <t>UX 03-길안내-메인 8.7.1절 규칙 3 · 10.1절 U-89 · 00-공통 9절 규칙 3</t>
        </is>
      </c>
      <c r="M104" s="10" t="inlineStr">
        <is>
          <t>소관 기획(디자인이 먼저 정하지 않는다) · 1회 낭독 항목 수 상한도 같은 절에서 미확정이다</t>
        </is>
      </c>
      <c r="N104" s="10" t="inlineStr"/>
    </row>
    <row r="105">
      <c r="A105" s="5" t="n">
        <v>104</v>
      </c>
      <c r="B105" s="10" t="inlineStr">
        <is>
          <t>TC-SEARCH-01-01</t>
        </is>
      </c>
      <c r="C105" s="10" t="inlineStr">
        <is>
          <t>04-장소검색</t>
        </is>
      </c>
      <c r="D105" s="10" t="inlineStr">
        <is>
          <t>SEARCH-01</t>
        </is>
      </c>
      <c r="E105" s="10" t="inlineStr">
        <is>
          <t>V-5</t>
        </is>
      </c>
      <c r="F105" s="5" t="inlineStr">
        <is>
          <t>기능</t>
        </is>
      </c>
      <c r="G105" s="5" t="inlineStr">
        <is>
          <t>미실행</t>
        </is>
      </c>
      <c r="H105" s="10" t="inlineStr">
        <is>
          <t>S1 · 2-0 길안내 검색창에서 진입(모드 ① 일반) · 장소명 1건 이상 검색된 상태</t>
        </is>
      </c>
      <c r="I105" s="10" t="inlineStr">
        <is>
          <t>1. 검색 결과 행 하단 컨트롤의 개수와 라벨을 확인
2. 첫 번째 결과 행의 [출발]을 누른다
3. 이동한 ROUTE-02 경로 리스트의 입력 블록을 확인</t>
        </is>
      </c>
      <c r="J105" s="10" t="inlineStr">
        <is>
          <t>결과 행 하단에 「출발」·「경유」·「도착」 3버튼이 그 순서로 있고, [출발]을 누르면 ROUTE-02로 이동해 출발지 칸에 결과 행과 같은 장소명이 그대로 들어간다</t>
        </is>
      </c>
      <c r="K105" s="10" t="inlineStr"/>
      <c r="L105" s="10" t="inlineStr">
        <is>
          <t>UX 화면사양 04-장소검색-상세 2절 모드 표 ① · 3.3절 요소 5</t>
        </is>
      </c>
      <c r="M105" s="10" t="inlineStr">
        <is>
          <t>역할 3버튼은 모드 ①에서만 나온다 — 다른 모드는 1버튼이다(별건 TC)</t>
        </is>
      </c>
      <c r="N105" s="10" t="inlineStr"/>
    </row>
    <row r="106">
      <c r="A106" s="5" t="n">
        <v>105</v>
      </c>
      <c r="B106" s="10" t="inlineStr">
        <is>
          <t>TC-SEARCH-01-02</t>
        </is>
      </c>
      <c r="C106" s="10" t="inlineStr">
        <is>
          <t>04-장소검색</t>
        </is>
      </c>
      <c r="D106" s="10" t="inlineStr">
        <is>
          <t>SEARCH-01</t>
        </is>
      </c>
      <c r="E106" s="10" t="inlineStr">
        <is>
          <t>V-6</t>
        </is>
      </c>
      <c r="F106" s="5" t="inlineStr">
        <is>
          <t>기능</t>
        </is>
      </c>
      <c r="G106" s="5" t="inlineStr">
        <is>
          <t>미실행</t>
        </is>
      </c>
      <c r="H106" s="10" t="inlineStr">
        <is>
          <t>S1 · ROUTE-02 도착지 입력란에서 진입(모드 ①-a) · 출발지가 이미 채워진 상태</t>
        </is>
      </c>
      <c r="I106" s="10" t="inlineStr">
        <is>
          <t>1. 검색 결과 행 하단 컨트롤의 개수와 라벨을 확인
2. [도착지로 설정하기]를 누른다
3. 복귀한 화면의 상태 변화를 확인</t>
        </is>
      </c>
      <c r="J106" s="10" t="inlineStr">
        <is>
          <t>하단은 [도착지로 설정하기] 1버튼이고, 누르면 도착지가 설정되는 동시에 경로 탐색이 시작되며 그 탐색이 화면에 드러난다(무음으로 진행되지 않는다)</t>
        </is>
      </c>
      <c r="K106" s="10" t="inlineStr"/>
      <c r="L106" s="10" t="inlineStr">
        <is>
          <t>UX 화면사양 04-장소검색-상세 2절 모드 표 ①-a</t>
        </is>
      </c>
      <c r="M106" s="10" t="inlineStr"/>
      <c r="N106" s="10" t="inlineStr"/>
    </row>
    <row r="107">
      <c r="A107" s="5" t="n">
        <v>106</v>
      </c>
      <c r="B107" s="10" t="inlineStr">
        <is>
          <t>TC-SEARCH-01-03</t>
        </is>
      </c>
      <c r="C107" s="10" t="inlineStr">
        <is>
          <t>04-장소검색</t>
        </is>
      </c>
      <c r="D107" s="10" t="inlineStr">
        <is>
          <t>SEARCH-01</t>
        </is>
      </c>
      <c r="E107" s="10" t="inlineStr">
        <is>
          <t>V-6</t>
        </is>
      </c>
      <c r="F107" s="5" t="inlineStr">
        <is>
          <t>기능</t>
        </is>
      </c>
      <c r="G107" s="5" t="inlineStr">
        <is>
          <t>미실행</t>
        </is>
      </c>
      <c r="H107" s="10" t="inlineStr">
        <is>
          <t>S1 · ROUTE-02의 ＋ 버튼에서 진입(모드 ①-b) · 출발지·도착지가 채워져 경로가 이미 산출된 상태</t>
        </is>
      </c>
      <c r="I107" s="10" t="inlineStr">
        <is>
          <t>1. 검색 결과 행 하단 컨트롤의 라벨을 확인
2. [경유지로 추가하기]를 누른다
3. 복귀한 경로 리스트의 경로가 다시 산출되는지 확인</t>
        </is>
      </c>
      <c r="J107" s="10" t="inlineStr">
        <is>
          <t>하단은 [경유지로 추가하기] 1버튼이고, 누르면 경유지가 추가되면서 경로 재탐색이 일어나고 재탐색 사실이 화면에 드러난다</t>
        </is>
      </c>
      <c r="K107" s="10" t="inlineStr"/>
      <c r="L107" s="10" t="inlineStr">
        <is>
          <t>UX 화면사양 04-장소검색-상세 2절 모드 표 ①-b</t>
        </is>
      </c>
      <c r="M107" s="10" t="inlineStr"/>
      <c r="N107" s="10" t="inlineStr"/>
    </row>
    <row r="108">
      <c r="A108" s="5" t="n">
        <v>107</v>
      </c>
      <c r="B108" s="10" t="inlineStr">
        <is>
          <t>TC-SEARCH-01-04</t>
        </is>
      </c>
      <c r="C108" s="10" t="inlineStr">
        <is>
          <t>04-장소검색</t>
        </is>
      </c>
      <c r="D108" s="10" t="inlineStr">
        <is>
          <t>SEARCH-01</t>
        </is>
      </c>
      <c r="E108" s="10" t="inlineStr">
        <is>
          <t>FR-R11 · V-6</t>
        </is>
      </c>
      <c r="F108" s="5" t="inlineStr">
        <is>
          <t>기능</t>
        </is>
      </c>
      <c r="G108" s="5" t="inlineStr">
        <is>
          <t>미실행</t>
        </is>
      </c>
      <c r="H108" s="10" t="inlineStr">
        <is>
          <t>S1 · FAV-01의 [＋ 즐겨찾기 추가]에서 진입(모드 ②) · 아직 등록되지 않은 장소를 검색한 상태</t>
        </is>
      </c>
      <c r="I108" s="10" t="inlineStr">
        <is>
          <t>1. 결과 행에 ☆ 토글이 있는지 확인
2. [즐겨찾기에 추가]를 누른다
3. 버튼 라벨과 토스트를 확인</t>
        </is>
      </c>
      <c r="J108" s="10" t="inlineStr">
        <is>
          <t>모드 ②에서는 ☆ 토글이 표출되고, [즐겨찾기에 추가]를 누르면 저장된 뒤 같은 버튼의 라벨이 [즐겨찾기에서 삭제]로 전환되며 토스트로 결과를 알린다</t>
        </is>
      </c>
      <c r="K108" s="10" t="inlineStr"/>
      <c r="L108" s="10" t="inlineStr">
        <is>
          <t>UX 화면사양 04-장소검색-상세 2절 모드 표 ② · 2.1절 · 2.2절</t>
        </is>
      </c>
      <c r="M108" s="10" t="inlineStr"/>
      <c r="N108" s="10" t="inlineStr"/>
    </row>
    <row r="109">
      <c r="A109" s="5" t="n">
        <v>108</v>
      </c>
      <c r="B109" s="10" t="inlineStr">
        <is>
          <t>TC-SEARCH-01-05</t>
        </is>
      </c>
      <c r="C109" s="10" t="inlineStr">
        <is>
          <t>04-장소검색</t>
        </is>
      </c>
      <c r="D109" s="10" t="inlineStr">
        <is>
          <t>SEARCH-01</t>
        </is>
      </c>
      <c r="E109" s="10" t="inlineStr">
        <is>
          <t>FR-R11 · V-5</t>
        </is>
      </c>
      <c r="F109" s="5" t="inlineStr">
        <is>
          <t>기능</t>
        </is>
      </c>
      <c r="G109" s="5" t="inlineStr">
        <is>
          <t>미실행</t>
        </is>
      </c>
      <c r="H109" s="10" t="inlineStr">
        <is>
          <t>S1 · FAV-01의 고정 슬롯 미등록 행에서 진입(모드 ③)</t>
        </is>
      </c>
      <c r="I109" s="10" t="inlineStr">
        <is>
          <t>1. 결과 행 하단 버튼의 라벨을 확인
2. [〈슬롯명〉으로 설정]을 누른다
3. 이어지는 이름 변경 바텀시트에서 [저장]을 누른다
4. 토스트 문구의 어미를 버튼 라벨과 대조</t>
        </is>
      </c>
      <c r="J109" s="10" t="inlineStr">
        <is>
          <t>하단 버튼은 [〈슬롯명〉으로 설정]이고, 선택하면 이름 변경 바텀시트를 거쳐 [저장] 시점에 슬롯이 지정되며 토스트는 「〈슬롯명〉으로 설정되었습니다.」로 버튼 라벨과 어미가 일치한다(「추가」로 갈리지 않는다)</t>
        </is>
      </c>
      <c r="K109" s="10" t="inlineStr"/>
      <c r="L109" s="10" t="inlineStr">
        <is>
          <t>UX 화면사양 04-장소검색-상세 2절 모드 표 ③ · 2.2절</t>
        </is>
      </c>
      <c r="M109" s="10" t="inlineStr">
        <is>
          <t>모드 ③에는 ☆ 토글이 없다 — 갈리는 축은 단계 수가 아니라 ☆ 토글 유무다</t>
        </is>
      </c>
      <c r="N109" s="10" t="inlineStr"/>
    </row>
    <row r="110">
      <c r="A110" s="5" t="n">
        <v>109</v>
      </c>
      <c r="B110" s="10" t="inlineStr">
        <is>
          <t>TC-SEARCH-01-06</t>
        </is>
      </c>
      <c r="C110" s="10" t="inlineStr">
        <is>
          <t>04-장소검색</t>
        </is>
      </c>
      <c r="D110" s="10" t="inlineStr">
        <is>
          <t>SEARCH-01</t>
        </is>
      </c>
      <c r="E110" s="10" t="inlineStr">
        <is>
          <t>V-3</t>
        </is>
      </c>
      <c r="F110" s="5" t="inlineStr">
        <is>
          <t>접근성</t>
        </is>
      </c>
      <c r="G110" s="5" t="inlineStr">
        <is>
          <t>미실행</t>
        </is>
      </c>
      <c r="H110" s="10" t="inlineStr">
        <is>
          <t>S1 · 검색 결과가 2건 이상 나온 상태 · Default 「전체」 선택</t>
        </is>
      </c>
      <c r="I110" s="10" t="inlineStr">
        <is>
          <t>1. 「버스정류장」 칩을 누른다
2. 선택된 칩과 선택되지 않은 칩의 표시 차이를 확인
3. 흑백(그레이스케일)으로 보거나 색을 제거한 상태에서 같은 화면을 다시 확인</t>
        </is>
      </c>
      <c r="J110" s="10" t="inlineStr">
        <is>
          <t>택 1 방식이라 「버스정류장」만 선택 상태가 되고(「전체」는 해제) 결과 리스트가 그 종류로 한정되며, 선택 상태가 색을 빼도 텍스트 또는 형태로 구분된다</t>
        </is>
      </c>
      <c r="K110" s="10" t="inlineStr"/>
      <c r="L110" s="10" t="inlineStr">
        <is>
          <t>UX 화면사양 04-장소검색-상세 3.3절 요소 2 · PRD 2부 7.4 V-3</t>
        </is>
      </c>
      <c r="M110" s="10" t="inlineStr"/>
      <c r="N110" s="10" t="inlineStr"/>
    </row>
    <row r="111">
      <c r="A111" s="5" t="n">
        <v>110</v>
      </c>
      <c r="B111" s="10" t="inlineStr">
        <is>
          <t>TC-SEARCH-01-07</t>
        </is>
      </c>
      <c r="C111" s="10" t="inlineStr">
        <is>
          <t>04-장소검색</t>
        </is>
      </c>
      <c r="D111" s="10" t="inlineStr">
        <is>
          <t>SEARCH-01</t>
        </is>
      </c>
      <c r="E111" s="10" t="inlineStr">
        <is>
          <t>V-6</t>
        </is>
      </c>
      <c r="F111" s="5" t="inlineStr">
        <is>
          <t>기능</t>
        </is>
      </c>
      <c r="G111" s="5" t="inlineStr">
        <is>
          <t>미실행</t>
        </is>
      </c>
      <c r="H111" s="10" t="inlineStr">
        <is>
          <t>S1 · 「버스정류장」 필터 칩이 걸린 상태</t>
        </is>
      </c>
      <c r="I111" s="10" t="inlineStr">
        <is>
          <t>1. 그 필터로는 결과가 0건인 키워드를 입력해 검색
2. 리스트 영역의 표시를 확인
3. 필터 칩의 선택 상태를 확인</t>
        </is>
      </c>
      <c r="J111" s="10" t="inlineStr">
        <is>
          <t>빈 리스트가 아니라 「검색 결과 없음」이 표시되고, 0건이어도 필터 칩이 자동으로 해제되거나 조건이 자동으로 넓혀지지 않는다</t>
        </is>
      </c>
      <c r="K111" s="10" t="inlineStr"/>
      <c r="L111" s="10" t="inlineStr">
        <is>
          <t>UX 화면사양 04-장소검색-상세 3.5절 · 00-공통 2절</t>
        </is>
      </c>
      <c r="M111" s="10" t="inlineStr"/>
      <c r="N111" s="10" t="inlineStr"/>
    </row>
    <row r="112">
      <c r="A112" s="5" t="n">
        <v>111</v>
      </c>
      <c r="B112" s="10" t="inlineStr">
        <is>
          <t>TC-SEARCH-01-08</t>
        </is>
      </c>
      <c r="C112" s="10" t="inlineStr">
        <is>
          <t>04-장소검색</t>
        </is>
      </c>
      <c r="D112" s="10" t="inlineStr">
        <is>
          <t>SEARCH-01</t>
        </is>
      </c>
      <c r="E112" s="10" t="inlineStr">
        <is>
          <t>V-6 · AC-05</t>
        </is>
      </c>
      <c r="F112" s="5" t="inlineStr">
        <is>
          <t>접근성</t>
        </is>
      </c>
      <c r="G112" s="5" t="inlineStr">
        <is>
          <t>미실행</t>
        </is>
      </c>
      <c r="H112" s="10" t="inlineStr">
        <is>
          <t>S2(전맹) · S2-2 대화창으로 음성 검색 · 스크린리더 켬</t>
        </is>
      </c>
      <c r="I112" s="10" t="inlineStr">
        <is>
          <t>1. 결과가 0건인 장소명을 음성으로 질의
2. 응답을 듣는다
3. 인식이 실패하도록 잡음 환경에서 다시 질의하고 응답을 듣는다</t>
        </is>
      </c>
      <c r="J112" s="10" t="inlineStr">
        <is>
          <t>두 경우 모두 침묵으로 넘어가지 않고 사유(결과 없음 / 인식 실패)를 음성으로 안내한다. 결과 건수를 낭독하던 자리를 빈 상태 문안이 대신해 낭독 순서에서 빠지지 않는다</t>
        </is>
      </c>
      <c r="K112" s="10" t="inlineStr"/>
      <c r="L112" s="10" t="inlineStr">
        <is>
          <t>UX 화면사양 04-장소검색-상세 3.5절 · 00-공통 2절</t>
        </is>
      </c>
      <c r="M112" s="10" t="inlineStr"/>
      <c r="N112" s="10" t="inlineStr"/>
    </row>
    <row r="113">
      <c r="A113" s="5" t="n">
        <v>112</v>
      </c>
      <c r="B113" s="10" t="inlineStr">
        <is>
          <t>TC-SEARCH-01-09</t>
        </is>
      </c>
      <c r="C113" s="10" t="inlineStr">
        <is>
          <t>04-장소검색</t>
        </is>
      </c>
      <c r="D113" s="10" t="inlineStr">
        <is>
          <t>SEARCH-01</t>
        </is>
      </c>
      <c r="E113" s="10" t="inlineStr">
        <is>
          <t>V-1 · AC-05</t>
        </is>
      </c>
      <c r="F113" s="5" t="inlineStr">
        <is>
          <t>접근성</t>
        </is>
      </c>
      <c r="G113" s="5" t="inlineStr">
        <is>
          <t>미실행</t>
        </is>
      </c>
      <c r="H113" s="10" t="inlineStr">
        <is>
          <t>S2(전맹) · S2-2 대화창 진입</t>
        </is>
      </c>
      <c r="I113" s="10" t="inlineStr">
        <is>
          <t>1. 화면을 길게 눌러 장소명을 음성으로 질의
2. 사용자 질의 버블에 표시된 텍스트를 확인
3. 잘못 인식된 상태에서 화면을 다시 길게 눌러 재질의</t>
        </is>
      </c>
      <c r="J113" s="10" t="inlineStr">
        <is>
          <t>STT 결과가 사용자 질의 버블에 텍스트로 표시돼 인식 내용을 확인할 수 있고, 길게 누르기로 재질의가 되며 응답 버블은 TTS와 텍스트를 동시에 준다</t>
        </is>
      </c>
      <c r="K113" s="10" t="inlineStr"/>
      <c r="L113" s="10" t="inlineStr">
        <is>
          <t>UX 화면사양 04-장소검색-상세 3.4절 비시각 레이어</t>
        </is>
      </c>
      <c r="M113" s="10" t="inlineStr"/>
      <c r="N113" s="10" t="inlineStr"/>
    </row>
    <row r="114">
      <c r="A114" s="5" t="n">
        <v>113</v>
      </c>
      <c r="B114" s="10" t="inlineStr">
        <is>
          <t>TC-SEARCH-01-10</t>
        </is>
      </c>
      <c r="C114" s="10" t="inlineStr">
        <is>
          <t>04-장소검색</t>
        </is>
      </c>
      <c r="D114" s="10" t="inlineStr">
        <is>
          <t>SEARCH-01</t>
        </is>
      </c>
      <c r="E114" s="10" t="inlineStr">
        <is>
          <t>V-1</t>
        </is>
      </c>
      <c r="F114" s="5" t="inlineStr">
        <is>
          <t>기능</t>
        </is>
      </c>
      <c r="G114" s="5" t="inlineStr">
        <is>
          <t>미실행</t>
        </is>
      </c>
      <c r="H114" s="10" t="inlineStr">
        <is>
          <t>S2(전맹) · 같은 키워드로 S1에서는 결과가 여러 건 나오는 장소명</t>
        </is>
      </c>
      <c r="I114" s="10" t="inlineStr">
        <is>
          <t>1. S2에서 그 장소명을 음성으로 질의
2. 응답 버블이 제시하는 후보 건수를 센다</t>
        </is>
      </c>
      <c r="J114" s="10" t="inlineStr">
        <is>
          <t>키워드 정확도 최상위 1건만 제시되고 여러 건이 리스트로 주어지지 않는다. 응답은 장소명과 주소를 함께 낭독한다</t>
        </is>
      </c>
      <c r="K114" s="10" t="inlineStr"/>
      <c r="L114" s="10" t="inlineStr">
        <is>
          <t>UX 화면사양 04-장소검색-상세 3.3절 요소 3 · 3.4절</t>
        </is>
      </c>
      <c r="M114" s="10" t="inlineStr">
        <is>
          <t>즐겨찾기·편의시설·최근 도착지 리스트는 S1과 동일하게 제공된다 — 이 1건 제한의 대상이 아니다</t>
        </is>
      </c>
      <c r="N114" s="10" t="inlineStr"/>
    </row>
    <row r="115">
      <c r="A115" s="5" t="n">
        <v>114</v>
      </c>
      <c r="B115" s="10" t="inlineStr">
        <is>
          <t>TC-SEARCH-01-11</t>
        </is>
      </c>
      <c r="C115" s="10" t="inlineStr">
        <is>
          <t>04-장소검색</t>
        </is>
      </c>
      <c r="D115" s="10" t="inlineStr">
        <is>
          <t>SEARCH-01</t>
        </is>
      </c>
      <c r="E115" s="10" t="inlineStr">
        <is>
          <t>V-1 · AC-05</t>
        </is>
      </c>
      <c r="F115" s="5" t="inlineStr">
        <is>
          <t>접근성</t>
        </is>
      </c>
      <c r="G115" s="12" t="inlineStr">
        <is>
          <t>보류</t>
        </is>
      </c>
      <c r="H115" s="10" t="inlineStr">
        <is>
          <t>S2(전맹) · 최상위 1건이 사용자 의도와 다른 장소인 상황</t>
        </is>
      </c>
      <c r="I115" s="10" t="inlineStr">
        <is>
          <t>1. S2에서 장소명을 질의해 최상위 1건을 듣는다
2. 다른 후보를 듣기 위한 조작을 시도</t>
        </is>
      </c>
      <c r="J115" s="10" t="inlineStr">
        <is>
          <t>판정 보류 — S2 결과 「1건만」의 되돌리기 경로(의도와 다를 때 다른 후보를 어떻게 듣는가)가 UX 화면사양 5.1절에 기획 판단 미확정으로 열려 있어 합불 기준이 없다</t>
        </is>
      </c>
      <c r="K115" s="10" t="inlineStr"/>
      <c r="L115" s="10" t="inlineStr">
        <is>
          <t>UX 화면사양 04-장소검색-상세 5.1절 미확정</t>
        </is>
      </c>
      <c r="M115" s="10" t="inlineStr">
        <is>
          <t>재질의(길게 누르기)는 같은 질의를 다시 인식시키는 경로이지 다른 후보를 듣는 경로가 아니다 — 확정되면 기대결과를 채운다</t>
        </is>
      </c>
      <c r="N115" s="10" t="inlineStr"/>
    </row>
    <row r="116">
      <c r="A116" s="5" t="n">
        <v>115</v>
      </c>
      <c r="B116" s="10" t="inlineStr">
        <is>
          <t>TC-SEARCH-01-12</t>
        </is>
      </c>
      <c r="C116" s="10" t="inlineStr">
        <is>
          <t>04-장소검색</t>
        </is>
      </c>
      <c r="D116" s="10" t="inlineStr">
        <is>
          <t>SEARCH-01</t>
        </is>
      </c>
      <c r="E116" s="10" t="inlineStr">
        <is>
          <t>NFR-02</t>
        </is>
      </c>
      <c r="F116" s="5" t="inlineStr">
        <is>
          <t>비기능</t>
        </is>
      </c>
      <c r="G116" s="5" t="inlineStr">
        <is>
          <t>미실행</t>
        </is>
      </c>
      <c r="H116" s="10" t="inlineStr">
        <is>
          <t>S1 · 검색 결과 2건 이상 · 모드 ①(역할 3버튼 표출)</t>
        </is>
      </c>
      <c r="I116" s="10" t="inlineStr">
        <is>
          <t>1. 역할 3버튼과 [&gt;]의 터치 히트 영역을 실측
2. 버튼 사이 간격을 실측</t>
        </is>
      </c>
      <c r="J116" s="10" t="inlineStr">
        <is>
          <t>역할 3버튼·[&gt;]·필터 칩의 히트 영역이 각각 44×44pt 이상이고 인접 컨트롤 간격이 8px 이상이다</t>
        </is>
      </c>
      <c r="K116" s="10" t="inlineStr"/>
      <c r="L116" s="10" t="inlineStr">
        <is>
          <t>PRD 1부 2.4 NFR-02 · UX 화면사양 04-장소검색-상세 3.2절</t>
        </is>
      </c>
      <c r="M116" s="10" t="inlineStr"/>
      <c r="N116" s="10" t="inlineStr"/>
    </row>
    <row r="117">
      <c r="A117" s="5" t="n">
        <v>116</v>
      </c>
      <c r="B117" s="10" t="inlineStr">
        <is>
          <t>TC-SEARCH-01-13</t>
        </is>
      </c>
      <c r="C117" s="10" t="inlineStr">
        <is>
          <t>04-장소검색</t>
        </is>
      </c>
      <c r="D117" s="10" t="inlineStr">
        <is>
          <t>SEARCH-01</t>
        </is>
      </c>
      <c r="E117" s="10" t="inlineStr">
        <is>
          <t>AC-06 · T-4</t>
        </is>
      </c>
      <c r="F117" s="5" t="inlineStr">
        <is>
          <t>비기능</t>
        </is>
      </c>
      <c r="G117" s="5" t="inlineStr">
        <is>
          <t>미실행</t>
        </is>
      </c>
      <c r="H117" s="10" t="inlineStr">
        <is>
          <t>S1 · 시스템 글자 크기 200% · 결과 2건 이상</t>
        </is>
      </c>
      <c r="I117" s="10" t="inlineStr">
        <is>
          <t>1. 시스템 글자 크기를 200%로 올린다
2. 검색 결과 행(장소명·주소 1줄)과 역할 3버튼, 필터 칩 3개를 확인</t>
        </is>
      </c>
      <c r="J117" s="10" t="inlineStr">
        <is>
          <t>200%에서 장소명·주소·버튼 라벨이 잘리거나 겹치지 않고 레이아웃이 유지되며, 필터 칩 3개와 역할 3버튼이 모두 조작 가능한 상태로 남는다</t>
        </is>
      </c>
      <c r="K117" s="10" t="inlineStr"/>
      <c r="L117" s="10" t="inlineStr">
        <is>
          <t>PRD 1부 2.3 AC-06 · 2부 7.3 T-4</t>
        </is>
      </c>
      <c r="M117" s="10" t="inlineStr"/>
      <c r="N117" s="10" t="inlineStr"/>
    </row>
    <row r="118">
      <c r="A118" s="5" t="n">
        <v>117</v>
      </c>
      <c r="B118" s="10" t="inlineStr">
        <is>
          <t>TC-SEARCH-02-01</t>
        </is>
      </c>
      <c r="C118" s="10" t="inlineStr">
        <is>
          <t>04-장소검색</t>
        </is>
      </c>
      <c r="D118" s="10" t="inlineStr">
        <is>
          <t>SEARCH-02</t>
        </is>
      </c>
      <c r="E118" s="10" t="inlineStr">
        <is>
          <t>SC-03</t>
        </is>
      </c>
      <c r="F118" s="5" t="inlineStr">
        <is>
          <t>기능</t>
        </is>
      </c>
      <c r="G118" s="5" t="inlineStr">
        <is>
          <t>미실행</t>
        </is>
      </c>
      <c r="H118" s="10" t="inlineStr">
        <is>
          <t>S1 · SEARCH-01 결과의 [&gt;]로 장소 상세 진입 · 접근성 3필드가 수집된 장소</t>
        </is>
      </c>
      <c r="I118" s="10" t="inlineStr">
        <is>
          <t>1. 바텀시트를 올려 접근성 정보 영역을 확인
2. 표출된 행의 개수와 항목명을 확인</t>
        </is>
      </c>
      <c r="J118" s="10" t="inlineStr">
        <is>
          <t>「여닫이문」·「점자 안내계단」·「경사도」 3행이 상세 시트 본문에 표출된다(부가 정보로 접히거나 별도 화면으로 밀리지 않는다)</t>
        </is>
      </c>
      <c r="K118" s="10" t="inlineStr"/>
      <c r="L118" s="10" t="inlineStr">
        <is>
          <t>PRD 2부 7.4 SC-03 · PRD 1부 4.3 Place · UX 화면사양 04-장소검색-상세 4.2·4.3절</t>
        </is>
      </c>
      <c r="M118" s="10" t="inlineStr">
        <is>
          <t>접근성 항목이 3종으로 고정인지는 UX 5.1절 U-35로 PRD 4.3과 대조 대기 — 3종 표출 자체는 현행 정본이다</t>
        </is>
      </c>
      <c r="N118" s="10" t="inlineStr"/>
    </row>
    <row r="119">
      <c r="A119" s="5" t="n">
        <v>118</v>
      </c>
      <c r="B119" s="10" t="inlineStr">
        <is>
          <t>TC-SEARCH-02-02</t>
        </is>
      </c>
      <c r="C119" s="10" t="inlineStr">
        <is>
          <t>04-장소검색</t>
        </is>
      </c>
      <c r="D119" s="10" t="inlineStr">
        <is>
          <t>SEARCH-02</t>
        </is>
      </c>
      <c r="E119" s="10" t="inlineStr">
        <is>
          <t>V-4 · SC-03</t>
        </is>
      </c>
      <c r="F119" s="5" t="inlineStr">
        <is>
          <t>기능</t>
        </is>
      </c>
      <c r="G119" s="5" t="inlineStr">
        <is>
          <t>미실행</t>
        </is>
      </c>
      <c r="H119" s="10" t="inlineStr">
        <is>
          <t>S1 · 접근성 항목 중 일부가 조사되지 않은 장소의 상세 진입</t>
        </is>
      </c>
      <c r="I119" s="10" t="inlineStr">
        <is>
          <t>1. 접근성 3행의 값 문자열을 확인
2. 조사된 항목과 조사되지 않은 항목의 표기를 대조</t>
        </is>
      </c>
      <c r="J119" s="10" t="inlineStr">
        <is>
          <t>조사되지 않은 항목은 「미조사」로 표기되고 「없음」으로 표기되지 않는다. 「있음/없음」(해당 없음)과 「미조사」(정보 없음)가 서로 다른 문자열로 구분된다</t>
        </is>
      </c>
      <c r="K119" s="10" t="inlineStr"/>
      <c r="L119" s="10" t="inlineStr">
        <is>
          <t>PRD 2부 7.4 V-4 · UX 화면사양 04-장소검색-상세 4.3절 요소 5 · 4.5절</t>
        </is>
      </c>
      <c r="M119" s="10" t="inlineStr">
        <is>
          <t>미조사를 「없음」으로 표시하면 계단이 있는 곳을 없는 곳으로 안내하게 된다 — 접근성 정보는 구역별 수집분 한정이다</t>
        </is>
      </c>
      <c r="N119" s="10" t="inlineStr"/>
    </row>
    <row r="120">
      <c r="A120" s="5" t="n">
        <v>119</v>
      </c>
      <c r="B120" s="10" t="inlineStr">
        <is>
          <t>TC-SEARCH-02-03</t>
        </is>
      </c>
      <c r="C120" s="10" t="inlineStr">
        <is>
          <t>04-장소검색</t>
        </is>
      </c>
      <c r="D120" s="10" t="inlineStr">
        <is>
          <t>SEARCH-02</t>
        </is>
      </c>
      <c r="E120" s="10" t="inlineStr">
        <is>
          <t>V-4 · AC-05</t>
        </is>
      </c>
      <c r="F120" s="5" t="inlineStr">
        <is>
          <t>접근성</t>
        </is>
      </c>
      <c r="G120" s="5" t="inlineStr">
        <is>
          <t>미실행</t>
        </is>
      </c>
      <c r="H120" s="10" t="inlineStr">
        <is>
          <t>S2(전맹) · 스크린리더 켬 · 3행 중 2행이 「미조사」인 장소</t>
        </is>
      </c>
      <c r="I120" s="10" t="inlineStr">
        <is>
          <t>1. 챗봇 응답의 [장소 상세보기]로 상세 진입
2. 접근성 3행을 순서대로 포커스 이동하며 낭독을 듣는다</t>
        </is>
      </c>
      <c r="J120" s="10" t="inlineStr">
        <is>
          <t>「미조사」 항목도 건너뛰지 않고 항목명과 함께 낭독된다(3행 전부가 들린다). 값이 비어 침묵으로 넘어가는 행이 없다</t>
        </is>
      </c>
      <c r="K120" s="10" t="inlineStr"/>
      <c r="L120" s="10" t="inlineStr">
        <is>
          <t>UX 화면사양 04-장소검색-상세 4.3절 요소 5 · 4.4절 · 00-공통 9절 규칙 5</t>
        </is>
      </c>
      <c r="M120" s="10" t="inlineStr">
        <is>
          <t>전맹 상세 시트의 접근성 3행 배치는 U-90(제안)으로 미정이나 낭독 요건 자체는 확정 사양이다</t>
        </is>
      </c>
      <c r="N120" s="10" t="inlineStr"/>
    </row>
    <row r="121">
      <c r="A121" s="5" t="n">
        <v>120</v>
      </c>
      <c r="B121" s="10" t="inlineStr">
        <is>
          <t>TC-SEARCH-02-04</t>
        </is>
      </c>
      <c r="C121" s="10" t="inlineStr">
        <is>
          <t>04-장소검색</t>
        </is>
      </c>
      <c r="D121" s="10" t="inlineStr">
        <is>
          <t>SEARCH-02</t>
        </is>
      </c>
      <c r="E121" s="10" t="inlineStr">
        <is>
          <t>SC-03</t>
        </is>
      </c>
      <c r="F121" s="5" t="inlineStr">
        <is>
          <t>기능</t>
        </is>
      </c>
      <c r="G121" s="5" t="inlineStr">
        <is>
          <t>미실행</t>
        </is>
      </c>
      <c r="H121" s="10" t="inlineStr">
        <is>
          <t>경사도 12도 이상으로 조사된 지점을 경유하는 경로가 존재하는 출발지·도착지</t>
        </is>
      </c>
      <c r="I121" s="10" t="inlineStr">
        <is>
          <t>1. 그 장소의 상세에서 경사도 값을 확인
2. 휠체어 계열 유형으로 그 지점을 지나는 경로를 탐색
3. 산출된 경로가 해당 지점을 회피하는지 확인</t>
        </is>
      </c>
      <c r="J121" s="10" t="inlineStr">
        <is>
          <t>경사도 12도 이상 지점이 회피경로 산출의 입력값으로 실제 반영돼 경로가 달라진다(화면 표기만 바뀌지 않는다)</t>
        </is>
      </c>
      <c r="K121" s="10" t="inlineStr"/>
      <c r="L121" s="10" t="inlineStr">
        <is>
          <t>PRD 2부 7.4 SC-03 · PRD 1부 4.2 RouteConstraint(maxSlope 기본 12도)</t>
        </is>
      </c>
      <c r="M121" s="10" t="inlineStr">
        <is>
          <t>판정은 경로 산출 결과에서 난다 — 장소 상세는 그 입력값의 표출 지점이다</t>
        </is>
      </c>
      <c r="N121" s="10" t="inlineStr"/>
    </row>
    <row r="122">
      <c r="A122" s="5" t="n">
        <v>121</v>
      </c>
      <c r="B122" s="10" t="inlineStr">
        <is>
          <t>TC-SEARCH-02-05</t>
        </is>
      </c>
      <c r="C122" s="10" t="inlineStr">
        <is>
          <t>04-장소검색</t>
        </is>
      </c>
      <c r="D122" s="10" t="inlineStr">
        <is>
          <t>SEARCH-02</t>
        </is>
      </c>
      <c r="E122" s="10" t="inlineStr">
        <is>
          <t>NFR-04 · AC-05</t>
        </is>
      </c>
      <c r="F122" s="5" t="inlineStr">
        <is>
          <t>접근성</t>
        </is>
      </c>
      <c r="G122" s="5" t="inlineStr">
        <is>
          <t>미실행</t>
        </is>
      </c>
      <c r="H122" s="10" t="inlineStr">
        <is>
          <t>S2(전맹) · 스크린리더 켬 · 모드 ① 진입</t>
        </is>
      </c>
      <c r="I122" s="10" t="inlineStr">
        <is>
          <t>1. [장소 상세보기]로 진입
2. 포커스를 처음부터 순서대로 이동하며 낭독 순서를 기록</t>
        </is>
      </c>
      <c r="J122" s="10" t="inlineStr">
        <is>
          <t>낭독 순서가 장소명 → 주소 → 역할 지정 3버튼으로 고정돼 있다</t>
        </is>
      </c>
      <c r="K122" s="10" t="inlineStr"/>
      <c r="L122" s="10" t="inlineStr">
        <is>
          <t>UX 화면사양 04-장소검색-상세 4.4절 · 00-공통 9절 규칙 5</t>
        </is>
      </c>
      <c r="M122" s="10" t="inlineStr"/>
      <c r="N122" s="10" t="inlineStr"/>
    </row>
    <row r="123">
      <c r="A123" s="5" t="n">
        <v>122</v>
      </c>
      <c r="B123" s="10" t="inlineStr">
        <is>
          <t>TC-SEARCH-02-06</t>
        </is>
      </c>
      <c r="C123" s="10" t="inlineStr">
        <is>
          <t>04-장소검색</t>
        </is>
      </c>
      <c r="D123" s="10" t="inlineStr">
        <is>
          <t>SEARCH-02</t>
        </is>
      </c>
      <c r="E123" s="10" t="inlineStr">
        <is>
          <t>NFR-04</t>
        </is>
      </c>
      <c r="F123" s="5" t="inlineStr">
        <is>
          <t>접근성</t>
        </is>
      </c>
      <c r="G123" s="5" t="inlineStr">
        <is>
          <t>미실행</t>
        </is>
      </c>
      <c r="H123" s="10" t="inlineStr">
        <is>
          <t>S2(전맹) · 모드 ① 진입 · 스크린리더 켬</t>
        </is>
      </c>
      <c r="I123" s="10" t="inlineStr">
        <is>
          <t>1. 상세 시트의 역할 지정 3버튼 배치를 확인
2. 스와이프로 포커스를 이동하며 버튼 순서를 기록</t>
        </is>
      </c>
      <c r="J123" s="10" t="inlineStr">
        <is>
          <t>역할 3버튼이 가로 3열이 아니라 세로 직렬로 배치되고 포커스가 「출발」·「경유」·「도착」 순으로 어긋남 없이 이동한다</t>
        </is>
      </c>
      <c r="K123" s="10" t="inlineStr"/>
      <c r="L123" s="10" t="inlineStr">
        <is>
          <t>UX 화면사양 04-장소검색-상세 4.2절 · 00-공통 9절 규칙 4</t>
        </is>
      </c>
      <c r="M123" s="10" t="inlineStr">
        <is>
          <t>동작 사양은 S1과 동일하고 갈리는 것은 배치와 낭독이다</t>
        </is>
      </c>
      <c r="N123" s="10" t="inlineStr"/>
    </row>
    <row r="124">
      <c r="A124" s="5" t="n">
        <v>123</v>
      </c>
      <c r="B124" s="10" t="inlineStr">
        <is>
          <t>TC-SEARCH-02-07</t>
        </is>
      </c>
      <c r="C124" s="10" t="inlineStr">
        <is>
          <t>04-장소검색</t>
        </is>
      </c>
      <c r="D124" s="10" t="inlineStr">
        <is>
          <t>SEARCH-02</t>
        </is>
      </c>
      <c r="E124" s="10" t="inlineStr">
        <is>
          <t>FR-R11</t>
        </is>
      </c>
      <c r="F124" s="5" t="inlineStr">
        <is>
          <t>기능</t>
        </is>
      </c>
      <c r="G124" s="5" t="inlineStr">
        <is>
          <t>미실행</t>
        </is>
      </c>
      <c r="H124" s="10" t="inlineStr">
        <is>
          <t>같은 장소를 모드 ①(길안내)과 모드 ②(즐겨찾기)로 각각 상세 진입할 수 있는 상태</t>
        </is>
      </c>
      <c r="I124" s="10" t="inlineStr">
        <is>
          <t>1. 모드 ①(2-0 길안내 또는 1-2 편의시설)로 장소 상세에 진입해 ☆/★ 유무를 확인
2. 같은 장소를 모드 ②(FAV-01)로 상세 진입해 ☆/★ 유무를 확인</t>
        </is>
      </c>
      <c r="J124" s="10" t="inlineStr">
        <is>
          <t>같은 화면이라도 모드 ①에서는 ☆/★ 토글이 없고 모드 ②에서만 표출된다(모드 파라미터가 하단 컨트롤뿐 아니라 ☆/★ 표출까지 결정한다)</t>
        </is>
      </c>
      <c r="K124" s="10" t="inlineStr"/>
      <c r="L124" s="10" t="inlineStr">
        <is>
          <t>UX 화면사양 04-장소검색-상세 2.1절 · 4.3절 요소 7</t>
        </is>
      </c>
      <c r="M124" s="10" t="inlineStr">
        <is>
          <t>2-2를 「☆가 있는 화면」으로 구현하면 길안내 진입에서도 ☆가 남는다 — 이 TC가 그 구현 결함을 잡는다</t>
        </is>
      </c>
      <c r="N124" s="10" t="inlineStr"/>
    </row>
    <row r="125">
      <c r="A125" s="5" t="n">
        <v>124</v>
      </c>
      <c r="B125" s="10" t="inlineStr">
        <is>
          <t>TC-SEARCH-02-08</t>
        </is>
      </c>
      <c r="C125" s="10" t="inlineStr">
        <is>
          <t>04-장소검색</t>
        </is>
      </c>
      <c r="D125" s="10" t="inlineStr">
        <is>
          <t>SEARCH-02</t>
        </is>
      </c>
      <c r="E125" s="10" t="inlineStr">
        <is>
          <t>V-6</t>
        </is>
      </c>
      <c r="F125" s="5" t="inlineStr">
        <is>
          <t>기능</t>
        </is>
      </c>
      <c r="G125" s="5" t="inlineStr">
        <is>
          <t>미실행</t>
        </is>
      </c>
      <c r="H125" s="10" t="inlineStr">
        <is>
          <t>S1 · 장소 상세 진입 · 지도에 선택한 장소의 핀만 표시된 상태</t>
        </is>
      </c>
      <c r="I125" s="10" t="inlineStr">
        <is>
          <t>1. 지도에서 다른 POI 또는 빈 영역을 누른다
2. 시트의 장소명·주소·접근성 3행이 바뀌는지 확인</t>
        </is>
      </c>
      <c r="J125" s="10" t="inlineStr">
        <is>
          <t>다른 장소를 눌러도 반응하지 않고 상세 대상이 바뀌지 않는다(사용자가 모르는 사이 대상이 교체되지 않는다)</t>
        </is>
      </c>
      <c r="K125" s="10" t="inlineStr"/>
      <c r="L125" s="10" t="inlineStr">
        <is>
          <t>UX 화면사양 04-장소검색-상세 4.3절 요소 1 · 4.5절</t>
        </is>
      </c>
      <c r="M125" s="10" t="inlineStr">
        <is>
          <t>지도에서 직접 영역을 눌러 상세로 들어가는 경로는 SEARCH-01 이전 단계의 진입 경로이며 S1 전용이다</t>
        </is>
      </c>
      <c r="N125" s="10" t="inlineStr"/>
    </row>
    <row r="126">
      <c r="A126" s="5" t="n">
        <v>125</v>
      </c>
      <c r="B126" s="10" t="inlineStr">
        <is>
          <t>TC-SEARCH-02-09</t>
        </is>
      </c>
      <c r="C126" s="10" t="inlineStr">
        <is>
          <t>04-장소검색</t>
        </is>
      </c>
      <c r="D126" s="10" t="inlineStr">
        <is>
          <t>SEARCH-02</t>
        </is>
      </c>
      <c r="E126" s="10" t="inlineStr">
        <is>
          <t>NFR-05 · AC-05</t>
        </is>
      </c>
      <c r="F126" s="5" t="inlineStr">
        <is>
          <t>접근성</t>
        </is>
      </c>
      <c r="G126" s="5" t="inlineStr">
        <is>
          <t>미실행</t>
        </is>
      </c>
      <c r="H126" s="10" t="inlineStr">
        <is>
          <t>S2(전맹) · 스크린리더 켬 · 지도 + 핀 + 바텀시트 상태</t>
        </is>
      </c>
      <c r="I126" s="10" t="inlineStr">
        <is>
          <t>1. [장소 상세보기]로 상세 진입
2. 지도 영역에서 들리는 안내를 기록</t>
        </is>
      </c>
      <c r="J126" s="10" t="inlineStr">
        <is>
          <t>핀 위치가 음성으로 안내돼 시각 없이도 장소의 위치를 알 수 있다(지도가 무의미한 비텍스트로 남지 않는다)</t>
        </is>
      </c>
      <c r="K126" s="10" t="inlineStr"/>
      <c r="L126" s="10" t="inlineStr">
        <is>
          <t>UX 화면사양 04-장소검색-상세 4.4절 · 00-공통 9절 규칙 6</t>
        </is>
      </c>
      <c r="M126" s="10" t="inlineStr"/>
      <c r="N126" s="10" t="inlineStr"/>
    </row>
    <row r="127">
      <c r="A127" s="5" t="n">
        <v>126</v>
      </c>
      <c r="B127" s="10" t="inlineStr">
        <is>
          <t>TC-SEARCH-02-10</t>
        </is>
      </c>
      <c r="C127" s="10" t="inlineStr">
        <is>
          <t>04-장소검색</t>
        </is>
      </c>
      <c r="D127" s="10" t="inlineStr">
        <is>
          <t>SEARCH-02</t>
        </is>
      </c>
      <c r="E127" s="10" t="inlineStr">
        <is>
          <t>C-4</t>
        </is>
      </c>
      <c r="F127" s="5" t="inlineStr">
        <is>
          <t>비기능</t>
        </is>
      </c>
      <c r="G127" s="5" t="inlineStr">
        <is>
          <t>미실행</t>
        </is>
      </c>
      <c r="H127" s="10" t="inlineStr">
        <is>
          <t>S1 · 장소 상세의 지도 영역 · 배경이 밝은 지역과 어두운 지역을 각각 표시</t>
        </is>
      </c>
      <c r="I127" s="10" t="inlineStr">
        <is>
          <t>1. 지도 위에 얹힌 텍스트(핀 라벨 등)의 배경판을 확인
2. 지도 배경이 다른 두 지역에서 같은 텍스트의 가독을 대조</t>
        </is>
      </c>
      <c r="J127" s="10" t="inlineStr">
        <is>
          <t>지도 위 텍스트가 불투명 배경판 위에 놓여 배경이 바뀌어도 대비가 유지된다(반투명 배경판이 아니다)</t>
        </is>
      </c>
      <c r="K127" s="10" t="inlineStr"/>
      <c r="L127" s="10" t="inlineStr">
        <is>
          <t>PRD 2부 7.2 C-4 · UX 화면사양 04-장소검색-상세 4.2절</t>
        </is>
      </c>
      <c r="M127" s="10" t="inlineStr">
        <is>
          <t>배경판 토큰 값은 정본 디자인 시스템과 일치하는지로 판정한다</t>
        </is>
      </c>
      <c r="N127" s="10" t="inlineStr"/>
    </row>
    <row r="128">
      <c r="A128" s="5" t="n">
        <v>127</v>
      </c>
      <c r="B128" s="10" t="inlineStr">
        <is>
          <t>TC-SEARCH-02-11</t>
        </is>
      </c>
      <c r="C128" s="10" t="inlineStr">
        <is>
          <t>04-장소검색</t>
        </is>
      </c>
      <c r="D128" s="10" t="inlineStr">
        <is>
          <t>SEARCH-02</t>
        </is>
      </c>
      <c r="E128" s="10" t="inlineStr">
        <is>
          <t>V-10</t>
        </is>
      </c>
      <c r="F128" s="5" t="inlineStr">
        <is>
          <t>접근성</t>
        </is>
      </c>
      <c r="G128" s="5" t="inlineStr">
        <is>
          <t>미실행</t>
        </is>
      </c>
      <c r="H128" s="10" t="inlineStr">
        <is>
          <t>S1 · 장소 상세의 지도 영역</t>
        </is>
      </c>
      <c r="I128" s="10" t="inlineStr">
        <is>
          <t>1. 한 손가락만 쓰는 조건에서 지도 확대·축소를 시도
2. 지도를 회전·기울인 뒤 정북으로 되돌리는 조작을 한 손가락으로 시도</t>
        </is>
      </c>
      <c r="J128" s="10" t="inlineStr">
        <is>
          <t>핀치 없이 확대·축소 버튼만으로 배율을 바꿀 수 있고, 방위가 정북이 아닐 때 표출되는 「정북 복원」을 누르기만으로 방위 0도·기울기 0도로 되돌릴 수 있다</t>
        </is>
      </c>
      <c r="K128" s="10" t="inlineStr"/>
      <c r="L128" s="10" t="inlineStr">
        <is>
          <t>PRD 2부 7.4 V-10 · 00-공통 3.5절</t>
        </is>
      </c>
      <c r="M128" s="10" t="inlineStr">
        <is>
          <t>대체 컨트롤은 판단 대상이 아니라 요건이다 — 제스처만 구현된 채 굳지 않았는지를 본다</t>
        </is>
      </c>
      <c r="N128" s="10" t="inlineStr"/>
    </row>
    <row r="129">
      <c r="A129" s="5" t="n">
        <v>128</v>
      </c>
      <c r="B129" s="10" t="inlineStr">
        <is>
          <t>TC-SEARCH-02-12</t>
        </is>
      </c>
      <c r="C129" s="10" t="inlineStr">
        <is>
          <t>04-장소검색</t>
        </is>
      </c>
      <c r="D129" s="10" t="inlineStr">
        <is>
          <t>SEARCH-02</t>
        </is>
      </c>
      <c r="E129" s="10" t="inlineStr">
        <is>
          <t>NFR-05</t>
        </is>
      </c>
      <c r="F129" s="5" t="inlineStr">
        <is>
          <t>접근성</t>
        </is>
      </c>
      <c r="G129" s="12" t="inlineStr">
        <is>
          <t>보류</t>
        </is>
      </c>
      <c r="H129" s="10" t="inlineStr">
        <is>
          <t>장소 이미지가 없는 장소의 상세 진입</t>
        </is>
      </c>
      <c r="I129" s="10" t="inlineStr">
        <is>
          <t>1. 이미지 자리의 표시를 확인
2. 스크린리더로 그 영역의 대체 텍스트를 듣는다</t>
        </is>
      </c>
      <c r="J129" s="10" t="inlineStr">
        <is>
          <t>판정 보류 — 장소 이미지의 대체 표시와 대체 텍스트가 UX 화면사양 4.3·4.5절에 U-35(PM 소관)로 미확정이라 합불 기준이 없다</t>
        </is>
      </c>
      <c r="K129" s="10" t="inlineStr"/>
      <c r="L129" s="10" t="inlineStr">
        <is>
          <t>UX 화면사양 04-장소검색-상세 4.3절 요소 4 · 4.5절 · 5.1절 U-35</t>
        </is>
      </c>
      <c r="M129" s="10" t="inlineStr">
        <is>
          <t>NFR-05(모든 비텍스트에 의미 있는 대체 텍스트)는 요건으로 살아 있고 문안만 비어 있다 — 확정되면 기대결과를 채운다</t>
        </is>
      </c>
      <c r="N129" s="10" t="inlineStr"/>
    </row>
    <row r="130">
      <c r="A130" s="5" t="n">
        <v>129</v>
      </c>
      <c r="B130" s="10" t="inlineStr">
        <is>
          <t>TC-ROUTE-03-01</t>
        </is>
      </c>
      <c r="C130" s="10" t="inlineStr">
        <is>
          <t>05-경로-실외내비</t>
        </is>
      </c>
      <c r="D130" s="10" t="inlineStr">
        <is>
          <t>ROUTE-03</t>
        </is>
      </c>
      <c r="E130" s="10" t="inlineStr">
        <is>
          <t>NFR-05</t>
        </is>
      </c>
      <c r="F130" s="5" t="inlineStr">
        <is>
          <t>기능</t>
        </is>
      </c>
      <c r="G130" s="5" t="inlineStr">
        <is>
          <t>미실행</t>
        </is>
      </c>
      <c r="H130" s="10" t="inlineStr">
        <is>
          <t>S1 · ROUTE-02 경로 카드의 [&gt;] 상세로 진입 · 도보 + 지하철 구간이 섞인 경로</t>
        </is>
      </c>
      <c r="I130" s="10" t="inlineStr">
        <is>
          <t>1. 상단 소요시간 배지의 값을 확인
2. 구간 타임라인의 지점 행과 구간 설명 행의 배열을 확인
3. 각 구간 설명의 거리·시간 표기를 확인</t>
        </is>
      </c>
      <c r="J130" s="10" t="inlineStr">
        <is>
          <t>소요시간 배지가 타임라인 상단에 있고, 지점과 구간 설명이 교차 배열되며, 각 구간 설명에 실측 거리와 소요시간이 함께 표기된다(예: 4번 출구까지 도보 341m·3분)</t>
        </is>
      </c>
      <c r="K130" s="10" t="inlineStr"/>
      <c r="L130" s="10" t="inlineStr">
        <is>
          <t>UX 화면사양 05-경로-실외내비 1.3·1.4절 요소 1·2</t>
        </is>
      </c>
      <c r="M130" s="10" t="inlineStr"/>
      <c r="N130" s="10" t="inlineStr"/>
    </row>
    <row r="131">
      <c r="A131" s="5" t="n">
        <v>130</v>
      </c>
      <c r="B131" s="10" t="inlineStr">
        <is>
          <t>TC-ROUTE-03-02</t>
        </is>
      </c>
      <c r="C131" s="10" t="inlineStr">
        <is>
          <t>05-경로-실외내비</t>
        </is>
      </c>
      <c r="D131" s="10" t="inlineStr">
        <is>
          <t>ROUTE-03</t>
        </is>
      </c>
      <c r="E131" s="10" t="inlineStr">
        <is>
          <t>US-02</t>
        </is>
      </c>
      <c r="F131" s="5" t="inlineStr">
        <is>
          <t>시나리오</t>
        </is>
      </c>
      <c r="G131" s="5" t="inlineStr">
        <is>
          <t>미실행</t>
        </is>
      </c>
      <c r="H131" s="10" t="inlineStr">
        <is>
          <t>같은 출발지·도착지 · 계정의 교통약자 유형을 휠체어 계열과 그 외로 각각 설정할 수 있는 상태</t>
        </is>
      </c>
      <c r="I131" s="10" t="inlineStr">
        <is>
          <t>1. 휠체어 계열 유형으로 경로를 탐색해 상세경로를 연다
2. 구간 설명(엘리베이터·에스컬레이터·객차번호 등)을 기록
3. 유형을 바꿔 같은 출발지·도착지를 다시 탐색하고 상세경로를 연다
4. 두 결과의 구간 구성과 설명을 대조</t>
        </is>
      </c>
      <c r="J131" s="10" t="inlineStr">
        <is>
          <t>유형에 따라 구간 구성과 행동 지시가 실제로 달라진다. 표시만 바뀌고 산출 결과가 같은 구조가 아니며, 어떤 유형 기준으로 산출됐는지 사용자가 확인할 수 있다</t>
        </is>
      </c>
      <c r="K131" s="10" t="inlineStr"/>
      <c r="L131" s="10" t="inlineStr">
        <is>
          <t>PRD 1부 US-02 · UX 화면사양 05-경로-실외내비 1.4절 요소 2</t>
        </is>
      </c>
      <c r="M131" s="10" t="inlineStr">
        <is>
          <t>엘리베이터 이용·객차번호·실측 거리가 유형 반영의 관찰 지점이다</t>
        </is>
      </c>
      <c r="N131" s="10" t="inlineStr"/>
    </row>
    <row r="132">
      <c r="A132" s="5" t="n">
        <v>131</v>
      </c>
      <c r="B132" s="10" t="inlineStr">
        <is>
          <t>TC-ROUTE-03-03</t>
        </is>
      </c>
      <c r="C132" s="10" t="inlineStr">
        <is>
          <t>05-경로-실외내비</t>
        </is>
      </c>
      <c r="D132" s="10" t="inlineStr">
        <is>
          <t>ROUTE-03</t>
        </is>
      </c>
      <c r="E132" s="10" t="inlineStr">
        <is>
          <t>V-3</t>
        </is>
      </c>
      <c r="F132" s="5" t="inlineStr">
        <is>
          <t>접근성</t>
        </is>
      </c>
      <c r="G132" s="5" t="inlineStr">
        <is>
          <t>미실행</t>
        </is>
      </c>
      <c r="H132" s="10" t="inlineStr">
        <is>
          <t>S1 · 저상버스 노선과 일반 노선이 함께 후보로 나오는 버스 구간을 포함한 경로</t>
        </is>
      </c>
      <c r="I132" s="10" t="inlineStr">
        <is>
          <t>1. 버스 후보 행에서 저상버스가 아닌 노선의 [승차 예약] 상태를 확인
2. 저상 노선과 일반 노선의 표시 차이를 확인
3. 색을 제거한 상태에서 두 노선을 다시 구분해 본다</t>
        </is>
      </c>
      <c r="J132" s="10" t="inlineStr">
        <is>
          <t>저상버스가 아닌 노선의 [승차 예약]이 비활성이고, 저상/일반 구분이 색을 빼도 텍스트로 전달된다(색 단독 전달이 아니다)</t>
        </is>
      </c>
      <c r="K132" s="10" t="inlineStr"/>
      <c r="L132" s="10" t="inlineStr">
        <is>
          <t>UX 화면사양 05-경로-실외내비 1.7절 · PRD 2부 7.4 V-3</t>
        </is>
      </c>
      <c r="M132" s="10" t="inlineStr"/>
      <c r="N132" s="10" t="inlineStr"/>
    </row>
    <row r="133">
      <c r="A133" s="5" t="n">
        <v>132</v>
      </c>
      <c r="B133" s="10" t="inlineStr">
        <is>
          <t>TC-ROUTE-03-04</t>
        </is>
      </c>
      <c r="C133" s="10" t="inlineStr">
        <is>
          <t>05-경로-실외내비</t>
        </is>
      </c>
      <c r="D133" s="10" t="inlineStr">
        <is>
          <t>ROUTE-03</t>
        </is>
      </c>
      <c r="E133" s="10" t="inlineStr">
        <is>
          <t>V-6 · NFR-05</t>
        </is>
      </c>
      <c r="F133" s="5" t="inlineStr">
        <is>
          <t>접근성</t>
        </is>
      </c>
      <c r="G133" s="5" t="inlineStr">
        <is>
          <t>미실행</t>
        </is>
      </c>
      <c r="H133" s="10" t="inlineStr">
        <is>
          <t>S1·S2 · 이미 지난 시간의 버스가 후보 행에 포함된 상태 · 스크린리더 켬</t>
        </is>
      </c>
      <c r="I133" s="10" t="inlineStr">
        <is>
          <t>1. 지난 시간 버스 행의 [승차 예약] 표시 문구를 확인
2. 그 버튼에 포커스를 두고 낭독을 듣는다</t>
        </is>
      </c>
      <c r="J133" s="10" t="inlineStr">
        <is>
          <t>버튼이 비활성이고 표시 문구는 액션 이름 그대로 유지되며, 낭독 라벨에 사용할 수 없음과 그 사유가 함께 얹혀 침묵으로 넘어가지 않는다</t>
        </is>
      </c>
      <c r="K133" s="10" t="inlineStr"/>
      <c r="L133" s="10" t="inlineStr">
        <is>
          <t>UX 화면사양 05-경로-실외내비 1.7절 · 00-공통 7절</t>
        </is>
      </c>
      <c r="M133" s="10" t="inlineStr">
        <is>
          <t>사유를 버튼 표시 문구로 대체하면 안 된다 — 00-공통 7절</t>
        </is>
      </c>
      <c r="N133" s="10" t="inlineStr"/>
    </row>
    <row r="134">
      <c r="A134" s="5" t="n">
        <v>133</v>
      </c>
      <c r="B134" s="10" t="inlineStr">
        <is>
          <t>TC-ROUTE-03-05</t>
        </is>
      </c>
      <c r="C134" s="10" t="inlineStr">
        <is>
          <t>05-경로-실외내비</t>
        </is>
      </c>
      <c r="D134" s="10" t="inlineStr">
        <is>
          <t>ROUTE-03</t>
        </is>
      </c>
      <c r="E134" s="10" t="inlineStr">
        <is>
          <t>V-6</t>
        </is>
      </c>
      <c r="F134" s="5" t="inlineStr">
        <is>
          <t>기능</t>
        </is>
      </c>
      <c r="G134" s="5" t="inlineStr">
        <is>
          <t>미실행</t>
        </is>
      </c>
      <c r="H134" s="10" t="inlineStr">
        <is>
          <t>S1 · 저상버스 노선의 [승차 예약]으로 시간표에서 승차 예약을 신청한 직후</t>
        </is>
      </c>
      <c r="I134" s="10" t="inlineStr">
        <is>
          <t>1. 예약 신청 직후의 안내 문구와 상태 표기를 확인
2. 예약이 확정되기 전 상태에서 같은 자리의 표기를 다시 확인</t>
        </is>
      </c>
      <c r="J134" s="10" t="inlineStr">
        <is>
          <t>신청 단계가 「요청됨」 계열로 표기되고 「확정됨」·「완료」로 말하지 않는다. 신청과 확정이 같은 문구로 뭉쳐지지 않는다</t>
        </is>
      </c>
      <c r="K134" s="10" t="inlineStr"/>
      <c r="L134" s="10" t="inlineStr">
        <is>
          <t>UX 화면사양 05-경로-실외내비 1.6·1.7절</t>
        </is>
      </c>
      <c r="M134" s="10" t="inlineStr">
        <is>
          <t>승차 예약 4단계의 정본은 07-대중교통이다 — 이 화면은 1단계(승차 예약) 진입점만 담는다</t>
        </is>
      </c>
      <c r="N134" s="10" t="inlineStr"/>
    </row>
    <row r="135">
      <c r="A135" s="5" t="n">
        <v>134</v>
      </c>
      <c r="B135" s="10" t="inlineStr">
        <is>
          <t>TC-ROUTE-03-06</t>
        </is>
      </c>
      <c r="C135" s="10" t="inlineStr">
        <is>
          <t>05-경로-실외내비</t>
        </is>
      </c>
      <c r="D135" s="10" t="inlineStr">
        <is>
          <t>ROUTE-03</t>
        </is>
      </c>
      <c r="E135" s="10" t="inlineStr">
        <is>
          <t>SC-04 · MB-5</t>
        </is>
      </c>
      <c r="F135" s="5" t="inlineStr">
        <is>
          <t>기능</t>
        </is>
      </c>
      <c r="G135" s="5" t="inlineStr">
        <is>
          <t>미실행</t>
        </is>
      </c>
      <c r="H135" s="10" t="inlineStr">
        <is>
          <t>S1 · 상세경로 표출 상태</t>
        </is>
      </c>
      <c r="I135" s="10" t="inlineStr">
        <is>
          <t>1. 하단 주요 액션 버튼의 표기를 확인
2. [안내시작]을 누른다
3. 전환된 화면을 확인</t>
        </is>
      </c>
      <c r="J135" s="10" t="inlineStr">
        <is>
          <t>버튼 표기가 공백 없는 「안내시작」이고, 누르면 ONAV-01 실외 내비게이션으로 진입한다(아이나비가 구현하는 것은 이 진입 처리이고 내비 내부 화면은 SDK 뷰다)</t>
        </is>
      </c>
      <c r="K135" s="10" t="inlineStr"/>
      <c r="L135" s="10" t="inlineStr">
        <is>
          <t>UX 화면사양 05-경로-실외내비 1.2·1.4절 요소 4 · PRD 2부 5.3·7.4 SC-04</t>
        </is>
      </c>
      <c r="M135" s="10" t="inlineStr"/>
      <c r="N135" s="10" t="inlineStr"/>
    </row>
    <row r="136">
      <c r="A136" s="5" t="n">
        <v>135</v>
      </c>
      <c r="B136" s="10" t="inlineStr">
        <is>
          <t>TC-ROUTE-03-07</t>
        </is>
      </c>
      <c r="C136" s="10" t="inlineStr">
        <is>
          <t>05-경로-실외내비</t>
        </is>
      </c>
      <c r="D136" s="10" t="inlineStr">
        <is>
          <t>ROUTE-03</t>
        </is>
      </c>
      <c r="E136" s="10" t="inlineStr">
        <is>
          <t>V-1 · NFR-04</t>
        </is>
      </c>
      <c r="F136" s="5" t="inlineStr">
        <is>
          <t>접근성</t>
        </is>
      </c>
      <c r="G136" s="5" t="inlineStr">
        <is>
          <t>미실행</t>
        </is>
      </c>
      <c r="H136" s="10" t="inlineStr">
        <is>
          <t>S2(전맹) · 스크린리더 켬 · 구간이 3개 이상인 경로의 상세경로</t>
        </is>
      </c>
      <c r="I136" s="10" t="inlineStr">
        <is>
          <t>1. 상세경로에서 포커스를 순서대로 이동하며 낭독을 기록
2. 한 번에 전달되는 행동 지시의 개수를 센다</t>
        </is>
      </c>
      <c r="J136" s="10" t="inlineStr">
        <is>
          <t>구간을 순서대로 하나씩 「구간 소요시간 → 행동 지시 → 다음 구간」으로 낭독하고, 한 번에 주어지는 다음 행동 지시가 항상 한 개다. 엘리베이터·에스컬레이터 이용 여부가 행동 지시에 포함된다</t>
        </is>
      </c>
      <c r="K136" s="10" t="inlineStr"/>
      <c r="L136" s="10" t="inlineStr">
        <is>
          <t>UX 화면사양 05-경로-실외내비 1.5절</t>
        </is>
      </c>
      <c r="M136" s="10" t="inlineStr"/>
      <c r="N136" s="10" t="inlineStr"/>
    </row>
    <row r="137">
      <c r="A137" s="5" t="n">
        <v>136</v>
      </c>
      <c r="B137" s="10" t="inlineStr">
        <is>
          <t>TC-ROUTE-03-08</t>
        </is>
      </c>
      <c r="C137" s="10" t="inlineStr">
        <is>
          <t>05-경로-실외내비</t>
        </is>
      </c>
      <c r="D137" s="10" t="inlineStr">
        <is>
          <t>ROUTE-03</t>
        </is>
      </c>
      <c r="E137" s="10" t="inlineStr">
        <is>
          <t>V-1</t>
        </is>
      </c>
      <c r="F137" s="5" t="inlineStr">
        <is>
          <t>접근성</t>
        </is>
      </c>
      <c r="G137" s="12" t="inlineStr">
        <is>
          <t>보류</t>
        </is>
      </c>
      <c r="H137" s="10" t="inlineStr">
        <is>
          <t>S2(전맹) · 객차번호(예: 4-1, 8-1)가 포함된 지하철 구간</t>
        </is>
      </c>
      <c r="I137" s="10" t="inlineStr">
        <is>
          <t>1. 객차번호가 포함된 구간의 낭독을 듣는다
2. 숫자 나열로 흘려 읽는지, 풀어 읽는지 확인</t>
        </is>
      </c>
      <c r="J137" s="10" t="inlineStr">
        <is>
          <t>판정 보류 — 객차번호를 숫자 나열로 흘리지 않는다는 원칙만 확정이고, 실제 낭독 문안(「4호차 1번 문」 형태)은 UX 화면사양 1.5·1.8절에 기획 소관 초안으로 남아 확정 문안이 없다</t>
        </is>
      </c>
      <c r="K137" s="10" t="inlineStr"/>
      <c r="L137" s="10" t="inlineStr">
        <is>
          <t>UX 화면사양 05-경로-실외내비 1.5·1.8절</t>
        </is>
      </c>
      <c r="M137" s="10" t="inlineStr">
        <is>
          <t>확정되면 기대결과에 문안을 박고 상태를 미실행으로 되돌린다</t>
        </is>
      </c>
      <c r="N137" s="10" t="inlineStr"/>
    </row>
    <row r="138">
      <c r="A138" s="5" t="n">
        <v>137</v>
      </c>
      <c r="B138" s="10" t="inlineStr">
        <is>
          <t>TC-ROUTE-03-09</t>
        </is>
      </c>
      <c r="C138" s="10" t="inlineStr">
        <is>
          <t>05-경로-실외내비</t>
        </is>
      </c>
      <c r="D138" s="10" t="inlineStr">
        <is>
          <t>ROUTE-03</t>
        </is>
      </c>
      <c r="E138" s="10" t="inlineStr">
        <is>
          <t>FR-R10</t>
        </is>
      </c>
      <c r="F138" s="5" t="inlineStr">
        <is>
          <t>기능</t>
        </is>
      </c>
      <c r="G138" s="12" t="inlineStr">
        <is>
          <t>보류</t>
        </is>
      </c>
      <c r="H138" s="10" t="inlineStr">
        <is>
          <t>상세경로 표출 상태</t>
        </is>
      </c>
      <c r="I138" s="10" t="inlineStr">
        <is>
          <t>1. 상세경로 화면에서 경로 탐색 옵션 6종(저상버스 우선·엘리베이터 우선·경사로 우선·계단 회피·이동거리 최소·환승 최소)의 표출 지점을 찾는다</t>
        </is>
      </c>
      <c r="J138" s="10" t="inlineStr">
        <is>
          <t>판정 보류 — 경로 옵션 6종이 이 화면에 반영되지 않았다(UX 화면사양 1.8절 U-35 · PM 소관). 요건은 살아 있고 표출 지점이 정해지지 않아 합불을 가릴 수 없다</t>
        </is>
      </c>
      <c r="K138" s="10" t="inlineStr"/>
      <c r="L138" s="10" t="inlineStr">
        <is>
          <t>PRD 1부 1.9 FR-R10 · UX 화면사양 05-경로-실외내비 1.8절</t>
        </is>
      </c>
      <c r="M138" s="10" t="inlineStr">
        <is>
          <t>옵션 선택 UI의 소재가 ROUTE-02인지 ROUTE-03인지가 정해지면 그 화면으로 TC를 옮긴다</t>
        </is>
      </c>
      <c r="N138" s="10" t="inlineStr"/>
    </row>
    <row r="139">
      <c r="A139" s="5" t="n">
        <v>138</v>
      </c>
      <c r="B139" s="10" t="inlineStr">
        <is>
          <t>TC-ROUTE-03-10</t>
        </is>
      </c>
      <c r="C139" s="10" t="inlineStr">
        <is>
          <t>05-경로-실외내비</t>
        </is>
      </c>
      <c r="D139" s="10" t="inlineStr">
        <is>
          <t>ROUTE-03</t>
        </is>
      </c>
      <c r="E139" s="10" t="inlineStr">
        <is>
          <t>MB-2</t>
        </is>
      </c>
      <c r="F139" s="5" t="inlineStr">
        <is>
          <t>기능</t>
        </is>
      </c>
      <c r="G139" s="12" t="inlineStr">
        <is>
          <t>보류</t>
        </is>
      </c>
      <c r="H139" s="10" t="inlineStr">
        <is>
          <t>역사 내부 이동(실내 구간)이 포함된 경로의 상세경로</t>
        </is>
      </c>
      <c r="I139" s="10" t="inlineStr">
        <is>
          <t>1. 실내 구간이 타임라인에 어떻게 표기되는지 확인
2. 실외 구간의 표기 방식과 대조</t>
        </is>
      </c>
      <c r="J139" s="10" t="inlineStr">
        <is>
          <t>판정 보류 — 상세경로가 역사 내부 이동을 텍스트로만 다루고 실내 구간(2-4-2) 표기 방식이 UX 화면사양 1.8절에 최우선 미확정(U-35 · PM 소관)으로 열려 있다</t>
        </is>
      </c>
      <c r="K139" s="10" t="inlineStr"/>
      <c r="L139" s="10" t="inlineStr">
        <is>
          <t>UX 화면사양 05-경로-실외내비 1.8절 · PRD 2부 5장 MB-2</t>
        </is>
      </c>
      <c r="M139" s="10" t="inlineStr">
        <is>
          <t>실외·실내가 다른 안내 경로를 갖지 않는다는 MB-2와의 정합이 이 미확정의 판정축이다</t>
        </is>
      </c>
      <c r="N139" s="10" t="inlineStr"/>
    </row>
    <row r="140">
      <c r="A140" s="5" t="n">
        <v>139</v>
      </c>
      <c r="B140" s="10" t="inlineStr">
        <is>
          <t>TC-ROUTE-03-11</t>
        </is>
      </c>
      <c r="C140" s="10" t="inlineStr">
        <is>
          <t>05-경로-실외내비</t>
        </is>
      </c>
      <c r="D140" s="10" t="inlineStr">
        <is>
          <t>ROUTE-03</t>
        </is>
      </c>
      <c r="E140" s="10" t="inlineStr">
        <is>
          <t>V-1 · AC-05</t>
        </is>
      </c>
      <c r="F140" s="5" t="inlineStr">
        <is>
          <t>접근성</t>
        </is>
      </c>
      <c r="G140" s="12" t="inlineStr">
        <is>
          <t>보류</t>
        </is>
      </c>
      <c r="H140" s="10" t="inlineStr">
        <is>
          <t>S2(전맹) · 상세경로 진입</t>
        </is>
      </c>
      <c r="I140" s="10" t="inlineStr">
        <is>
          <t>1. S2에서 상세경로의 화면 구성(요소 배치·컨트롤 구성)을 확인</t>
        </is>
      </c>
      <c r="J140" s="10" t="inlineStr">
        <is>
          <t>판정 보류 — ROUTE-03의 S2 형태가 UX 화면사양 1.1·1.8절에 U-53(기획 소관) 잔여로 미확정이다. 구간 순차 낭독 원칙(1.5절)만 확정이고 화면 형태의 합불 기준이 없다</t>
        </is>
      </c>
      <c r="K140" s="10" t="inlineStr"/>
      <c r="L140" s="10" t="inlineStr">
        <is>
          <t>UX 화면사양 05-경로-실외내비 1.1·1.8절</t>
        </is>
      </c>
      <c r="M140" s="10" t="inlineStr">
        <is>
          <t>낭독 원칙 자체의 판정은 TC-ROUTE-03-07이 담당한다 — 여기서 보류하는 것은 화면 형태다</t>
        </is>
      </c>
      <c r="N140" s="10" t="inlineStr"/>
    </row>
    <row r="141">
      <c r="A141" s="5" t="n">
        <v>140</v>
      </c>
      <c r="B141" s="10" t="inlineStr">
        <is>
          <t>TC-ONAV-01-01</t>
        </is>
      </c>
      <c r="C141" s="10" t="inlineStr">
        <is>
          <t>05-경로-실외내비</t>
        </is>
      </c>
      <c r="D141" s="10" t="inlineStr">
        <is>
          <t>ONAV-01</t>
        </is>
      </c>
      <c r="E141" s="10" t="inlineStr">
        <is>
          <t>SC-04 · MB-5</t>
        </is>
      </c>
      <c r="F141" s="5" t="inlineStr">
        <is>
          <t>기능</t>
        </is>
      </c>
      <c r="G141" s="5" t="inlineStr">
        <is>
          <t>미실행</t>
        </is>
      </c>
      <c r="H141" s="10" t="inlineStr">
        <is>
          <t>경로가 산출된 상태 · ROUTE-02 · ROUTE-03 · S2-3 세 진입 경로를 모두 쓸 수 있는 상태</t>
        </is>
      </c>
      <c r="I141" s="10" t="inlineStr">
        <is>
          <t>1. ROUTE-02의 [안내]로 내비게이션에 진입
2. 복귀 후 ROUTE-03의 [안내시작]으로 진입
3. S2에서 S2-3의 [안내시작]으로 진입</t>
        </is>
      </c>
      <c r="J141" s="10" t="inlineStr">
        <is>
          <t>세 경로 모두 ONAV-01 실외 내비게이션으로 진입해 SDK 안내 뷰가 올라오고 안내가 시작된다(아이나비 구현 범위는 이 진입 처리이며 내부 UI는 SDK가 그린다)</t>
        </is>
      </c>
      <c r="K141" s="10" t="inlineStr"/>
      <c r="L141" s="10" t="inlineStr">
        <is>
          <t>PRD 2부 5.3·7.4 SC-04 · UX 화면사양 05-경로-실외내비 2.1·2.2절</t>
        </is>
      </c>
      <c r="M141" s="10" t="inlineStr"/>
      <c r="N141" s="10" t="inlineStr"/>
    </row>
    <row r="142">
      <c r="A142" s="5" t="n">
        <v>141</v>
      </c>
      <c r="B142" s="10" t="inlineStr">
        <is>
          <t>TC-ONAV-01-02</t>
        </is>
      </c>
      <c r="C142" s="10" t="inlineStr">
        <is>
          <t>05-경로-실외내비</t>
        </is>
      </c>
      <c r="D142" s="10" t="inlineStr">
        <is>
          <t>ONAV-01</t>
        </is>
      </c>
      <c r="E142" s="10" t="inlineStr">
        <is>
          <t>SC-04</t>
        </is>
      </c>
      <c r="F142" s="5" t="inlineStr">
        <is>
          <t>기능</t>
        </is>
      </c>
      <c r="G142" s="5" t="inlineStr">
        <is>
          <t>미실행</t>
        </is>
      </c>
      <c r="H142" s="10" t="inlineStr">
        <is>
          <t>안내 진행 중 · 출발지·경유지·도착지가 채워진 상태</t>
        </is>
      </c>
      <c r="I142" s="10" t="inlineStr">
        <is>
          <t>1. 하단 영역(바텀시트)을 펼쳐 [길안내 종료]를 누른다
2. 복귀한 화면과 입력 블록의 값을 확인</t>
        </is>
      </c>
      <c r="J142" s="10" t="inlineStr">
        <is>
          <t>ROUTE-01 길안내 메인으로 복귀하고 출발지·경유지·도착지가 모두 초기화돼 비워진다</t>
        </is>
      </c>
      <c r="K142" s="10" t="inlineStr"/>
      <c r="L142" s="10" t="inlineStr">
        <is>
          <t>UX 화면사양 05-경로-실외내비 2.2절 · 2.5절 요소 5 · 03 8.6절</t>
        </is>
      </c>
      <c r="M142" s="10" t="inlineStr"/>
      <c r="N142" s="10" t="inlineStr"/>
    </row>
    <row r="143">
      <c r="A143" s="5" t="n">
        <v>142</v>
      </c>
      <c r="B143" s="10" t="inlineStr">
        <is>
          <t>TC-ONAV-01-03</t>
        </is>
      </c>
      <c r="C143" s="10" t="inlineStr">
        <is>
          <t>05-경로-실외내비</t>
        </is>
      </c>
      <c r="D143" s="10" t="inlineStr">
        <is>
          <t>ONAV-01</t>
        </is>
      </c>
      <c r="E143" s="10" t="inlineStr">
        <is>
          <t>SC-04</t>
        </is>
      </c>
      <c r="F143" s="5" t="inlineStr">
        <is>
          <t>기능</t>
        </is>
      </c>
      <c r="G143" s="5" t="inlineStr">
        <is>
          <t>미실행</t>
        </is>
      </c>
      <c r="H143" s="10" t="inlineStr">
        <is>
          <t>안내 진행 중 · 도착지 근처까지 이동한 상태(또는 도착 이벤트를 주입할 수 있는 환경)</t>
        </is>
      </c>
      <c r="I143" s="10" t="inlineStr">
        <is>
          <t>1. 도착 지점까지 안내를 진행시킨다
2. 도착 시점의 화면 전환을 확인</t>
        </is>
      </c>
      <c r="J143" s="10" t="inlineStr">
        <is>
          <t>도착하면 안내가 종료되고 ROUTE-01로 복귀한다(복귀 처리도 아이나비 구현 범위다)</t>
        </is>
      </c>
      <c r="K143" s="10" t="inlineStr"/>
      <c r="L143" s="10" t="inlineStr">
        <is>
          <t>UX 화면사양 05-경로-실외내비 2.2절 이탈</t>
        </is>
      </c>
      <c r="M143" s="10" t="inlineStr">
        <is>
          <t>도착 문안 자체는 초안이라 별건으로 보류돼 있다 — TC-ONAV-01-21</t>
        </is>
      </c>
      <c r="N143" s="10" t="inlineStr"/>
    </row>
    <row r="144">
      <c r="A144" s="5" t="n">
        <v>143</v>
      </c>
      <c r="B144" s="10" t="inlineStr">
        <is>
          <t>TC-ONAV-01-04</t>
        </is>
      </c>
      <c r="C144" s="10" t="inlineStr">
        <is>
          <t>05-경로-실외내비</t>
        </is>
      </c>
      <c r="D144" s="10" t="inlineStr">
        <is>
          <t>ONAV-01</t>
        </is>
      </c>
      <c r="E144" s="10" t="inlineStr">
        <is>
          <t>SC-04 · V-6</t>
        </is>
      </c>
      <c r="F144" s="5" t="inlineStr">
        <is>
          <t>기능</t>
        </is>
      </c>
      <c r="G144" s="5" t="inlineStr">
        <is>
          <t>미실행</t>
        </is>
      </c>
      <c r="H144" s="10" t="inlineStr">
        <is>
          <t>안내 진행 중 · 경유지를 하나 더 넣고 싶은 상황</t>
        </is>
      </c>
      <c r="I144" s="10" t="inlineStr">
        <is>
          <t>1. 하단 영역을 펼쳐 [경로 바꾸기]를 누른다
2. 복귀한 경로 리스트의 입력값과 진행 중 안내 상태를 확인
3. 경유지를 추가하고 [안내시작]으로 다시 진입
4. 돌아온 안내가 중단 지점부터 이어지는지, 처음부터 시작하는지 확인</t>
        </is>
      </c>
      <c r="J144" s="10" t="inlineStr">
        <is>
          <t>[경로 바꾸기]로 경로 리스트에 복귀하면 입력값은 유지되고 진행 중 안내는 중단되며 그 중단이 화면에 드러난다. [안내시작]으로 돌아온 안내는 이어붙인 것이 아니라 새 안내로 처음부터 시작한다</t>
        </is>
      </c>
      <c r="K144" s="10" t="inlineStr"/>
      <c r="L144" s="10" t="inlineStr">
        <is>
          <t>UX 화면사양 05-경로-실외내비 2.2절 재진입 · 2.5절 요소 4·6 · 03 8.6절</t>
        </is>
      </c>
      <c r="M144" s="10" t="inlineStr">
        <is>
          <t>안내 무중단 요건은 ONAV-02 폐기와 함께 폐기됐다 — 화면을 나가면 안내가 중단되는 것이 현행 사양이다</t>
        </is>
      </c>
      <c r="N144" s="10" t="inlineStr"/>
    </row>
    <row r="145">
      <c r="A145" s="5" t="n">
        <v>144</v>
      </c>
      <c r="B145" s="10" t="inlineStr">
        <is>
          <t>TC-ONAV-01-05</t>
        </is>
      </c>
      <c r="C145" s="10" t="inlineStr">
        <is>
          <t>05-경로-실외내비</t>
        </is>
      </c>
      <c r="D145" s="10" t="inlineStr">
        <is>
          <t>ONAV-01</t>
        </is>
      </c>
      <c r="E145" s="10" t="inlineStr">
        <is>
          <t>SC-04</t>
        </is>
      </c>
      <c r="F145" s="5" t="inlineStr">
        <is>
          <t>기능</t>
        </is>
      </c>
      <c r="G145" s="5" t="inlineStr">
        <is>
          <t>미실행</t>
        </is>
      </c>
      <c r="H145" s="10" t="inlineStr">
        <is>
          <t>안내 진행 중 · S1</t>
        </is>
      </c>
      <c r="I145" s="10" t="inlineStr">
        <is>
          <t>1. 지도 영역에 노출된 컨트롤을 모두 확인
2. 하단 영역을 펼쳐 컨트롤을 모두 확인
3. 안내 중 경로를 바꿀 수 있는 경로가 몇 개인지 센다</t>
        </is>
      </c>
      <c r="J145" s="10" t="inlineStr">
        <is>
          <t>이 화면에 [검색] 컨트롤이 없다. 지도 영역에는 확대/축소·내 위치 같은 지도 컨트롤만 남고 화면을 떠나는 컨트롤은 하단 영역 안에 있으며, 안내 중 경로를 바꾸는 경로는 [경로 바꾸기] 하나뿐이다</t>
        </is>
      </c>
      <c r="K145" s="10" t="inlineStr"/>
      <c r="L145" s="10" t="inlineStr">
        <is>
          <t>UX 화면사양 05-경로-실외내비 2.3·2.5절 요소 4</t>
        </is>
      </c>
      <c r="M145" s="10" t="inlineStr">
        <is>
          <t>ONAV-02(내비 중 검색)는 폐기됐다 — 검색 컨트롤이 보이면 폐기 화면이 되살아난 것이다</t>
        </is>
      </c>
      <c r="N145" s="10" t="inlineStr"/>
    </row>
    <row r="146">
      <c r="A146" s="5" t="n">
        <v>145</v>
      </c>
      <c r="B146" s="10" t="inlineStr">
        <is>
          <t>TC-ONAV-01-06</t>
        </is>
      </c>
      <c r="C146" s="10" t="inlineStr">
        <is>
          <t>05-경로-실외내비</t>
        </is>
      </c>
      <c r="D146" s="10" t="inlineStr">
        <is>
          <t>ONAV-01</t>
        </is>
      </c>
      <c r="E146" s="10" t="inlineStr">
        <is>
          <t>SC-04 · AC-05</t>
        </is>
      </c>
      <c r="F146" s="5" t="inlineStr">
        <is>
          <t>접근성</t>
        </is>
      </c>
      <c r="G146" s="12" t="inlineStr">
        <is>
          <t>보류</t>
        </is>
      </c>
      <c r="H146" s="10" t="inlineStr">
        <is>
          <t>S2(전맹) · 스크린리더 켬 · 안내 진행 중 SDK 뷰가 올라온 상태</t>
        </is>
      </c>
      <c r="I146" s="10" t="inlineStr">
        <is>
          <t>1. 홈 버튼으로 앱을 이탈했다가 복귀
2. 앱을 강제종료한 뒤 다시 실행
3. 복귀 시점의 스크린리더 포커스 위치를 확인</t>
        </is>
      </c>
      <c r="J146" s="10" t="inlineStr">
        <is>
          <t>판정 보류 — 이탈·강제종료 복귀 처리와 복귀 시 스크린리더 포커스 반환의 책임 경계(아이나비 ↔ LBS Tech SDK)가 PRD 2부 7.4 SC-04 행에 열린 미결로 남아 어느 쪽이 무엇을 보장하는지 정해지지 않았다</t>
        </is>
      </c>
      <c r="K146" s="10" t="inlineStr"/>
      <c r="L146" s="10" t="inlineStr">
        <is>
          <t>PRD 2부 7.4 SC-04 · UX 화면사양 05-경로-실외내비 2.1절</t>
        </is>
      </c>
      <c r="M146" s="10" t="inlineStr">
        <is>
          <t>PRD 열린 미결 M-06 종속 — 미결은 요건이 아니므로 요건 칸에 넣지 않고 여기 적는다</t>
        </is>
      </c>
      <c r="N146" s="10" t="inlineStr"/>
    </row>
    <row r="147">
      <c r="A147" s="5" t="n">
        <v>146</v>
      </c>
      <c r="B147" s="10" t="inlineStr">
        <is>
          <t>TC-ONAV-01-07</t>
        </is>
      </c>
      <c r="C147" s="10" t="inlineStr">
        <is>
          <t>05-경로-실외내비</t>
        </is>
      </c>
      <c r="D147" s="10" t="inlineStr">
        <is>
          <t>ONAV-01</t>
        </is>
      </c>
      <c r="E147" s="10" t="inlineStr">
        <is>
          <t>AC-03</t>
        </is>
      </c>
      <c r="F147" s="5" t="inlineStr">
        <is>
          <t>기능</t>
        </is>
      </c>
      <c r="G147" s="5" t="inlineStr">
        <is>
          <t>미실행</t>
        </is>
      </c>
      <c r="H147" s="10" t="inlineStr">
        <is>
          <t>실제 단말 · 옥외 GPS 수신 가능 · 회전이 2회 이상 포함된 도보 경로로 안내 시작</t>
        </is>
      </c>
      <c r="I147" s="10" t="inlineStr">
        <is>
          <t>1. 경로를 따라 실제로 이동한다
2. 각 회전 지점에서 안내가 나오는 시점과 내용을 기록
3. 도착까지 안내가 끊기지 않는지 확인</t>
        </is>
      </c>
      <c r="J147" s="10" t="inlineStr">
        <is>
          <t>회전마다 Turn-by-Turn 안내가 제때 나오고 경로 이탈 시 재탐색이 동작하며 도착까지 안내가 이어진다(LBS Tech SDK 연동이 단말에서 끝까지 성립한다)</t>
        </is>
      </c>
      <c r="K147" s="10" t="inlineStr"/>
      <c r="L147" s="10" t="inlineStr">
        <is>
          <t>PRD 1부 2.3 AC-03(LBS Tech SDK 연동 E2E)</t>
        </is>
      </c>
      <c r="M147" s="10" t="inlineStr">
        <is>
          <t>인수 기준 항목이라 실기기 E2E로만 판정한다 — 시뮬레이터 결과로 대체하지 않는다</t>
        </is>
      </c>
      <c r="N147" s="10" t="inlineStr"/>
    </row>
    <row r="148">
      <c r="A148" s="5" t="n">
        <v>147</v>
      </c>
      <c r="B148" s="10" t="inlineStr">
        <is>
          <t>TC-ONAV-01-08</t>
        </is>
      </c>
      <c r="C148" s="10" t="inlineStr">
        <is>
          <t>05-경로-실외내비</t>
        </is>
      </c>
      <c r="D148" s="10" t="inlineStr">
        <is>
          <t>ONAV-01</t>
        </is>
      </c>
      <c r="E148" s="10" t="inlineStr">
        <is>
          <t>MB-2</t>
        </is>
      </c>
      <c r="F148" s="5" t="inlineStr">
        <is>
          <t>기능</t>
        </is>
      </c>
      <c r="G148" s="5" t="inlineStr">
        <is>
          <t>미실행</t>
        </is>
      </c>
      <c r="H148" s="10" t="inlineStr">
        <is>
          <t>안내 진행 중 · 진동 사용 켬 · 음성 안내 켬</t>
        </is>
      </c>
      <c r="I148" s="10" t="inlineStr">
        <is>
          <t>1. 회전 안내가 발생하는 지점까지 이동
2. 같은 시점에 음성·진동·화면 텍스트가 각각 어떻게 전달되는지 기록
3. 하단 텍스트 안내 영역의 문장과 음성 문장을 대조</t>
        </is>
      </c>
      <c r="J148" s="10" t="inlineStr">
        <is>
          <t>같은 안내가 음성·햅틱·시각 3채널로 동시에 나가고, 하단 텍스트 안내 영역의 문장이 음성 안내 문장과 동일하다(두 영역이 같은 시점의 안내를 동시 표출한다)</t>
        </is>
      </c>
      <c r="K148" s="10" t="inlineStr"/>
      <c r="L148" s="10" t="inlineStr">
        <is>
          <t>PRD 2부 5장 MB-2 · UX 화면사양 05-경로-실외내비 2.3·2.5절 요소 1·2</t>
        </is>
      </c>
      <c r="M148" s="10" t="inlineStr"/>
      <c r="N148" s="10" t="inlineStr"/>
    </row>
    <row r="149">
      <c r="A149" s="5" t="n">
        <v>148</v>
      </c>
      <c r="B149" s="10" t="inlineStr">
        <is>
          <t>TC-ONAV-01-09</t>
        </is>
      </c>
      <c r="C149" s="10" t="inlineStr">
        <is>
          <t>05-경로-실외내비</t>
        </is>
      </c>
      <c r="D149" s="10" t="inlineStr">
        <is>
          <t>ONAV-01</t>
        </is>
      </c>
      <c r="E149" s="10" t="inlineStr">
        <is>
          <t>MB-2</t>
        </is>
      </c>
      <c r="F149" s="5" t="inlineStr">
        <is>
          <t>기능</t>
        </is>
      </c>
      <c r="G149" s="5" t="inlineStr">
        <is>
          <t>미실행</t>
        </is>
      </c>
      <c r="H149" s="10" t="inlineStr">
        <is>
          <t>실외 → 실내 → 실외로 모드가 두 번 바뀌는 경로(예: 집 → 강남역 → 복지관)로 안내 시작</t>
        </is>
      </c>
      <c r="I149" s="10" t="inlineStr">
        <is>
          <t>1. 실외 구간을 이동해 역사 진입 지점에 도달
2. 실내 안내로 넘어가는 순간의 화면과 안내를 기록
3. 역사를 나와 실외로 돌아오는 순간을 다시 기록
4. 모드 전환에 사용자 조작이 필요한지 확인</t>
        </is>
      </c>
      <c r="J149" s="10" t="inlineStr">
        <is>
          <t>실외와 실내가 seamless하게 이어지고 사용자가 모드를 고르지 않으며(판단 주체는 앱), 두 구간의 안내가 같은 인터페이스로 송출돼 서로 다른 안내 경로를 갖지 않는다</t>
        </is>
      </c>
      <c r="K149" s="10" t="inlineStr"/>
      <c r="L149" s="10" t="inlineStr">
        <is>
          <t>PRD 2부 5장 MB-2 · UX 화면사양 05-경로-실외내비 2.2·2.7절</t>
        </is>
      </c>
      <c r="M149" s="10" t="inlineStr">
        <is>
          <t>도착은 마지막 구간(실내 또는 실외)에서 발생한다</t>
        </is>
      </c>
      <c r="N149" s="10" t="inlineStr"/>
    </row>
    <row r="150">
      <c r="A150" s="5" t="n">
        <v>149</v>
      </c>
      <c r="B150" s="10" t="inlineStr">
        <is>
          <t>TC-ONAV-01-10</t>
        </is>
      </c>
      <c r="C150" s="10" t="inlineStr">
        <is>
          <t>05-경로-실외내비</t>
        </is>
      </c>
      <c r="D150" s="10" t="inlineStr">
        <is>
          <t>ONAV-01</t>
        </is>
      </c>
      <c r="E150" s="10" t="inlineStr">
        <is>
          <t>FR-R7 · H-1</t>
        </is>
      </c>
      <c r="F150" s="5" t="inlineStr">
        <is>
          <t>기능</t>
        </is>
      </c>
      <c r="G150" s="5" t="inlineStr">
        <is>
          <t>미실행</t>
        </is>
      </c>
      <c r="H150" s="10" t="inlineStr">
        <is>
          <t>진동 사용 켬 · 접근·도착·하차 이벤트를 각각 발생시킬 수 있는 환경</t>
        </is>
      </c>
      <c r="I150" s="10" t="inlineStr">
        <is>
          <t>1. 접근 이벤트에서 발생한 진동 패턴을 기록
2. 도착 이벤트의 패턴을 기록
3. 하차 이벤트의 패턴을 기록
4. 세 패턴의 길이·리듬을 대조</t>
        </is>
      </c>
      <c r="J150" s="10" t="inlineStr">
        <is>
          <t>접근·도착·하차 최소 3종이 서로 다른 진동 패턴으로 실행된다(같은 패턴을 재사용하지 않는다)</t>
        </is>
      </c>
      <c r="K150" s="10" t="inlineStr"/>
      <c r="L150" s="10" t="inlineStr">
        <is>
          <t>PRD 1부 1.9 FR-R7 · 2부 6.8 H-1</t>
        </is>
      </c>
      <c r="M150" s="10" t="inlineStr">
        <is>
          <t>회전·경고·긴급도 구분 대상이나 RFP 명시 3종이 최소 기준이다</t>
        </is>
      </c>
      <c r="N150" s="10" t="inlineStr"/>
    </row>
    <row r="151">
      <c r="A151" s="5" t="n">
        <v>150</v>
      </c>
      <c r="B151" s="10" t="inlineStr">
        <is>
          <t>TC-ONAV-01-11</t>
        </is>
      </c>
      <c r="C151" s="10" t="inlineStr">
        <is>
          <t>05-경로-실외내비</t>
        </is>
      </c>
      <c r="D151" s="10" t="inlineStr">
        <is>
          <t>ONAV-01</t>
        </is>
      </c>
      <c r="E151" s="10" t="inlineStr">
        <is>
          <t>FR-R7 · H-2</t>
        </is>
      </c>
      <c r="F151" s="5" t="inlineStr">
        <is>
          <t>기능</t>
        </is>
      </c>
      <c r="G151" s="5" t="inlineStr">
        <is>
          <t>미실행</t>
        </is>
      </c>
      <c r="H151" s="10" t="inlineStr">
        <is>
          <t>로그인 상태 · 진동 사용 여부와 강도를 설정할 수 있는 화면에 접근 가능</t>
        </is>
      </c>
      <c r="I151" s="10" t="inlineStr">
        <is>
          <t>1. 진동 강도를 바꾸고 내비게이션에서 이벤트를 발생시켜 세기를 확인
2. 진동 사용을 끄고 같은 이벤트를 다시 발생시킨다
3. 로그아웃 후 다른 단말로 같은 계정에 로그인해 설정값을 확인</t>
        </is>
      </c>
      <c r="J151" s="10" t="inlineStr">
        <is>
          <t>진동 사용 여부와 강도 설정이 실제 진동에 반영되고, 설정값이 접근성 프로필로 서버 계정에 저장돼 다른 단말에서도 같은 값으로 적용된다</t>
        </is>
      </c>
      <c r="K151" s="10" t="inlineStr"/>
      <c r="L151" s="10" t="inlineStr">
        <is>
          <t>PRD 1부 1.9 FR-R7·4.1 · 2부 6.8 H-2</t>
        </is>
      </c>
      <c r="M151" s="10" t="inlineStr">
        <is>
          <t>설정은 전역 강제 지점 하나를 거친다 — 화면이 직접 진동을 구현하면 MB-1 위반이다</t>
        </is>
      </c>
      <c r="N151" s="10" t="inlineStr"/>
    </row>
    <row r="152">
      <c r="A152" s="5" t="n">
        <v>151</v>
      </c>
      <c r="B152" s="10" t="inlineStr">
        <is>
          <t>TC-ONAV-01-12</t>
        </is>
      </c>
      <c r="C152" s="10" t="inlineStr">
        <is>
          <t>05-경로-실외내비</t>
        </is>
      </c>
      <c r="D152" s="10" t="inlineStr">
        <is>
          <t>ONAV-01</t>
        </is>
      </c>
      <c r="E152" s="10" t="inlineStr">
        <is>
          <t>H-3</t>
        </is>
      </c>
      <c r="F152" s="5" t="inlineStr">
        <is>
          <t>사용자평가</t>
        </is>
      </c>
      <c r="G152" s="5" t="inlineStr">
        <is>
          <t>미실행</t>
        </is>
      </c>
      <c r="H152" s="10" t="inlineStr">
        <is>
          <t>전맹 참여자 · 음성 안내를 끈 상태 · 접근·도착·하차 3종 패턴이 구현된 빌드</t>
        </is>
      </c>
      <c r="I152" s="10" t="inlineStr">
        <is>
          <t>1. 참여자에게 3종 패턴을 무작위 순서로 각각 제시
2. 어느 이벤트의 패턴인지 응답받는다
3. 참여자별로 3종 전부에 대해 반복</t>
        </is>
      </c>
      <c r="J152" s="10" t="inlineStr">
        <is>
          <t>참여자가 진동만으로 3종을 구분해 식별한다. 길이·리듬이 비슷해 같은 신호로 인지되는 패턴 쌍이 없다</t>
        </is>
      </c>
      <c r="K152" s="10" t="inlineStr"/>
      <c r="L152" s="10" t="inlineStr">
        <is>
          <t>PRD 2부 6.8 H-3(패턴 정의 시 촉각 구분 검증 포함)</t>
        </is>
      </c>
      <c r="M152" s="10" t="inlineStr">
        <is>
          <t>요건을 형식적으로 충족했는지가 아니라 실제로 구분되는지를 보는 항목이라 사용자 참여 평가로 판정한다</t>
        </is>
      </c>
      <c r="N152" s="10" t="inlineStr"/>
    </row>
    <row r="153">
      <c r="A153" s="5" t="n">
        <v>152</v>
      </c>
      <c r="B153" s="10" t="inlineStr">
        <is>
          <t>TC-ONAV-01-13</t>
        </is>
      </c>
      <c r="C153" s="10" t="inlineStr">
        <is>
          <t>05-경로-실외내비</t>
        </is>
      </c>
      <c r="D153" s="10" t="inlineStr">
        <is>
          <t>ONAV-01</t>
        </is>
      </c>
      <c r="E153" s="10" t="inlineStr">
        <is>
          <t>H-4 · NFR-05</t>
        </is>
      </c>
      <c r="F153" s="5" t="inlineStr">
        <is>
          <t>접근성</t>
        </is>
      </c>
      <c r="G153" s="5" t="inlineStr">
        <is>
          <t>미실행</t>
        </is>
      </c>
      <c r="H153" s="10" t="inlineStr">
        <is>
          <t>진동 사용을 끈 상태 · 음성 안내 켬 · 안내 진행 중</t>
        </is>
      </c>
      <c r="I153" s="10" t="inlineStr">
        <is>
          <t>1. 진동으로 전달되는 이벤트(접근·도착·회전·경고)를 모두 발생시킨다
2. 각 이벤트에서 음성과 화면으로 전달되는 내용을 기록
3. 진동을 켠 상태의 전달 내용과 대조</t>
        </is>
      </c>
      <c r="J153" s="10" t="inlineStr">
        <is>
          <t>진동을 꺼도 모든 이벤트가 음성과 시각으로 동일하게 전달돼 정보를 잃지 않는다. 진동으로만 전달되는 정보가 없다</t>
        </is>
      </c>
      <c r="K153" s="10" t="inlineStr"/>
      <c r="L153" s="10" t="inlineStr">
        <is>
          <t>PRD 2부 6.8 H-4</t>
        </is>
      </c>
      <c r="M153" s="10" t="inlineStr"/>
      <c r="N153" s="10" t="inlineStr"/>
    </row>
    <row r="154">
      <c r="A154" s="5" t="n">
        <v>153</v>
      </c>
      <c r="B154" s="10" t="inlineStr">
        <is>
          <t>TC-ONAV-01-14</t>
        </is>
      </c>
      <c r="C154" s="10" t="inlineStr">
        <is>
          <t>05-경로-실외내비</t>
        </is>
      </c>
      <c r="D154" s="10" t="inlineStr">
        <is>
          <t>ONAV-01</t>
        </is>
      </c>
      <c r="E154" s="10" t="inlineStr">
        <is>
          <t>FR-R8 · H-5</t>
        </is>
      </c>
      <c r="F154" s="5" t="inlineStr">
        <is>
          <t>기능</t>
        </is>
      </c>
      <c r="G154" s="5" t="inlineStr">
        <is>
          <t>미실행</t>
        </is>
      </c>
      <c r="H154" s="10" t="inlineStr">
        <is>
          <t>횡단보도·계단·급경사가 각각 포함된 경로로 안내 시작 · 진동 사용 켬</t>
        </is>
      </c>
      <c r="I154" s="10" t="inlineStr">
        <is>
          <t>1. 횡단보도 지점을 향해 이동하며 경고가 나오는 시점을 기록
2. 계단 지점에서 같은 기록을 반복
3. 급경사 지점에서 같은 기록을 반복
4. 각 경고가 해당 지점 진입 전인지 후인지 판정</t>
        </is>
      </c>
      <c r="J154" s="10" t="inlineStr">
        <is>
          <t>세 주의구간 모두 진입하기 전에 별도 경고 음성과 진동 패턴이 나온다(진입 후 통보가 아니다)</t>
        </is>
      </c>
      <c r="K154" s="10" t="inlineStr"/>
      <c r="L154" s="10" t="inlineStr">
        <is>
          <t>PRD 1부 1.9 FR-R8·4.4 HazardZone · 2부 6.8 H-5</t>
        </is>
      </c>
      <c r="M154" s="10" t="inlineStr">
        <is>
          <t>공사구간·우회구간은 데이터 출처 미확보라 별건으로 보류돼 있다 — TC-ONAV-01-16</t>
        </is>
      </c>
      <c r="N154" s="10" t="inlineStr"/>
    </row>
    <row r="155">
      <c r="A155" s="5" t="n">
        <v>154</v>
      </c>
      <c r="B155" s="10" t="inlineStr">
        <is>
          <t>TC-ONAV-01-15</t>
        </is>
      </c>
      <c r="C155" s="10" t="inlineStr">
        <is>
          <t>05-경로-실외내비</t>
        </is>
      </c>
      <c r="D155" s="10" t="inlineStr">
        <is>
          <t>ONAV-01</t>
        </is>
      </c>
      <c r="E155" s="10" t="inlineStr">
        <is>
          <t>H-6</t>
        </is>
      </c>
      <c r="F155" s="5" t="inlineStr">
        <is>
          <t>기능</t>
        </is>
      </c>
      <c r="G155" s="5" t="inlineStr">
        <is>
          <t>미실행</t>
        </is>
      </c>
      <c r="H155" s="10" t="inlineStr">
        <is>
          <t>같은 주의구간을 포함한 경로 · 보행 속도와 휠체어 속도 등 이동 속도가 다른 두 조건으로 접근할 수 있는 환경</t>
        </is>
      </c>
      <c r="I155" s="10" t="inlineStr">
        <is>
          <t>1. 느린 이동 속도로 주의구간에 접근해 경고가 발화된 지점과 대상 지점 사이 거리를 측정
2. 빠른 이동 속도로 같은 주의구간에 접근해 같은 거리를 측정
3. 두 거리를 대조</t>
        </is>
      </c>
      <c r="J155" s="10" t="inlineStr">
        <is>
          <t>발화 시점 거리가 두 조건에서 같지 않다(이동 속도에 따라 달라진다). 속도와 무관한 고정 거리값으로 발화하면 실패</t>
        </is>
      </c>
      <c r="K155" s="10" t="inlineStr"/>
      <c r="L155" s="10" t="inlineStr">
        <is>
          <t>PRD 2부 6.8 H-6(거리 임계값을 이동 속도와 무관하게 고정하지 않는다)</t>
        </is>
      </c>
      <c r="M155" s="10" t="inlineStr">
        <is>
          <t>approachRadius의 구체 값은 PRD 2부 6.8에 미정이라 값의 적정성은 판정하지 않는다 — 고정값이 아님만 본다</t>
        </is>
      </c>
      <c r="N155" s="10" t="inlineStr"/>
    </row>
    <row r="156">
      <c r="A156" s="5" t="n">
        <v>155</v>
      </c>
      <c r="B156" s="10" t="inlineStr">
        <is>
          <t>TC-ONAV-01-16</t>
        </is>
      </c>
      <c r="C156" s="10" t="inlineStr">
        <is>
          <t>05-경로-실외내비</t>
        </is>
      </c>
      <c r="D156" s="10" t="inlineStr">
        <is>
          <t>ONAV-01</t>
        </is>
      </c>
      <c r="E156" s="10" t="inlineStr">
        <is>
          <t>FR-R8 · H-7</t>
        </is>
      </c>
      <c r="F156" s="5" t="inlineStr">
        <is>
          <t>기능</t>
        </is>
      </c>
      <c r="G156" s="12" t="inlineStr">
        <is>
          <t>보류</t>
        </is>
      </c>
      <c r="H156" s="10" t="inlineStr">
        <is>
          <t>공사구간 또는 우회구간이 존재하는 실제 경로</t>
        </is>
      </c>
      <c r="I156" s="10" t="inlineStr">
        <is>
          <t>1. 공사구간을 지나는 경로로 안내를 시작
2. 해당 지점 진입 전에 경고가 나오는지 확인</t>
        </is>
      </c>
      <c r="J156" s="10" t="inlineStr">
        <is>
          <t>판정 보류 — 공사구간·우회구간의 실시간 데이터 출처가 확보되지 않아(PRD 2부 6.8 H-7 · 1부 4.5 HazardZone 출처 미정) 경고 대상 데이터 자체가 없다. 출처 없이 UI만 만들면 항상 비어 있는 기능이 되므로 합불을 가릴 수 없다</t>
        </is>
      </c>
      <c r="K156" s="10" t="inlineStr"/>
      <c r="L156" s="10" t="inlineStr">
        <is>
          <t>PRD 2부 6.8 H-7 · PRD 1부 4.5 데이터 소스 매핑</t>
        </is>
      </c>
      <c r="M156" s="10" t="inlineStr">
        <is>
          <t>횡단보도·계단·급경사는 보행 네트워크에 있어 TC-ONAV-01-14로 판정한다 — 보류 대상은 공사·우회 2종뿐이다</t>
        </is>
      </c>
      <c r="N156" s="10" t="inlineStr"/>
    </row>
    <row r="157">
      <c r="A157" s="5" t="n">
        <v>156</v>
      </c>
      <c r="B157" s="10" t="inlineStr">
        <is>
          <t>TC-ONAV-01-17</t>
        </is>
      </c>
      <c r="C157" s="10" t="inlineStr">
        <is>
          <t>05-경로-실외내비</t>
        </is>
      </c>
      <c r="D157" s="10" t="inlineStr">
        <is>
          <t>ONAV-01</t>
        </is>
      </c>
      <c r="E157" s="10" t="inlineStr">
        <is>
          <t>NFR-09</t>
        </is>
      </c>
      <c r="F157" s="5" t="inlineStr">
        <is>
          <t>비기능</t>
        </is>
      </c>
      <c r="G157" s="5" t="inlineStr">
        <is>
          <t>미실행</t>
        </is>
      </c>
      <c r="H157" s="10" t="inlineStr">
        <is>
          <t>안내 진행 중 · 지하 구간 진입 등으로 통신이 끊기는 환경(또는 기내 모드로 두절을 만들 수 있는 환경)</t>
        </is>
      </c>
      <c r="I157" s="10" t="inlineStr">
        <is>
          <t>1. 안내 중 통신을 끊는다
2. 화면과 음성 안내의 상태를 기록
3. 통신을 복구한다
4. 복구 후 안내가 어디서부터 이어지는지 확인</t>
        </is>
      </c>
      <c r="J157" s="10" t="inlineStr">
        <is>
          <t>두절 동안 마지막 안내 상태가 유지되고(빈 화면·안내 소멸이 없다) 복구되면 처음부터 다시 시작하지 않고 이어서 진행한다</t>
        </is>
      </c>
      <c r="K157" s="10" t="inlineStr"/>
      <c r="L157" s="10" t="inlineStr">
        <is>
          <t>PRD 1부 2.4 NFR-09 · 2부 6.7 에러 핸들링 원칙</t>
        </is>
      </c>
      <c r="M157" s="10" t="inlineStr"/>
      <c r="N157" s="10" t="inlineStr"/>
    </row>
    <row r="158">
      <c r="A158" s="5" t="n">
        <v>157</v>
      </c>
      <c r="B158" s="10" t="inlineStr">
        <is>
          <t>TC-ONAV-01-18</t>
        </is>
      </c>
      <c r="C158" s="10" t="inlineStr">
        <is>
          <t>05-경로-실외내비</t>
        </is>
      </c>
      <c r="D158" s="10" t="inlineStr">
        <is>
          <t>ONAV-01</t>
        </is>
      </c>
      <c r="E158" s="10" t="inlineStr">
        <is>
          <t>NFR-04</t>
        </is>
      </c>
      <c r="F158" s="5" t="inlineStr">
        <is>
          <t>접근성</t>
        </is>
      </c>
      <c r="G158" s="5" t="inlineStr">
        <is>
          <t>미실행</t>
        </is>
      </c>
      <c r="H158" s="10" t="inlineStr">
        <is>
          <t>S2(전맹) · 스크린리더 켬 · 안내 진행 중</t>
        </is>
      </c>
      <c r="I158" s="10" t="inlineStr">
        <is>
          <t>1. 화면 하단 버튼 영역의 배치를 확인
2. 포커스를 순서대로 이동하며 버튼 낭독 순서를 기록</t>
        </is>
      </c>
      <c r="J158" s="10" t="inlineStr">
        <is>
          <t>버튼 3개가 세로 직렬로 배치되고 낭독 순서가 [음성인식 시작하기] → [경로 바꾸기] → [길안내 종료]다. 파괴적 동작인 [길안내 종료]가 마지막에 와서 초점 기본값이 되지 않는다</t>
        </is>
      </c>
      <c r="K158" s="10" t="inlineStr"/>
      <c r="L158" s="10" t="inlineStr">
        <is>
          <t>UX 화면사양 05-경로-실외내비 2.4절 · 2.5절 요소 5·6·7</t>
        </is>
      </c>
      <c r="M158" s="10" t="inlineStr">
        <is>
          <t>S1은 가로 2버튼이고 [길안내 종료]가 오른쪽이다 — 배치는 달라도 파괴적 동작을 마지막에 두는 원칙은 같다</t>
        </is>
      </c>
      <c r="N158" s="10" t="inlineStr"/>
    </row>
    <row r="159">
      <c r="A159" s="5" t="n">
        <v>158</v>
      </c>
      <c r="B159" s="10" t="inlineStr">
        <is>
          <t>TC-ONAV-01-19</t>
        </is>
      </c>
      <c r="C159" s="10" t="inlineStr">
        <is>
          <t>05-경로-실외내비</t>
        </is>
      </c>
      <c r="D159" s="10" t="inlineStr">
        <is>
          <t>ONAV-01</t>
        </is>
      </c>
      <c r="E159" s="10" t="inlineStr">
        <is>
          <t>NFR-05 · AC-05</t>
        </is>
      </c>
      <c r="F159" s="5" t="inlineStr">
        <is>
          <t>접근성</t>
        </is>
      </c>
      <c r="G159" s="5" t="inlineStr">
        <is>
          <t>미실행</t>
        </is>
      </c>
      <c r="H159" s="10" t="inlineStr">
        <is>
          <t>S2(전맹) · 스크린리더 켬 · 안내 진행 중 · 마이크를 쓸 수 없는 상황(소음)</t>
        </is>
      </c>
      <c r="I159" s="10" t="inlineStr">
        <is>
          <t>1. 화면 중앙 방향 지시면에 포커스를 두고 낭독을 듣는다
2. 두 번 탭해 실행한다
3. 실행 후 들리는 안내를 기록</t>
        </is>
      </c>
      <c r="J159" s="10" t="inlineStr">
        <is>
          <t>방향 지시면이 버튼 역할로 초점을 받아 「12시 방향으로 464미터 직진입니다. 방향 다시 듣기」처럼 방향·잔여거리·재낭독 안내가 한 덩이로 읽히고, 두 번 탭하면 현재 안내가 재낭독된다. 문안에 「버튼」이 중복으로 들어가 두 번 읽히지 않는다</t>
        </is>
      </c>
      <c r="K159" s="10" t="inlineStr"/>
      <c r="L159" s="10" t="inlineStr">
        <is>
          <t>UX 화면사양 05-경로-실외내비 2.4·2.5절 요소 8</t>
        </is>
      </c>
      <c r="M159" s="10" t="inlineStr">
        <is>
          <t>음성을 쓸 수 없을 때 남는 누르기 경로다 — 대화 UI가 유일한 조작 경로가 되지 않게 하는 장치</t>
        </is>
      </c>
      <c r="N159" s="10" t="inlineStr"/>
    </row>
    <row r="160">
      <c r="A160" s="5" t="n">
        <v>159</v>
      </c>
      <c r="B160" s="10" t="inlineStr">
        <is>
          <t>TC-ONAV-01-20</t>
        </is>
      </c>
      <c r="C160" s="10" t="inlineStr">
        <is>
          <t>05-경로-실외내비</t>
        </is>
      </c>
      <c r="D160" s="10" t="inlineStr">
        <is>
          <t>ONAV-01</t>
        </is>
      </c>
      <c r="E160" s="10" t="inlineStr">
        <is>
          <t>V-1 · AC-05</t>
        </is>
      </c>
      <c r="F160" s="5" t="inlineStr">
        <is>
          <t>접근성</t>
        </is>
      </c>
      <c r="G160" s="5" t="inlineStr">
        <is>
          <t>미실행</t>
        </is>
      </c>
      <c r="H160" s="10" t="inlineStr">
        <is>
          <t>S2(전맹) · 안내 진행 중 · 회전이 포함된 경로</t>
        </is>
      </c>
      <c r="I160" s="10" t="inlineStr">
        <is>
          <t>1. 직진 구간과 회전 구간의 음성 안내 문장을 기록
2. 화면 방향 라벨의 문자열을 기록
3. 절대 방위(북동쪽 등) 표현이 화면·낭독에 나오는지 확인</t>
        </is>
      </c>
      <c r="J160" s="10" t="inlineStr">
        <is>
          <t>방향이 「12시 방향」·「3시 방향」처럼 시계방향 어휘로만 표현되고 좌·우와 절대 방위는 화면·낭독 어디에도 나오지 않는다. 화면 문장과 음성 문장이 같다</t>
        </is>
      </c>
      <c r="K160" s="10" t="inlineStr"/>
      <c r="L160" s="10" t="inlineStr">
        <is>
          <t>UX 화면사양 05-경로-실외내비 2.4·2.5절 요소 10 · 음성 안내 문장 규격</t>
        </is>
      </c>
      <c r="M160" s="10" t="inlineStr">
        <is>
          <t>시계방향 어휘는 주변 탐색 화면과 같은 규약이라 화면 간 어휘가 갈리면 실패다</t>
        </is>
      </c>
      <c r="N160" s="10" t="inlineStr"/>
    </row>
    <row r="161">
      <c r="A161" s="5" t="n">
        <v>160</v>
      </c>
      <c r="B161" s="10" t="inlineStr">
        <is>
          <t>TC-ONAV-01-21</t>
        </is>
      </c>
      <c r="C161" s="10" t="inlineStr">
        <is>
          <t>05-경로-실외내비</t>
        </is>
      </c>
      <c r="D161" s="10" t="inlineStr">
        <is>
          <t>ONAV-01</t>
        </is>
      </c>
      <c r="E161" s="10" t="inlineStr">
        <is>
          <t>V-1</t>
        </is>
      </c>
      <c r="F161" s="5" t="inlineStr">
        <is>
          <t>접근성</t>
        </is>
      </c>
      <c r="G161" s="12" t="inlineStr">
        <is>
          <t>보류</t>
        </is>
      </c>
      <c r="H161" s="10" t="inlineStr">
        <is>
          <t>S2(전맹) · 회전과 도착이 포함된 경로로 안내 진행</t>
        </is>
      </c>
      <c r="I161" s="10" t="inlineStr">
        <is>
          <t>1. 회전 예고 문장이 나오는 거리(n미터 앞)를 기록
2. 직진 중 낭독이 반복되는 주기를 구간별로 기록
3. 도착 시점의 문안을 기록</t>
        </is>
      </c>
      <c r="J161" s="10" t="inlineStr">
        <is>
          <t>판정 보류 — 회전 예고 거리와 거리 경과 낭독 주기 4종(50·30·10m 및 예고 30m), 도착 문안이 UX 화면사양 2.5·2.8절에 근거 없는 초안으로 표시돼 있고 실기기 검수·사용자 테스트로 확정하기로 돼 있다</t>
        </is>
      </c>
      <c r="K161" s="10" t="inlineStr"/>
      <c r="L161" s="10" t="inlineStr">
        <is>
          <t>UX 화면사양 05-경로-실외내비 2.5절 문장 규격 ⓑ·ⓓ · 2.8절</t>
        </is>
      </c>
      <c r="M161" s="10" t="inlineStr">
        <is>
          <t>확정된 것은 정책축이다 — 이벤트가 거리 경과를 이기고, 가까울수록 자주 말하며, 사용자 요청은 상시 가능하다. 보류 대상은 수치와 문안뿐이다</t>
        </is>
      </c>
      <c r="N161" s="10" t="inlineStr"/>
    </row>
    <row r="162">
      <c r="A162" s="5" t="n">
        <v>161</v>
      </c>
      <c r="B162" s="10" t="inlineStr">
        <is>
          <t>TC-ONAV-01-22</t>
        </is>
      </c>
      <c r="C162" s="10" t="inlineStr">
        <is>
          <t>05-경로-실외내비</t>
        </is>
      </c>
      <c r="D162" s="10" t="inlineStr">
        <is>
          <t>ONAV-01</t>
        </is>
      </c>
      <c r="E162" s="10" t="inlineStr">
        <is>
          <t>AC-05 · NFR-04</t>
        </is>
      </c>
      <c r="F162" s="5" t="inlineStr">
        <is>
          <t>접근성</t>
        </is>
      </c>
      <c r="G162" s="5" t="inlineStr">
        <is>
          <t>미실행</t>
        </is>
      </c>
      <c r="H162" s="10" t="inlineStr">
        <is>
          <t>S2(전맹) · 스크린리더 켬 · 안내 진행 중 · 잔여거리가 계속 줄어드는 직진 구간</t>
        </is>
      </c>
      <c r="I162" s="10" t="inlineStr">
        <is>
          <t>1. 직진 구간을 이동하며 화면 잔여거리 값이 갱신되는 것을 확인
2. 같은 시간 동안 스크린리더가 끼어드는지 듣는다
3. 회전 예고가 나오는 시점에 안내가 끊기는지 확인</t>
        </is>
      </c>
      <c r="J162" s="10" t="inlineStr">
        <is>
          <t>화면 값은 실시간으로 갱신되지만 값 갱신에 aria-live가 걸려 있지 않아 스크린리더가 매 갱신마다 끼어들지 않는다. 안내는 앱 TTS 단일 채널로 나가고 앱 안내가 중간에 잘리지 않는다</t>
        </is>
      </c>
      <c r="K162" s="10" t="inlineStr"/>
      <c r="L162" s="10" t="inlineStr">
        <is>
          <t>UX 화면사양 05-경로-실외내비 2.5절 「음성 안내 낭독 시점」</t>
        </is>
      </c>
      <c r="M162" s="10" t="inlineStr">
        <is>
          <t>동적 정보 전달 요건은 앱 TTS가 진다 — 두 채널을 겹치면 낭독을 알림이 끊는다</t>
        </is>
      </c>
      <c r="N162" s="10" t="inlineStr"/>
    </row>
    <row r="163">
      <c r="A163" s="5" t="n">
        <v>162</v>
      </c>
      <c r="B163" s="10" t="inlineStr">
        <is>
          <t>TC-ONAV-01-23</t>
        </is>
      </c>
      <c r="C163" s="10" t="inlineStr">
        <is>
          <t>05-경로-실외내비</t>
        </is>
      </c>
      <c r="D163" s="10" t="inlineStr">
        <is>
          <t>ONAV-01</t>
        </is>
      </c>
      <c r="E163" s="10" t="inlineStr">
        <is>
          <t>V-6 · AC-05</t>
        </is>
      </c>
      <c r="F163" s="5" t="inlineStr">
        <is>
          <t>접근성</t>
        </is>
      </c>
      <c r="G163" s="12" t="inlineStr">
        <is>
          <t>보류</t>
        </is>
      </c>
      <c r="H163" s="10" t="inlineStr">
        <is>
          <t>S2(전맹) · 마이크 권한을 거부한 상태 · 안내 진행 중</t>
        </is>
      </c>
      <c r="I163" s="10" t="inlineStr">
        <is>
          <t>1. [음성인식 시작하기]를 누른다
2. 이동한 화면과 초점 위치를 확인
3. 텍스트로 질의를 입력해 응답을 받는다</t>
        </is>
      </c>
      <c r="J163" s="10" t="inlineStr">
        <is>
          <t>판정 보류 — 예외 케이스 표는 [음성인식 시작하기]가 그대로 동작해 대화창으로 이동하고 안내 낭독 뒤 텍스트 입력창으로 초점이 옮겨진다고 확정 서술하는데, 같은 파일 2.8절 미확정 표에 마이크 권한 거부(U-66 · 기획 소관)가 열린 채 남아 있어 사양이 갈린다</t>
        </is>
      </c>
      <c r="K163" s="10" t="inlineStr"/>
      <c r="L163" s="10" t="inlineStr">
        <is>
          <t>UX 화면사양 05-경로-실외내비 2.7절 · 2.8절 · 00-공통 규칙 4</t>
        </is>
      </c>
      <c r="M163" s="10" t="inlineStr">
        <is>
          <t>방향 재낭독은 방향 지시면 누르기가 별도로 지므로 그쪽은 TC-ONAV-01-19로 판정한다</t>
        </is>
      </c>
      <c r="N163" s="10" t="inlineStr"/>
    </row>
    <row r="164">
      <c r="A164" s="5" t="n">
        <v>163</v>
      </c>
      <c r="B164" s="10" t="inlineStr">
        <is>
          <t>TC-ONAV-01-24</t>
        </is>
      </c>
      <c r="C164" s="10" t="inlineStr">
        <is>
          <t>05-경로-실외내비</t>
        </is>
      </c>
      <c r="D164" s="10" t="inlineStr">
        <is>
          <t>ONAV-01</t>
        </is>
      </c>
      <c r="E164" s="10" t="inlineStr">
        <is>
          <t>V-6</t>
        </is>
      </c>
      <c r="F164" s="5" t="inlineStr">
        <is>
          <t>기능</t>
        </is>
      </c>
      <c r="G164" s="5" t="inlineStr">
        <is>
          <t>미실행</t>
        </is>
      </c>
      <c r="H164" s="10" t="inlineStr">
        <is>
          <t>안내 진행 중 · 측위가 실패하는 환경(실내 진입 직전·전파 음영)</t>
        </is>
      </c>
      <c r="I164" s="10" t="inlineStr">
        <is>
          <t>1. 측위가 실패하는 지점으로 이동
2. 화면 안내와 음성 안내를 기록
3. 지도 컨트롤 「내 위치」의 상태 표시를 확인</t>
        </is>
      </c>
      <c r="J164" s="10" t="inlineStr">
        <is>
          <t>추정 위치로 안내하지 않고 확인 중임을 알리며, 「내 위치」를 추적 중(활성)으로 표시하지 않는다</t>
        </is>
      </c>
      <c r="K164" s="10" t="inlineStr"/>
      <c r="L164" s="10" t="inlineStr">
        <is>
          <t>UX 화면사양 05-경로-실외내비 2.7절 · PRD 2부 6.7 에러 핸들링 원칙 · 00-공통 3.6절</t>
        </is>
      </c>
      <c r="M164" s="10" t="inlineStr">
        <is>
          <t>측위 실패 문안 자체는 U-35(PM 소관)로 미확정이라 문구 일치는 판정하지 않는다 — 추정 안내 금지와 활성 표시 금지만 본다</t>
        </is>
      </c>
      <c r="N164" s="10" t="inlineStr"/>
    </row>
    <row r="165">
      <c r="A165" s="5" t="n">
        <v>164</v>
      </c>
      <c r="B165" s="10" t="inlineStr">
        <is>
          <t>TC-ONAV-01-25</t>
        </is>
      </c>
      <c r="C165" s="10" t="inlineStr">
        <is>
          <t>05-경로-실외내비</t>
        </is>
      </c>
      <c r="D165" s="10" t="inlineStr">
        <is>
          <t>ONAV-01</t>
        </is>
      </c>
      <c r="E165" s="10" t="inlineStr">
        <is>
          <t>V-10</t>
        </is>
      </c>
      <c r="F165" s="5" t="inlineStr">
        <is>
          <t>접근성</t>
        </is>
      </c>
      <c r="G165" s="5" t="inlineStr">
        <is>
          <t>미실행</t>
        </is>
      </c>
      <c r="H165" s="10" t="inlineStr">
        <is>
          <t>S1 · 안내 진행 중 · 지도 영역 표출</t>
        </is>
      </c>
      <c r="I165" s="10" t="inlineStr">
        <is>
          <t>1. 한 손가락만 쓰는 조건에서 지도 확대·축소를 시도
2. 지도를 팬해 위치축을 이탈시킨 뒤 한 손가락으로 현위치로 되돌린다
3. 지도를 회전시킨 뒤 한 손가락으로 정북으로 되돌린다</t>
        </is>
      </c>
      <c r="J165" s="10" t="inlineStr">
        <is>
          <t>핀치·두 손가락 회전 없이 확대/축소 버튼과 「내 위치」·「정북 복원」 누르기만으로 같은 조작이 모두 가능하다</t>
        </is>
      </c>
      <c r="K165" s="10" t="inlineStr"/>
      <c r="L165" s="10" t="inlineStr">
        <is>
          <t>PRD 2부 7.4 V-10 · UX 화면사양 05-경로-실외내비 2.3절 · 00-공통 3.5절</t>
        </is>
      </c>
      <c r="M165" s="10" t="inlineStr">
        <is>
          <t>대체 컨트롤은 요건이다 — 제스처만 구현된 채 굳었는지를 본다</t>
        </is>
      </c>
      <c r="N165" s="10" t="inlineStr"/>
    </row>
    <row r="166">
      <c r="A166" s="5" t="n">
        <v>165</v>
      </c>
      <c r="B166" s="10" t="inlineStr">
        <is>
          <t>TC-ONAV-01-26</t>
        </is>
      </c>
      <c r="C166" s="10" t="inlineStr">
        <is>
          <t>05-경로-실외내비</t>
        </is>
      </c>
      <c r="D166" s="10" t="inlineStr">
        <is>
          <t>ONAV-01</t>
        </is>
      </c>
      <c r="E166" s="10" t="inlineStr">
        <is>
          <t>NFR-02 · AC-06 · T-4</t>
        </is>
      </c>
      <c r="F166" s="5" t="inlineStr">
        <is>
          <t>비기능</t>
        </is>
      </c>
      <c r="G166" s="5" t="inlineStr">
        <is>
          <t>미실행</t>
        </is>
      </c>
      <c r="H166" s="10" t="inlineStr">
        <is>
          <t>시스템 글자 크기 200% · 안내 진행 중 · S1과 S2 각각</t>
        </is>
      </c>
      <c r="I166" s="10" t="inlineStr">
        <is>
          <t>1. S1 하단 영역의 [경로 바꾸기]·[길안내 종료] 히트 영역과 간격을 실측
2. 글자 크기를 200%로 올리고 하단 영역과 텍스트 안내 문장을 확인
3. S2에서 버튼 3개와 도착지 카드·현재 위치 블록을 같은 배율로 확인</t>
        </is>
      </c>
      <c r="J166" s="10" t="inlineStr">
        <is>
          <t>버튼 히트 영역이 44×44pt 이상·간격 8px 이상이고, 200%에서 S1 2버튼과 S2 3버튼·안내 문장이 잘리거나 겹치지 않고 모두 조작 가능한 상태로 남는다</t>
        </is>
      </c>
      <c r="K166" s="10" t="inlineStr"/>
      <c r="L166" s="10" t="inlineStr">
        <is>
          <t>PRD 1부 2.3 AC-06·2.4 NFR-02 · 2부 7.3 T-4 · UX 화면사양 05-경로-실외내비 2.3·2.4절</t>
        </is>
      </c>
      <c r="M166" s="10" t="inlineStr"/>
      <c r="N166" s="10" t="inlineStr"/>
    </row>
    <row r="167">
      <c r="A167" s="5" t="n">
        <v>166</v>
      </c>
      <c r="B167" s="10" t="inlineStr">
        <is>
          <t>TC-ONAV-01-27</t>
        </is>
      </c>
      <c r="C167" s="10" t="inlineStr">
        <is>
          <t>05-경로-실외내비</t>
        </is>
      </c>
      <c r="D167" s="10" t="inlineStr">
        <is>
          <t>ONAV-01</t>
        </is>
      </c>
      <c r="E167" s="10" t="inlineStr">
        <is>
          <t>SC-04 · MB-5</t>
        </is>
      </c>
      <c r="F167" s="5" t="inlineStr">
        <is>
          <t>기능</t>
        </is>
      </c>
      <c r="G167" s="12" t="inlineStr">
        <is>
          <t>보류</t>
        </is>
      </c>
      <c r="H167" s="10" t="inlineStr">
        <is>
          <t>S2(전맹) · LBS Tech가 납품한 비지도 안내 화면</t>
        </is>
      </c>
      <c r="I167" s="10" t="inlineStr">
        <is>
          <t>1. 하단 버튼이 3개([음성인식 시작하기]·[경로 바꾸기]·[길안내 종료])인지 확인
2. 안내 화면이 1종인지(건물 정보·방향 정보 2종으로 갈리지 않는지) 확인
3. 방향 라벨에 「12시 방향」 문자가 병기되는지 확인
4. 탑바에 뒤로가기만 있고 설정 진입점이 없는지 확인</t>
        </is>
      </c>
      <c r="J167" s="10" t="inlineStr">
        <is>
          <t>판정 보류 — 커스터마이즈 요구 4건을 LBS Tech가 수용하는지가 UX 화면사양 2.8절에 외부 협의 미확인으로 남아 있다. 특히 버튼 3개가 받아들여지지 않으면 전맹 사용자는 안내 중 질의·경로 변경·종료를 전부 할 수 없다</t>
        </is>
      </c>
      <c r="K167" s="10" t="inlineStr"/>
      <c r="L167" s="10" t="inlineStr">
        <is>
          <t>UX 화면사양 05-경로-실외내비 2.4절 「LBS Tech 기존 제품과의 차이 — 커스터마이즈 요구 4건」 · 2.8절</t>
        </is>
      </c>
      <c r="M167" s="10" t="inlineStr">
        <is>
          <t>2분할 비율과 [경로 바꾸기] 추가 표출 가능 여부(U-43·U-72 잔여)도 같은 외부 협의에 종속돼 있다</t>
        </is>
      </c>
      <c r="N167" s="10" t="inlineStr"/>
    </row>
    <row r="168">
      <c r="A168" s="5" t="n">
        <v>167</v>
      </c>
      <c r="B168" s="10" t="inlineStr">
        <is>
          <t>TC-INAV-01-01</t>
        </is>
      </c>
      <c r="C168" s="10" t="inlineStr">
        <is>
          <t>06-실내내비</t>
        </is>
      </c>
      <c r="D168" s="10" t="inlineStr">
        <is>
          <t>INAV-01</t>
        </is>
      </c>
      <c r="E168" s="10" t="inlineStr">
        <is>
          <t>US-03 · SC-05</t>
        </is>
      </c>
      <c r="F168" s="5" t="inlineStr">
        <is>
          <t>기능</t>
        </is>
      </c>
      <c r="G168" s="5" t="inlineStr">
        <is>
          <t>미실행</t>
        </is>
      </c>
      <c r="H168" s="10" t="inlineStr">
        <is>
          <t>S1 유형으로 온보딩 완료 · 실외 내비(ONAV-01) 안내 중 · 실내 안내 제공 역으로 접근</t>
        </is>
      </c>
      <c r="I168" s="10" t="inlineStr">
        <is>
          <t>1. 실외 안내 상태에서 실내 안내 제공 역 출입구까지 이동한다
2. 화면이 실내 내비게이션으로 바뀌는 시점을 기록한다
3. 전환 전후에 표시된 버튼·팝업을 확인한다</t>
        </is>
      </c>
      <c r="J168" s="10" t="inlineStr">
        <is>
          <t>역 도달 시 앱이 INAV-01로 자동 전환한다. 전환할까요 형태의 확인 버튼·팝업이 없고 모드 선택 입력을 요구하지 않는다</t>
        </is>
      </c>
      <c r="K168" s="10" t="inlineStr"/>
      <c r="L168" s="10" t="inlineStr">
        <is>
          <t>UX 06-실내내비 3절 진입/이탈 · 3.1절 · PRD 1부 US-03</t>
        </is>
      </c>
      <c r="M168" s="10" t="inlineStr"/>
      <c r="N168" s="10" t="inlineStr"/>
    </row>
    <row r="169">
      <c r="A169" s="5" t="n">
        <v>168</v>
      </c>
      <c r="B169" s="10" t="inlineStr">
        <is>
          <t>TC-INAV-01-02</t>
        </is>
      </c>
      <c r="C169" s="10" t="inlineStr">
        <is>
          <t>06-실내내비</t>
        </is>
      </c>
      <c r="D169" s="10" t="inlineStr">
        <is>
          <t>INAV-01</t>
        </is>
      </c>
      <c r="E169" s="10" t="inlineStr">
        <is>
          <t>US-03 · MB-2 · V-6</t>
        </is>
      </c>
      <c r="F169" s="5" t="inlineStr">
        <is>
          <t>기능</t>
        </is>
      </c>
      <c r="G169" s="5" t="inlineStr">
        <is>
          <t>미실행</t>
        </is>
      </c>
      <c r="H169" s="10" t="inlineStr">
        <is>
          <t>단말 진동 켬 · 음량 확보 · 실외에서 실내로 전환되는 지점</t>
        </is>
      </c>
      <c r="I169" s="10" t="inlineStr">
        <is>
          <t>1. 전환 순간의 음성 출력을 녹음한다
2. 같은 순간의 진동 발생 여부를 확인한다
3. 화면에 나타나는 전환 고지 표기를 확인한다</t>
        </is>
      </c>
      <c r="J169" s="10" t="inlineStr">
        <is>
          <t>전환 사실이 음성·진동·화면 3채널로 함께 고지된다. 3채널 중 하나라도 빠지면 실패</t>
        </is>
      </c>
      <c r="K169" s="10" t="inlineStr"/>
      <c r="L169" s="10" t="inlineStr">
        <is>
          <t>UX 06-실내내비 3.1절 · 4.2절 요소 1(전환 고지) · 5.2절</t>
        </is>
      </c>
      <c r="M169" s="10" t="inlineStr">
        <is>
          <t>전환 고지 문안(역명·층 포함 여부)은 기획 미확정 — 문안 일치는 이 TC의 판정 대상이 아니다</t>
        </is>
      </c>
      <c r="N169" s="10" t="inlineStr"/>
    </row>
    <row r="170">
      <c r="A170" s="5" t="n">
        <v>169</v>
      </c>
      <c r="B170" s="10" t="inlineStr">
        <is>
          <t>TC-INAV-01-03</t>
        </is>
      </c>
      <c r="C170" s="10" t="inlineStr">
        <is>
          <t>06-실내내비</t>
        </is>
      </c>
      <c r="D170" s="10" t="inlineStr">
        <is>
          <t>INAV-01</t>
        </is>
      </c>
      <c r="E170" s="10" t="inlineStr">
        <is>
          <t>SC-05 · FR-R1</t>
        </is>
      </c>
      <c r="F170" s="5" t="inlineStr">
        <is>
          <t>기능</t>
        </is>
      </c>
      <c r="G170" s="5" t="inlineStr">
        <is>
          <t>미실행</t>
        </is>
      </c>
      <c r="H170" s="10" t="inlineStr">
        <is>
          <t>S1 실내 안내 진행 중</t>
        </is>
      </c>
      <c r="I170" s="10" t="inlineStr">
        <is>
          <t>1. 안내 진행 중 상단 지시 배너를 확인한다
2. 한 시점에 표시된 지시 문장의 개수를 센다
3. 지시된 행동을 수행한 뒤 배너가 다음 지시로 갱신되는지 확인한다</t>
        </is>
      </c>
      <c r="J170" s="10" t="inlineStr">
        <is>
          <t>상단 전폭 배너에 다음 행동 지시가 항상 한 개만 표시된다. 실외처럼 다음·그다음 2단을 쌓으면 실패</t>
        </is>
      </c>
      <c r="K170" s="10" t="inlineStr"/>
      <c r="L170" s="10" t="inlineStr">
        <is>
          <t>UX 06-실내내비 4.1절 ① · 4.2절 요소 4 · PRD 2부 7.4 SC-05</t>
        </is>
      </c>
      <c r="M170" s="10" t="inlineStr"/>
      <c r="N170" s="10" t="inlineStr"/>
    </row>
    <row r="171">
      <c r="A171" s="5" t="n">
        <v>170</v>
      </c>
      <c r="B171" s="10" t="inlineStr">
        <is>
          <t>TC-INAV-01-04</t>
        </is>
      </c>
      <c r="C171" s="10" t="inlineStr">
        <is>
          <t>06-실내내비</t>
        </is>
      </c>
      <c r="D171" s="10" t="inlineStr">
        <is>
          <t>INAV-01</t>
        </is>
      </c>
      <c r="E171" s="10" t="inlineStr">
        <is>
          <t>SC-05 · FR-R1 · MB-6</t>
        </is>
      </c>
      <c r="F171" s="5" t="inlineStr">
        <is>
          <t>기능</t>
        </is>
      </c>
      <c r="G171" s="5" t="inlineStr">
        <is>
          <t>미실행</t>
        </is>
      </c>
      <c r="H171" s="10" t="inlineStr">
        <is>
          <t>진입·게이트·층 이동·진출이 모두 포함된 실내 경로로 안내 중</t>
        </is>
      </c>
      <c r="I171" s="10" t="inlineStr">
        <is>
          <t>1. 회전 지점을 통과하며 생성된 지시 문장을 기록한다
2. 층 이동 지점에서 같은 항목을 기록한다
3. 시설물(계단·엘리베이터·에스컬레이터) 접근 지점에서 기록한다
4. 개찰구 통과 지점에서 기록한다</t>
        </is>
      </c>
      <c r="J171" s="10" t="inlineStr">
        <is>
          <t>회전·층 이동·시설물·게이트 통과 4종 지시가 각 지점에서 생성되고, 지시 단위가 거리(미터)가 아니라 행동이다</t>
        </is>
      </c>
      <c r="K171" s="10" t="inlineStr"/>
      <c r="L171" s="10" t="inlineStr">
        <is>
          <t>UX 06-실내내비 2절 구간 4종 · 4.2절 요소 4-1 · 7절 대체 이행안 표</t>
        </is>
      </c>
      <c r="M171" s="10" t="inlineStr"/>
      <c r="N171" s="10" t="inlineStr"/>
    </row>
    <row r="172">
      <c r="A172" s="5" t="n">
        <v>171</v>
      </c>
      <c r="B172" s="10" t="inlineStr">
        <is>
          <t>TC-INAV-01-05</t>
        </is>
      </c>
      <c r="C172" s="10" t="inlineStr">
        <is>
          <t>06-실내내비</t>
        </is>
      </c>
      <c r="D172" s="10" t="inlineStr">
        <is>
          <t>INAV-01</t>
        </is>
      </c>
      <c r="E172" s="10" t="inlineStr">
        <is>
          <t>SC-05 · MB-6</t>
        </is>
      </c>
      <c r="F172" s="5" t="inlineStr">
        <is>
          <t>기능</t>
        </is>
      </c>
      <c r="G172" s="5" t="inlineStr">
        <is>
          <t>미실행</t>
        </is>
      </c>
      <c r="H172" s="10" t="inlineStr">
        <is>
          <t>S1 실내 안내 진행 중 · 도면 표시 상태</t>
        </is>
      </c>
      <c r="I172" s="10" t="inlineStr">
        <is>
          <t>1. 실내를 걸으며 도면 위 현재 위치 표시를 연속 촬영한다
2. 셀이 바뀌는 순간의 표시 변화를 확인한다</t>
        </is>
      </c>
      <c r="J172" s="10" t="inlineStr">
        <is>
          <t>현재 위치가 그리드 셀 단위로 갱신된다. 셀 사이를 보간·스무딩으로 채워 연속 이동으로 보이게 만들면 실패</t>
        </is>
      </c>
      <c r="K172" s="10" t="inlineStr"/>
      <c r="L172" s="10" t="inlineStr">
        <is>
          <t>UX 06-실내내비 4.2절 요소 2-1 · PRD 2부 5.2 이동 모델 = 그리드 기반</t>
        </is>
      </c>
      <c r="M172" s="10" t="inlineStr">
        <is>
          <t>그리드 셀 규격(셀 크기·좌표계)은 측위 SDK 규격 종속 미확정 — 이 TC는 표현 방식만 본다</t>
        </is>
      </c>
      <c r="N172" s="10" t="inlineStr"/>
    </row>
    <row r="173">
      <c r="A173" s="5" t="n">
        <v>172</v>
      </c>
      <c r="B173" s="10" t="inlineStr">
        <is>
          <t>TC-INAV-01-06</t>
        </is>
      </c>
      <c r="C173" s="10" t="inlineStr">
        <is>
          <t>06-실내내비</t>
        </is>
      </c>
      <c r="D173" s="10" t="inlineStr">
        <is>
          <t>INAV-01</t>
        </is>
      </c>
      <c r="E173" s="10" t="inlineStr">
        <is>
          <t>V-3 · SC-05</t>
        </is>
      </c>
      <c r="F173" s="5" t="inlineStr">
        <is>
          <t>접근성</t>
        </is>
      </c>
      <c r="G173" s="5" t="inlineStr">
        <is>
          <t>미실행</t>
        </is>
      </c>
      <c r="H173" s="10" t="inlineStr">
        <is>
          <t>S1 실내 안내 진행 중</t>
        </is>
      </c>
      <c r="I173" s="10" t="inlineStr">
        <is>
          <t>1. 도면 위 현재 위치 표시를 확대해 형태를 확인한다
2. 단말의 회색조(흑백) 표시 설정을 켜고 같은 화면을 확인한다</t>
        </is>
      </c>
      <c r="J173" s="10" t="inlineStr">
        <is>
          <t>현재 위치가 색 외에 형태·테두리로도 구분되며 회색조에서도 식별된다. 색 단독 표시면 실패</t>
        </is>
      </c>
      <c r="K173" s="10" t="inlineStr"/>
      <c r="L173" s="10" t="inlineStr">
        <is>
          <t>UX 06-실내내비 4.2절 요소 2-1 · PRD 2부 7.5 V-3</t>
        </is>
      </c>
      <c r="M173" s="10" t="inlineStr"/>
      <c r="N173" s="10" t="inlineStr"/>
    </row>
    <row r="174">
      <c r="A174" s="5" t="n">
        <v>173</v>
      </c>
      <c r="B174" s="10" t="inlineStr">
        <is>
          <t>TC-INAV-01-07</t>
        </is>
      </c>
      <c r="C174" s="10" t="inlineStr">
        <is>
          <t>06-실내내비</t>
        </is>
      </c>
      <c r="D174" s="10" t="inlineStr">
        <is>
          <t>INAV-01</t>
        </is>
      </c>
      <c r="E174" s="10" t="inlineStr">
        <is>
          <t>FR-R1 · V-1</t>
        </is>
      </c>
      <c r="F174" s="5" t="inlineStr">
        <is>
          <t>기능</t>
        </is>
      </c>
      <c r="G174" s="5" t="inlineStr">
        <is>
          <t>미실행</t>
        </is>
      </c>
      <c r="H174" s="10" t="inlineStr">
        <is>
          <t>복층 역사에서 S1 실내 안내 진행 중</t>
        </is>
      </c>
      <c r="I174" s="10" t="inlineStr">
        <is>
          <t>1. 층 칩의 표시 위치를 확인한다
2. 도면을 팬·확대해 층 칩이 따라 움직이는지 확인한다
3. 층 칩을 눌러 다른 층을 선택한다</t>
        </is>
      </c>
      <c r="J174" s="10" t="inlineStr">
        <is>
          <t>층 칩이 도면 좌상단에 위치 고정으로 남고(지도를 움직여도 따라다니지 않는다) 누르면 선택한 층의 도면으로 전환된다</t>
        </is>
      </c>
      <c r="K174" s="10" t="inlineStr"/>
      <c r="L174" s="10" t="inlineStr">
        <is>
          <t>UX 06-실내내비 4.1절 ② · 4.2절 요소 3(층 칩)</t>
        </is>
      </c>
      <c r="M174" s="10" t="inlineStr"/>
      <c r="N174" s="10" t="inlineStr"/>
    </row>
    <row r="175">
      <c r="A175" s="5" t="n">
        <v>174</v>
      </c>
      <c r="B175" s="10" t="inlineStr">
        <is>
          <t>TC-INAV-01-08</t>
        </is>
      </c>
      <c r="C175" s="10" t="inlineStr">
        <is>
          <t>06-실내내비</t>
        </is>
      </c>
      <c r="D175" s="10" t="inlineStr">
        <is>
          <t>INAV-01</t>
        </is>
      </c>
      <c r="E175" s="10" t="inlineStr">
        <is>
          <t>FR-R1 · SC-05 · V-6 · MB-2</t>
        </is>
      </c>
      <c r="F175" s="5" t="inlineStr">
        <is>
          <t>기능</t>
        </is>
      </c>
      <c r="G175" s="5" t="inlineStr">
        <is>
          <t>미실행</t>
        </is>
      </c>
      <c r="H175" s="10" t="inlineStr">
        <is>
          <t>S1 실내 안내 진행 중 · 음량 확보</t>
        </is>
      </c>
      <c r="I175" s="10" t="inlineStr">
        <is>
          <t>1. 안내된 경로를 벗어나 다른 통로로 이동한다
2. 상단 지시 영역의 표기 변화를 기록한다
3. 같은 시점의 음성 출력을 녹음한다
4. 재탐색이 끝난 뒤 배너가 다시 행동 지시로 돌아오는지 확인한다</t>
        </is>
      </c>
      <c r="J175" s="10" t="inlineStr">
        <is>
          <t>자동으로 재탐색을 요청하고 상단 지시 영역이 재탐색 상태 문구로 대체되며 같은 사실이 음성으로도 나간다. 옛 지시가 그대로 남거나 조용히 재계산하면 실패</t>
        </is>
      </c>
      <c r="K175" s="10" t="inlineStr"/>
      <c r="L175" s="10" t="inlineStr">
        <is>
          <t>UX 06-실내내비 6절 경로 이탈 · 4.4절 · PRD 2부 5.2 경로 이탈 재탐색</t>
        </is>
      </c>
      <c r="M175" s="10" t="inlineStr"/>
      <c r="N175" s="10" t="inlineStr"/>
    </row>
    <row r="176">
      <c r="A176" s="5" t="n">
        <v>175</v>
      </c>
      <c r="B176" s="10" t="inlineStr">
        <is>
          <t>TC-INAV-01-09</t>
        </is>
      </c>
      <c r="C176" s="10" t="inlineStr">
        <is>
          <t>06-실내내비</t>
        </is>
      </c>
      <c r="D176" s="10" t="inlineStr">
        <is>
          <t>INAV-01</t>
        </is>
      </c>
      <c r="E176" s="10" t="inlineStr">
        <is>
          <t>US-03 · NFR-12 · V-6</t>
        </is>
      </c>
      <c r="F176" s="5" t="inlineStr">
        <is>
          <t>기능</t>
        </is>
      </c>
      <c r="G176" s="5" t="inlineStr">
        <is>
          <t>미실행</t>
        </is>
      </c>
      <c r="H176" s="10" t="inlineStr">
        <is>
          <t>전파 음영 등으로 측위 신뢰도가 임계값 미만으로 떨어지는 구간 · 안내 진행 중</t>
        </is>
      </c>
      <c r="I176" s="10" t="inlineStr">
        <is>
          <t>1. 신뢰도 저하 구간에 진입해 머문다
2. 도면 위 현재 위치 표시가 어떻게 처리되는지 기록한다
3. 화면 문구와 음성 출력을 기록한다
4. 그 사이 방향 지시가 새로 나오는지 확인한다</t>
        </is>
      </c>
      <c r="J176" s="10" t="inlineStr">
        <is>
          <t>마지막 확실한 위치를 유지하고 위치를 확인하는 중이라는 사실을 안내한다. 임의로 추정한 위치로 방향을 지시하면 실패</t>
        </is>
      </c>
      <c r="K176" s="10" t="inlineStr"/>
      <c r="L176" s="10" t="inlineStr">
        <is>
          <t>UX 06-실내내비 6절 측위 신뢰도 저하 · PRD 1부 US-03 설계 원칙</t>
        </is>
      </c>
      <c r="M176" s="10" t="inlineStr">
        <is>
          <t>측위 품질(NFR-12)이 사용자에게 드러나는 유일한 지점이라 앱에서 확인 가능한 범위로 좁힌 TC다</t>
        </is>
      </c>
      <c r="N176" s="10" t="inlineStr"/>
    </row>
    <row r="177">
      <c r="A177" s="5" t="n">
        <v>176</v>
      </c>
      <c r="B177" s="10" t="inlineStr">
        <is>
          <t>TC-INAV-01-10</t>
        </is>
      </c>
      <c r="C177" s="10" t="inlineStr">
        <is>
          <t>06-실내내비</t>
        </is>
      </c>
      <c r="D177" s="10" t="inlineStr">
        <is>
          <t>INAV-01</t>
        </is>
      </c>
      <c r="E177" s="10" t="inlineStr">
        <is>
          <t>US-03 · NFR-12</t>
        </is>
      </c>
      <c r="F177" s="5" t="inlineStr">
        <is>
          <t>기능</t>
        </is>
      </c>
      <c r="G177" s="12" t="inlineStr">
        <is>
          <t>보류</t>
        </is>
      </c>
      <c r="H177" s="10" t="inlineStr">
        <is>
          <t>신뢰도 저하 구간 · 안내 진행 중</t>
        </is>
      </c>
      <c r="I177" s="10" t="inlineStr">
        <is>
          <t>1. 신뢰도 저하 구간 진입 시각을 기록한다
2. 저하 안내가 나올 때까지의 경과 시간을 측정한다
3. 측정값을 확정된 판정 창과 대조한다</t>
        </is>
      </c>
      <c r="J177" s="10" t="inlineStr">
        <is>
          <t>사양이 갈린다 — UX 06 6절은 임계값 미만 10초 이상 지속을 판정 창으로 적고, PRD US-03은 2026-09-08 정정으로 10초를 삭제하고 임계값·판정 창을 측위 SDK 규격 수령 후 앱·서버 파트가 정하도록 위임했다. 판정 창이 확정되기 전에는 합/불합을 가를 수 없다</t>
        </is>
      </c>
      <c r="K177" s="10" t="inlineStr"/>
      <c r="L177" s="10" t="inlineStr">
        <is>
          <t>UX 06-실내내비 6절 · PRD 1부 US-03 2026-09-08 정정</t>
        </is>
      </c>
      <c r="M177" s="10" t="inlineStr">
        <is>
          <t>측위 SDK 규격 미수령 — 신뢰도 스케일도 판정 창도 정해지지 않았다</t>
        </is>
      </c>
      <c r="N177" s="10" t="inlineStr"/>
    </row>
    <row r="178">
      <c r="A178" s="5" t="n">
        <v>177</v>
      </c>
      <c r="B178" s="10" t="inlineStr">
        <is>
          <t>TC-INAV-01-11</t>
        </is>
      </c>
      <c r="C178" s="10" t="inlineStr">
        <is>
          <t>06-실내내비</t>
        </is>
      </c>
      <c r="D178" s="10" t="inlineStr">
        <is>
          <t>INAV-01</t>
        </is>
      </c>
      <c r="E178" s="10" t="inlineStr">
        <is>
          <t>V-6 · V-4</t>
        </is>
      </c>
      <c r="F178" s="5" t="inlineStr">
        <is>
          <t>기능</t>
        </is>
      </c>
      <c r="G178" s="5" t="inlineStr">
        <is>
          <t>미실행</t>
        </is>
      </c>
      <c r="H178" s="10" t="inlineStr">
        <is>
          <t>경로상 엘리베이터가 운행 중지 상태인 역</t>
        </is>
      </c>
      <c r="I178" s="10" t="inlineStr">
        <is>
          <t>1. 운행 중지 설비가 있는 구간을 포함해 실내 경로를 안내받는다
2. 해당 설비가 경로에서 빠졌는지 확인한다
3. 화면·음성에 제외 사유가 고지되는지 확인한다</t>
        </is>
      </c>
      <c r="J178" s="10" t="inlineStr">
        <is>
          <t>해당 설비를 경로에서 제외하고 운행 중지라는 사유를 함께 알린다. 멈춘 것과 원래 없는 것이 구분돼 전달돼야 하며, 조용히 빼고 끝나면 실패</t>
        </is>
      </c>
      <c r="K178" s="10" t="inlineStr"/>
      <c r="L178" s="10" t="inlineStr">
        <is>
          <t>UX 06-실내내비 4.2절 요소 5-1(운행 중지 설비)</t>
        </is>
      </c>
      <c r="M178" s="10" t="inlineStr"/>
      <c r="N178" s="10" t="inlineStr"/>
    </row>
    <row r="179">
      <c r="A179" s="5" t="n">
        <v>178</v>
      </c>
      <c r="B179" s="10" t="inlineStr">
        <is>
          <t>TC-INAV-01-12</t>
        </is>
      </c>
      <c r="C179" s="10" t="inlineStr">
        <is>
          <t>06-실내내비</t>
        </is>
      </c>
      <c r="D179" s="10" t="inlineStr">
        <is>
          <t>INAV-01</t>
        </is>
      </c>
      <c r="E179" s="10" t="inlineStr">
        <is>
          <t>FR-R1 · SC-05</t>
        </is>
      </c>
      <c r="F179" s="5" t="inlineStr">
        <is>
          <t>기능</t>
        </is>
      </c>
      <c r="G179" s="5" t="inlineStr">
        <is>
          <t>미실행</t>
        </is>
      </c>
      <c r="H179" s="10" t="inlineStr">
        <is>
          <t>수동휠체어 계열 유형으로 온보딩 완료 · 계단과 엘리베이터가 모두 있는 역</t>
        </is>
      </c>
      <c r="I179" s="10" t="inlineStr">
        <is>
          <t>1. 휠체어 계열 유형으로 실내 경로를 안내받는다
2. 층 이동 지시가 어느 설비를 지정하는지 기록한다
3. 시설물 접근 시 안내가 나오는지 확인한다</t>
        </is>
      </c>
      <c r="J179" s="10" t="inlineStr">
        <is>
          <t>계단을 회피하고 엘리베이터를 우선 지정하며 시설물 접근 시 안내가 나간다. 계단을 지정하면 실패</t>
        </is>
      </c>
      <c r="K179" s="10" t="inlineStr"/>
      <c r="L179" s="10" t="inlineStr">
        <is>
          <t>UX 06-실내내비 4.2절 요소 5(시설물 안내) · PRD 2부 5.2 시설물 안내</t>
        </is>
      </c>
      <c r="M179" s="10" t="inlineStr"/>
      <c r="N179" s="10" t="inlineStr"/>
    </row>
    <row r="180">
      <c r="A180" s="5" t="n">
        <v>179</v>
      </c>
      <c r="B180" s="10" t="inlineStr">
        <is>
          <t>TC-INAV-01-13</t>
        </is>
      </c>
      <c r="C180" s="10" t="inlineStr">
        <is>
          <t>06-실내내비</t>
        </is>
      </c>
      <c r="D180" s="10" t="inlineStr">
        <is>
          <t>INAV-01</t>
        </is>
      </c>
      <c r="E180" s="10" t="inlineStr">
        <is>
          <t>V-4 · V-6</t>
        </is>
      </c>
      <c r="F180" s="5" t="inlineStr">
        <is>
          <t>기능</t>
        </is>
      </c>
      <c r="G180" s="5" t="inlineStr">
        <is>
          <t>미실행</t>
        </is>
      </c>
      <c r="H180" s="10" t="inlineStr">
        <is>
          <t>실내 도면·전파맵이 구축되지 않은 역을 경유하는 경로</t>
        </is>
      </c>
      <c r="I180" s="10" t="inlineStr">
        <is>
          <t>1. 미구축 역을 경유하는 경로로 안내를 시작한다
2. 역에 진입해 화면 전환이 일어나는지 확인한다
3. 측위 실패·재탐색 안내가 뜨는지 확인한다
4. 바텀시트의 경로 표기를 확인한다</t>
        </is>
      </c>
      <c r="J180" s="10" t="inlineStr">
        <is>
          <t>전환이 일어나지 않고 경로에 역 환승 형태의 구간 표기만 남는다. 측위 실패·재탐색 안내를 띄우면 실패 — 제공 대상이 아닌 것과 제공되다 실패한 것이 구분돼야 한다</t>
        </is>
      </c>
      <c r="K180" s="10" t="inlineStr"/>
      <c r="L180" s="10" t="inlineStr">
        <is>
          <t>UX 06-실내내비 6절 실내 안내 미구축 역</t>
        </is>
      </c>
      <c r="M180" s="10" t="inlineStr"/>
      <c r="N180" s="10" t="inlineStr"/>
    </row>
    <row r="181">
      <c r="A181" s="5" t="n">
        <v>180</v>
      </c>
      <c r="B181" s="10" t="inlineStr">
        <is>
          <t>TC-INAV-01-14</t>
        </is>
      </c>
      <c r="C181" s="10" t="inlineStr">
        <is>
          <t>06-실내내비</t>
        </is>
      </c>
      <c r="D181" s="10" t="inlineStr">
        <is>
          <t>INAV-01</t>
        </is>
      </c>
      <c r="E181" s="10" t="inlineStr">
        <is>
          <t>SC-05 · FR-R1</t>
        </is>
      </c>
      <c r="F181" s="5" t="inlineStr">
        <is>
          <t>기능</t>
        </is>
      </c>
      <c r="G181" s="12" t="inlineStr">
        <is>
          <t>보류</t>
        </is>
      </c>
      <c r="H181" s="10" t="inlineStr">
        <is>
          <t>개찰구를 통과하는 실내 경로 · 광폭 게이트가 설치된 역</t>
        </is>
      </c>
      <c r="I181" s="10" t="inlineStr">
        <is>
          <t>1. 개찰구 구간을 포함한 경로로 안내받는다
2. 게이트 통과 지시가 가리키는 게이트 번호·위치를 기록한다
3. 현장에서 그 게이트가 광폭(교통약자) 게이트인지 대조한다</t>
        </is>
      </c>
      <c r="J181" s="10" t="inlineStr">
        <is>
          <t>교통약자 개찰구(광폭 게이트)의 위치를 지정해야 한다. 다만 파파야 도면 POI 속성에 개찰구 종류가 들어 있는지 확인되지 않아(U-102) 데이터 유무가 확정되기 전에는 합/불합을 가를 수 없다</t>
        </is>
      </c>
      <c r="K181" s="10" t="inlineStr"/>
      <c r="L181" s="10" t="inlineStr">
        <is>
          <t>UX 06-실내내비 2절 구간 ② · 8.1절 U-102</t>
        </is>
      </c>
      <c r="M181" s="10" t="inlineStr">
        <is>
          <t>데이터가 없으면 게이트 통과 지시가 일반 개찰구를 가리켜 휠체어가 통과하지 못한다 — 파파야 확인 대기</t>
        </is>
      </c>
      <c r="N181" s="10" t="inlineStr"/>
    </row>
    <row r="182">
      <c r="A182" s="5" t="n">
        <v>181</v>
      </c>
      <c r="B182" s="10" t="inlineStr">
        <is>
          <t>TC-INAV-01-15</t>
        </is>
      </c>
      <c r="C182" s="10" t="inlineStr">
        <is>
          <t>06-실내내비</t>
        </is>
      </c>
      <c r="D182" s="10" t="inlineStr">
        <is>
          <t>INAV-01</t>
        </is>
      </c>
      <c r="E182" s="10" t="inlineStr">
        <is>
          <t>MB-2 · AC-01</t>
        </is>
      </c>
      <c r="F182" s="5" t="inlineStr">
        <is>
          <t>기능</t>
        </is>
      </c>
      <c r="G182" s="12" t="inlineStr">
        <is>
          <t>보류</t>
        </is>
      </c>
      <c r="H182" s="10" t="inlineStr">
        <is>
          <t>iOS 단말 · 실내 안내 제공 역</t>
        </is>
      </c>
      <c r="I182" s="10" t="inlineStr">
        <is>
          <t>1. iOS에서 실내 구간에 진입한다
2. 경로가 도면 위에 표출되는지 확인한다
3. 측위(전파맵) 기반 현재 위치와 음성 안내 제공 여부를 확인한다</t>
        </is>
      </c>
      <c r="J182" s="10" t="inlineStr">
        <is>
          <t>사양상 iOS는 경로 표출만 제공하고 측위·음성 안내가 빠지는 열화 모드다. 그 상태가 AC-01 모바일 앱 접근성 인증과 발주처 검수에서 통용되는지 판정되지 않아(U-103) 합/불합을 가를 수 없다</t>
        </is>
      </c>
      <c r="K182" s="10" t="inlineStr"/>
      <c r="L182" s="10" t="inlineStr">
        <is>
          <t>UX 06-실내내비 6절 iOS · 8.1절 U-103</t>
        </is>
      </c>
      <c r="M182" s="10" t="inlineStr">
        <is>
          <t>전맹 사용자에게는 실내에서 음성 채널이 통째로 빠진다 — PM·PRD 판정 대기</t>
        </is>
      </c>
      <c r="N182" s="10" t="inlineStr"/>
    </row>
    <row r="183">
      <c r="A183" s="5" t="n">
        <v>182</v>
      </c>
      <c r="B183" s="10" t="inlineStr">
        <is>
          <t>TC-INAV-01-16</t>
        </is>
      </c>
      <c r="C183" s="10" t="inlineStr">
        <is>
          <t>06-실내내비</t>
        </is>
      </c>
      <c r="D183" s="10" t="inlineStr">
        <is>
          <t>INAV-01</t>
        </is>
      </c>
      <c r="E183" s="10" t="inlineStr">
        <is>
          <t>V-5 · NFR-04</t>
        </is>
      </c>
      <c r="F183" s="5" t="inlineStr">
        <is>
          <t>기능</t>
        </is>
      </c>
      <c r="G183" s="5" t="inlineStr">
        <is>
          <t>미실행</t>
        </is>
      </c>
      <c r="H183" s="10" t="inlineStr">
        <is>
          <t>S1 실내 안내 진행 중 · 바텀시트 펼침</t>
        </is>
      </c>
      <c r="I183" s="10" t="inlineStr">
        <is>
          <t>1. 바텀시트를 펼쳐 두 버튼의 배치를 확인한다
2. 경로 단계 목록을 끝까지 스크롤한 뒤 두 버튼의 자리를 다시 확인한다
3. 같은 여정의 실외 구간 시트와 버튼 배치를 대조한다</t>
        </is>
      </c>
      <c r="J183" s="10" t="inlineStr">
        <is>
          <t>경로 바꾸기와 길안내 종료가 가로로 나란히 시트 하단에 고정되고 길안내 종료가 오른쪽이다. 목록을 스크롤해도 자리가 변하지 않고 실외 구간과 같은 배치다</t>
        </is>
      </c>
      <c r="K183" s="10" t="inlineStr"/>
      <c r="L183" s="10" t="inlineStr">
        <is>
          <t>UX 06-실내내비 4.1절 · 4.3절 구성 3단 ⓓ · 05-경로-실외내비 2.3절 대조</t>
        </is>
      </c>
      <c r="M183" s="10" t="inlineStr"/>
      <c r="N183" s="10" t="inlineStr"/>
    </row>
    <row r="184">
      <c r="A184" s="5" t="n">
        <v>183</v>
      </c>
      <c r="B184" s="10" t="inlineStr">
        <is>
          <t>TC-INAV-01-17</t>
        </is>
      </c>
      <c r="C184" s="10" t="inlineStr">
        <is>
          <t>06-실내내비</t>
        </is>
      </c>
      <c r="D184" s="10" t="inlineStr">
        <is>
          <t>INAV-01</t>
        </is>
      </c>
      <c r="E184" s="10" t="inlineStr">
        <is>
          <t>NFR-04</t>
        </is>
      </c>
      <c r="F184" s="5" t="inlineStr">
        <is>
          <t>기능</t>
        </is>
      </c>
      <c r="G184" s="5" t="inlineStr">
        <is>
          <t>미실행</t>
        </is>
      </c>
      <c r="H184" s="10" t="inlineStr">
        <is>
          <t>S1 실내 안내 진행 중</t>
        </is>
      </c>
      <c r="I184" s="10" t="inlineStr">
        <is>
          <t>1. 바텀시트를 접힘 상태로 만든다
2. 접힘 상태에 남는 요소를 기록한다
3. 시트를 펼쳐 버튼 2종이 나타나는지 확인한다</t>
        </is>
      </c>
      <c r="J184" s="10" t="inlineStr">
        <is>
          <t>접힘 상태에는 핸들과 경로 요약만 남고 경로 바꾸기·길안내 종료가 표출되지 않는다. 펼쳐야 나타난다</t>
        </is>
      </c>
      <c r="K184" s="10" t="inlineStr"/>
      <c r="L184" s="10" t="inlineStr">
        <is>
          <t>UX 06-실내내비 4.1절 접힘 상태 · 4.2절 요소 6</t>
        </is>
      </c>
      <c r="M184" s="10" t="inlineStr">
        <is>
          <t>근거는 길안내 종료의 오조작 방지다</t>
        </is>
      </c>
      <c r="N184" s="10" t="inlineStr"/>
    </row>
    <row r="185">
      <c r="A185" s="5" t="n">
        <v>184</v>
      </c>
      <c r="B185" s="10" t="inlineStr">
        <is>
          <t>TC-INAV-01-18</t>
        </is>
      </c>
      <c r="C185" s="10" t="inlineStr">
        <is>
          <t>06-실내내비</t>
        </is>
      </c>
      <c r="D185" s="10" t="inlineStr">
        <is>
          <t>INAV-01</t>
        </is>
      </c>
      <c r="E185" s="10" t="inlineStr">
        <is>
          <t>V-5 · FR-R1</t>
        </is>
      </c>
      <c r="F185" s="5" t="inlineStr">
        <is>
          <t>기능</t>
        </is>
      </c>
      <c r="G185" s="5" t="inlineStr">
        <is>
          <t>미실행</t>
        </is>
      </c>
      <c r="H185" s="10" t="inlineStr">
        <is>
          <t>실외 구간과 실내 구간이 모두 포함된 경로로 안내 중</t>
        </is>
      </c>
      <c r="I185" s="10" t="inlineStr">
        <is>
          <t>1. 실내 전환 후 바텀시트를 펼친다
2. 경로 단계 목록을 처음부터 끝까지 확인한다
3. 실외 구간과 실내 구간이 같은 목록에 있는지 확인한다</t>
        </is>
      </c>
      <c r="J185" s="10" t="inlineStr">
        <is>
          <t>실외 구간과 실내 구간이 하나의 목록에 이어서 표출된다. 실내 안내를 별도 목록·별도 화면으로 떼어내면 실패</t>
        </is>
      </c>
      <c r="K185" s="10" t="inlineStr"/>
      <c r="L185" s="10" t="inlineStr">
        <is>
          <t>UX 06-실내내비 4.3절 (실외·실내를 하나의 흐름으로)</t>
        </is>
      </c>
      <c r="M185" s="10" t="inlineStr"/>
      <c r="N185" s="10" t="inlineStr"/>
    </row>
    <row r="186">
      <c r="A186" s="5" t="n">
        <v>185</v>
      </c>
      <c r="B186" s="10" t="inlineStr">
        <is>
          <t>TC-INAV-01-19</t>
        </is>
      </c>
      <c r="C186" s="10" t="inlineStr">
        <is>
          <t>06-실내내비</t>
        </is>
      </c>
      <c r="D186" s="10" t="inlineStr">
        <is>
          <t>INAV-01</t>
        </is>
      </c>
      <c r="E186" s="10" t="inlineStr">
        <is>
          <t>FR-R1 · V-1</t>
        </is>
      </c>
      <c r="F186" s="5" t="inlineStr">
        <is>
          <t>기능</t>
        </is>
      </c>
      <c r="G186" s="5" t="inlineStr">
        <is>
          <t>미실행</t>
        </is>
      </c>
      <c r="H186" s="10" t="inlineStr">
        <is>
          <t>실내 구간이 포함된 경로 · 바텀시트 펼침</t>
        </is>
      </c>
      <c r="I186" s="10" t="inlineStr">
        <is>
          <t>1. 시트의 실내 구간 단계를 하나씩 확인한다
2. 각 단계의 행동 문구에 이용 설비가 적혀 있는지 확인한다</t>
        </is>
      </c>
      <c r="J186" s="10" t="inlineStr">
        <is>
          <t>실내 단계의 행동에 이용 설비가 병기된다(에스컬레이터로 B1 대합실 · 3번 게이트 통과 (교통약자) 형태). 설비 없이 지점만 적힌 단계가 있으면 실패</t>
        </is>
      </c>
      <c r="K186" s="10" t="inlineStr"/>
      <c r="L186" s="10" t="inlineStr">
        <is>
          <t>UX 06-실내내비 4.3절 경로 단계 문형</t>
        </is>
      </c>
      <c r="M186" s="10" t="inlineStr"/>
      <c r="N186" s="10" t="inlineStr"/>
    </row>
    <row r="187">
      <c r="A187" s="5" t="n">
        <v>186</v>
      </c>
      <c r="B187" s="10" t="inlineStr">
        <is>
          <t>TC-INAV-01-20</t>
        </is>
      </c>
      <c r="C187" s="10" t="inlineStr">
        <is>
          <t>06-실내내비</t>
        </is>
      </c>
      <c r="D187" s="10" t="inlineStr">
        <is>
          <t>INAV-01</t>
        </is>
      </c>
      <c r="E187" s="10" t="inlineStr">
        <is>
          <t>SC-05 · AC-05</t>
        </is>
      </c>
      <c r="F187" s="5" t="inlineStr">
        <is>
          <t>접근성</t>
        </is>
      </c>
      <c r="G187" s="5" t="inlineStr">
        <is>
          <t>미실행</t>
        </is>
      </c>
      <c r="H187" s="10" t="inlineStr">
        <is>
          <t>S1 · TalkBack 켬 · 바텀시트 펼침</t>
        </is>
      </c>
      <c r="I187" s="10" t="inlineStr">
        <is>
          <t>1. 시트를 펼친 상태에서 화면 전체를 순서대로 낭독시킨다
2. 다음 행동 지시 문장이 몇 번 읽히는지 센다
3. 시트를 접고 지시가 남아 있는지 확인한다</t>
        </is>
      </c>
      <c r="J187" s="10" t="inlineStr">
        <is>
          <t>다음 행동 지시는 상단 지시 영역에서 한 번만 읽힌다. 시트 안에 같은 문장이 중복되거나 시트를 접었을 때 지시가 사라지면 실패</t>
        </is>
      </c>
      <c r="K187" s="10" t="inlineStr"/>
      <c r="L187" s="10" t="inlineStr">
        <is>
          <t>UX 06-실내내비 4.3절 · 4.4절 판정 표</t>
        </is>
      </c>
      <c r="M187" s="10" t="inlineStr"/>
      <c r="N187" s="10" t="inlineStr"/>
    </row>
    <row r="188">
      <c r="A188" s="5" t="n">
        <v>187</v>
      </c>
      <c r="B188" s="10" t="inlineStr">
        <is>
          <t>TC-INAV-01-21</t>
        </is>
      </c>
      <c r="C188" s="10" t="inlineStr">
        <is>
          <t>06-실내내비</t>
        </is>
      </c>
      <c r="D188" s="10" t="inlineStr">
        <is>
          <t>INAV-01</t>
        </is>
      </c>
      <c r="E188" s="10" t="inlineStr">
        <is>
          <t>V-9 · V-1</t>
        </is>
      </c>
      <c r="F188" s="5" t="inlineStr">
        <is>
          <t>접근성</t>
        </is>
      </c>
      <c r="G188" s="5" t="inlineStr">
        <is>
          <t>미실행</t>
        </is>
      </c>
      <c r="H188" s="10" t="inlineStr">
        <is>
          <t>전맹(S2) 유형으로 온보딩 완료 · 실내 안내 진입 · TalkBack 켬</t>
        </is>
      </c>
      <c r="I188" s="10" t="inlineStr">
        <is>
          <t>1. S2에서 실내 안내 화면에 진입한다
2. 화면에 도면이 표출되는지 확인한다
3. 스와이프로 포커스를 끝까지 훑어 지도 컨트롤 3종(층 칩·확대/축소·내 위치)이 잡히는지 확인한다</t>
        </is>
      </c>
      <c r="J188" s="10" t="inlineStr">
        <is>
          <t>S2는 도면을 쓰지 않고 텍스트·음성 전용 레이아웃으로 구성된다. 지도 직접 조작을 요구하는 컨트롤이 포커스 순서에 남아 있으면 실패</t>
        </is>
      </c>
      <c r="K188" s="10" t="inlineStr"/>
      <c r="L188" s="10" t="inlineStr">
        <is>
          <t>UX 06-실내내비 5절 · PRD 2부 7.5 V-9</t>
        </is>
      </c>
      <c r="M188" s="10" t="inlineStr">
        <is>
          <t>지도 직접 조작의 S2 성립성 판정 — 이 화면은 도면을 쓰지 않는 것으로 해소한다</t>
        </is>
      </c>
      <c r="N188" s="10" t="inlineStr"/>
    </row>
    <row r="189">
      <c r="A189" s="5" t="n">
        <v>188</v>
      </c>
      <c r="B189" s="10" t="inlineStr">
        <is>
          <t>TC-INAV-01-22</t>
        </is>
      </c>
      <c r="C189" s="10" t="inlineStr">
        <is>
          <t>06-실내내비</t>
        </is>
      </c>
      <c r="D189" s="10" t="inlineStr">
        <is>
          <t>INAV-01</t>
        </is>
      </c>
      <c r="E189" s="10" t="inlineStr">
        <is>
          <t>AC-05 · V-1</t>
        </is>
      </c>
      <c r="F189" s="5" t="inlineStr">
        <is>
          <t>접근성</t>
        </is>
      </c>
      <c r="G189" s="5" t="inlineStr">
        <is>
          <t>미실행</t>
        </is>
      </c>
      <c r="H189" s="10" t="inlineStr">
        <is>
          <t>S2 실내 안내 진행 중 · TalkBack 켬</t>
        </is>
      </c>
      <c r="I189" s="10" t="inlineStr">
        <is>
          <t>1. 첫 요소부터 순서대로 포커스를 이동한다
2. 낭독되는 항목과 순서를 기록한다</t>
        </is>
      </c>
      <c r="J189" s="10" t="inlineStr">
        <is>
          <t>현재 층 → 다음 행동 지시 1개 → 남은 거리 → 도착지 → 다시 듣기 → 음성인식 시작하기 → 길안내 종료 7항목이 이 순서로 낭독된다</t>
        </is>
      </c>
      <c r="K189" s="10" t="inlineStr"/>
      <c r="L189" s="10" t="inlineStr">
        <is>
          <t>UX 06-실내내비 5.1절 낭독 순서</t>
        </is>
      </c>
      <c r="M189" s="10" t="inlineStr"/>
      <c r="N189" s="10" t="inlineStr"/>
    </row>
    <row r="190">
      <c r="A190" s="5" t="n">
        <v>189</v>
      </c>
      <c r="B190" s="10" t="inlineStr">
        <is>
          <t>TC-INAV-01-23</t>
        </is>
      </c>
      <c r="C190" s="10" t="inlineStr">
        <is>
          <t>06-실내내비</t>
        </is>
      </c>
      <c r="D190" s="10" t="inlineStr">
        <is>
          <t>INAV-01</t>
        </is>
      </c>
      <c r="E190" s="10" t="inlineStr">
        <is>
          <t>AC-05 · V-6</t>
        </is>
      </c>
      <c r="F190" s="5" t="inlineStr">
        <is>
          <t>접근성</t>
        </is>
      </c>
      <c r="G190" s="5" t="inlineStr">
        <is>
          <t>미실행</t>
        </is>
      </c>
      <c r="H190" s="10" t="inlineStr">
        <is>
          <t>S2 · 층 이동이 포함된 실내 경로로 안내 중</t>
        </is>
      </c>
      <c r="I190" s="10" t="inlineStr">
        <is>
          <t>1. 층 이동 구간을 통과한다
2. 층이 바뀐 직후 낭독되는 첫 문장을 기록한다
3. 층 이동 지시 문장에 이용 설비가 포함되는지 확인한다</t>
        </is>
      </c>
      <c r="J190" s="10" t="inlineStr">
        <is>
          <t>층이 바뀌면 바뀐 층을 먼저 알리고 층 이동 지시에 이용 설비가 함께 담긴다(엘리베이터로 B1에서 B2로 형태)</t>
        </is>
      </c>
      <c r="K190" s="10" t="inlineStr"/>
      <c r="L190" s="10" t="inlineStr">
        <is>
          <t>UX 06-실내내비 5.2절 원칙</t>
        </is>
      </c>
      <c r="M190" s="10" t="inlineStr"/>
      <c r="N190" s="10" t="inlineStr"/>
    </row>
    <row r="191">
      <c r="A191" s="5" t="n">
        <v>190</v>
      </c>
      <c r="B191" s="10" t="inlineStr">
        <is>
          <t>TC-INAV-01-24</t>
        </is>
      </c>
      <c r="C191" s="10" t="inlineStr">
        <is>
          <t>06-실내내비</t>
        </is>
      </c>
      <c r="D191" s="10" t="inlineStr">
        <is>
          <t>INAV-01</t>
        </is>
      </c>
      <c r="E191" s="10" t="inlineStr">
        <is>
          <t>NFR-02</t>
        </is>
      </c>
      <c r="F191" s="5" t="inlineStr">
        <is>
          <t>접근성</t>
        </is>
      </c>
      <c r="G191" s="5" t="inlineStr">
        <is>
          <t>미실행</t>
        </is>
      </c>
      <c r="H191" s="10" t="inlineStr">
        <is>
          <t>S1 실내 안내 화면 · 바텀시트 펼침</t>
        </is>
      </c>
      <c r="I191" s="10" t="inlineStr">
        <is>
          <t>1. 층 칩·확대·축소·내 위치·경로 바꾸기·길안내 종료의 터치 히트 영역을 측정한다
2. 인접 컨트롤 사이 간격을 측정한다</t>
        </is>
      </c>
      <c r="J191" s="10" t="inlineStr">
        <is>
          <t>각 터치 타겟이 44×44pt 이상이고 인접 간격이 8px 이상이다</t>
        </is>
      </c>
      <c r="K191" s="10" t="inlineStr"/>
      <c r="L191" s="10" t="inlineStr">
        <is>
          <t>UX 06-실내내비 4.1절 · PRD 2부 7.4 NFR-02</t>
        </is>
      </c>
      <c r="M191" s="10" t="inlineStr"/>
      <c r="N191" s="10" t="inlineStr"/>
    </row>
    <row r="192">
      <c r="A192" s="5" t="n">
        <v>191</v>
      </c>
      <c r="B192" s="10" t="inlineStr">
        <is>
          <t>TC-INAV-01-25</t>
        </is>
      </c>
      <c r="C192" s="10" t="inlineStr">
        <is>
          <t>06-실내내비</t>
        </is>
      </c>
      <c r="D192" s="10" t="inlineStr">
        <is>
          <t>INAV-01</t>
        </is>
      </c>
      <c r="E192" s="10" t="inlineStr">
        <is>
          <t>AC-06 · T-4</t>
        </is>
      </c>
      <c r="F192" s="5" t="inlineStr">
        <is>
          <t>접근성</t>
        </is>
      </c>
      <c r="G192" s="5" t="inlineStr">
        <is>
          <t>미실행</t>
        </is>
      </c>
      <c r="H192" s="10" t="inlineStr">
        <is>
          <t>S1 실내 안내 진행 중</t>
        </is>
      </c>
      <c r="I192" s="10" t="inlineStr">
        <is>
          <t>1. 시스템 글자 크기를 200%로 설정한다
2. 상단 지시 배너·층 칩·바텀시트 3단 구성을 확인한다
3. 경로 단계 목록을 끝까지 스크롤한다</t>
        </is>
      </c>
      <c r="J192" s="10" t="inlineStr">
        <is>
          <t>지시 배너 문장이 잘리지 않고 시트의 고정 영역(총 소요·구간 바·버튼 2개)과 스크롤 영역이 200%에서도 유지된다. 겹침·잘림·가로 스크롤이 있으면 실패</t>
        </is>
      </c>
      <c r="K192" s="10" t="inlineStr"/>
      <c r="L192" s="10" t="inlineStr">
        <is>
          <t>UX 06-실내내비 4.1절 · 4.3절 구성 3단 · PRD 2부 T-4</t>
        </is>
      </c>
      <c r="M192" s="10" t="inlineStr"/>
      <c r="N192" s="10" t="inlineStr"/>
    </row>
    <row r="193">
      <c r="A193" s="5" t="n">
        <v>192</v>
      </c>
      <c r="B193" s="10" t="inlineStr">
        <is>
          <t>TC-INAV-01-26</t>
        </is>
      </c>
      <c r="C193" s="10" t="inlineStr">
        <is>
          <t>06-실내내비</t>
        </is>
      </c>
      <c r="D193" s="10" t="inlineStr">
        <is>
          <t>INAV-01</t>
        </is>
      </c>
      <c r="E193" s="10" t="inlineStr">
        <is>
          <t>NFR-05 · AC-05</t>
        </is>
      </c>
      <c r="F193" s="5" t="inlineStr">
        <is>
          <t>접근성</t>
        </is>
      </c>
      <c r="G193" s="5" t="inlineStr">
        <is>
          <t>미실행</t>
        </is>
      </c>
      <c r="H193" s="10" t="inlineStr">
        <is>
          <t>S1 실내 안내 화면 · TalkBack 켬</t>
        </is>
      </c>
      <c r="I193" s="10" t="inlineStr">
        <is>
          <t>1. 도면 영역·현재 위치 표시·층 칩·지도 컨트롤을 각각 포커스한다
2. 낭독 문자열을 기록한다</t>
        </is>
      </c>
      <c r="J193" s="10" t="inlineStr">
        <is>
          <t>비텍스트 요소가 의미 있는 대체 텍스트로 낭독된다(현재 위치·현재 층은 값으로, 컨트롤은 누르면 일어나는 일로). 버튼·이미지 같은 역할 단독 낭독이면 실패</t>
        </is>
      </c>
      <c r="K193" s="10" t="inlineStr"/>
      <c r="L193" s="10" t="inlineStr">
        <is>
          <t>UX 06-실내내비 4.2절 요소 2-1·3 · 00-공통 3.4절 · PRD 2부 NFR-05</t>
        </is>
      </c>
      <c r="M193" s="10" t="inlineStr"/>
      <c r="N193" s="10" t="inlineStr"/>
    </row>
    <row r="194">
      <c r="A194" s="5" t="n">
        <v>193</v>
      </c>
      <c r="B194" s="10" t="inlineStr">
        <is>
          <t>TC-INAV-01-27</t>
        </is>
      </c>
      <c r="C194" s="10" t="inlineStr">
        <is>
          <t>06-실내내비</t>
        </is>
      </c>
      <c r="D194" s="10" t="inlineStr">
        <is>
          <t>ONAV-01 · INAV-01</t>
        </is>
      </c>
      <c r="E194" s="10" t="inlineStr">
        <is>
          <t>US-03 · FR-R1</t>
        </is>
      </c>
      <c r="F194" s="5" t="inlineStr">
        <is>
          <t>시나리오</t>
        </is>
      </c>
      <c r="G194" s="5" t="inlineStr">
        <is>
          <t>미실행</t>
        </is>
      </c>
      <c r="H194" s="10" t="inlineStr">
        <is>
          <t>실내 안내 제공 역을 통과해 반대편 지상으로 나가는 경로 · S1 안내 시작</t>
        </is>
      </c>
      <c r="I194" s="10" t="inlineStr">
        <is>
          <t>1. 실외 안내로 역 출입구까지 이동한다
2. 자동 전환 후 게이트 통과·층 이동을 거쳐 반대편 출구로 이동한다
3. 지상 출구로 나와 실외 안내로 복귀하는지 확인한다
4. 도착지까지 이동해 도착 처리를 확인한다</t>
        </is>
      </c>
      <c r="J194" s="10" t="inlineStr">
        <is>
          <t>실외→실내→실외가 한 여정으로 끊기지 않고 이어지며 각 전환이 3채널로 고지된다. 도착은 마지막 구간인 실외에서 발생한다</t>
        </is>
      </c>
      <c r="K194" s="10" t="inlineStr"/>
      <c r="L194" s="10" t="inlineStr">
        <is>
          <t>UX 06-실내내비 2절 구간 4종 · 3절 진입/이탈 · PRD 1부 US-03</t>
        </is>
      </c>
      <c r="M194" s="10" t="inlineStr">
        <is>
          <t>최대 난이도 시나리오 — 전환 2회와 도착 판정을 한 번에 본다</t>
        </is>
      </c>
      <c r="N194" s="10" t="inlineStr"/>
    </row>
    <row r="195">
      <c r="A195" s="5" t="n">
        <v>194</v>
      </c>
      <c r="B195" s="10" t="inlineStr">
        <is>
          <t>TC-INAV-01-28</t>
        </is>
      </c>
      <c r="C195" s="10" t="inlineStr">
        <is>
          <t>06-실내내비</t>
        </is>
      </c>
      <c r="D195" s="10" t="inlineStr">
        <is>
          <t>INAV-01</t>
        </is>
      </c>
      <c r="E195" s="10" t="inlineStr">
        <is>
          <t>AC-04 · FR-R1</t>
        </is>
      </c>
      <c r="F195" s="5" t="inlineStr">
        <is>
          <t>기능</t>
        </is>
      </c>
      <c r="G195" s="12" t="inlineStr">
        <is>
          <t>보류</t>
        </is>
      </c>
      <c r="H195" s="10" t="inlineStr">
        <is>
          <t>전파맵·실내 도면 구축이 완료된 시범 역 · 현장 실측</t>
        </is>
      </c>
      <c r="I195" s="10" t="inlineStr">
        <is>
          <t>1. 대상 역에서 진입·게이트 통과·층 이동/환승·진출 4구간을 실제로 이동한다
2. 구간마다 지시 생성·전환·도착 처리를 기록한다
3. 대상 역별로 같은 절차를 반복한다</t>
        </is>
      </c>
      <c r="J195" s="10" t="inlineStr">
        <is>
          <t>대상 역 전부에서 4구간 안내가 정상 동작해야 한다. 다만 시범 역 목록이 확정되지 않았고(서울시 착수보고 종속) 수량도 10개 역과 1개 역 우선 구축 사이에서 갈려 판정 모집단을 확정할 수 없다</t>
        </is>
      </c>
      <c r="K195" s="10" t="inlineStr"/>
      <c r="L195" s="10" t="inlineStr">
        <is>
          <t>PRD 1부 2.3 AC-04(현장 실측) · PRD 2부 6.4 10개 역 확정 여부 · UX 06-실내내비 2절</t>
        </is>
      </c>
      <c r="M195" s="10" t="inlineStr">
        <is>
          <t>안내 동작 자체는 아이나비 구현이라 우리 절차로 검증 가능하다 — 막는 것은 대상 역 확정이다</t>
        </is>
      </c>
      <c r="N195" s="10" t="inlineStr"/>
    </row>
    <row r="196">
      <c r="A196" s="5" t="n">
        <v>195</v>
      </c>
      <c r="B196" s="10" t="inlineStr">
        <is>
          <t>TC-INAV-01-29</t>
        </is>
      </c>
      <c r="C196" s="10" t="inlineStr">
        <is>
          <t>06-실내내비</t>
        </is>
      </c>
      <c r="D196" s="10" t="inlineStr">
        <is>
          <t>INAV-01</t>
        </is>
      </c>
      <c r="E196" s="10" t="inlineStr">
        <is>
          <t>AC-09</t>
        </is>
      </c>
      <c r="F196" s="11" t="inlineStr">
        <is>
          <t>대상외</t>
        </is>
      </c>
      <c r="G196" s="5" t="inlineStr">
        <is>
          <t>미실행</t>
        </is>
      </c>
      <c r="H196" s="10" t="inlineStr"/>
      <c r="I196" s="10" t="inlineStr"/>
      <c r="J196" s="10" t="inlineStr">
        <is>
          <t>앱 TC로 판정하지 않는다 — 사유 참조. 수집 품질이 사용자에게 드러나는 지점은 TC-INAV-01-09(측위 신뢰도 저하 고지)가 받는다</t>
        </is>
      </c>
      <c r="K196" s="10" t="inlineStr"/>
      <c r="L196" s="10" t="inlineStr">
        <is>
          <t>PRD 1부 2.3 AC-09 · NFR-12(수집 주체는 파파야) · UX 06-실내내비 1.1절 측위 축</t>
        </is>
      </c>
      <c r="M196" s="10" t="inlineStr"/>
      <c r="N196" s="10" t="inlineStr">
        <is>
          <t>상이한 날짜 3세트 이상 수집 여부는 파파야가 수행하는 전파지도 수집 작업의 산출물(데이터셋)에 대한 판정이라 앱 실행 절차로 재현·확인할 수 없다. 수집 세트 수·수집일 확인은 PM·서버 파트의 산출물 인수 절차가 받는다</t>
        </is>
      </c>
    </row>
    <row r="197">
      <c r="A197" s="5" t="n">
        <v>196</v>
      </c>
      <c r="B197" s="10" t="inlineStr">
        <is>
          <t>TC-INAV-01-30</t>
        </is>
      </c>
      <c r="C197" s="10" t="inlineStr">
        <is>
          <t>06-실내내비</t>
        </is>
      </c>
      <c r="D197" s="10" t="inlineStr">
        <is>
          <t>INAV-01</t>
        </is>
      </c>
      <c r="E197" s="10" t="inlineStr">
        <is>
          <t>NFR-10</t>
        </is>
      </c>
      <c r="F197" s="5" t="inlineStr">
        <is>
          <t>비기능</t>
        </is>
      </c>
      <c r="G197" s="12" t="inlineStr">
        <is>
          <t>보류</t>
        </is>
      </c>
      <c r="H197" s="10" t="inlineStr">
        <is>
          <t>배터리 100% · 동일 단말 · 동일 경로 · 실외→실내 연속 안내</t>
        </is>
      </c>
      <c r="I197" s="10" t="inlineStr">
        <is>
          <t>1. 실외→실내 연속 안내를 30분간 수행한다
2. 시작·종료 시점의 배터리 잔량과 앱별 소모량을 기록한다
3. 같은 경로를 측위 없이 이동한 경우의 소모량과 대조한다</t>
        </is>
      </c>
      <c r="J197" s="10" t="inlineStr">
        <is>
          <t>사양에 정량 기준이 없다 — NFR-10은 최적화와 측위 주체의 SDK 이관 검토만 적고 허용 소모율·비교 기준을 정하지 않았다. 합/불합 경계가 정해지기 전에는 측정값만 남긴다</t>
        </is>
      </c>
      <c r="K197" s="10" t="inlineStr"/>
      <c r="L197" s="10" t="inlineStr">
        <is>
          <t>PRD 1부 2.4 NFR-10(실내외 연속 측위 시 배터리 소모 최적화)</t>
        </is>
      </c>
      <c r="M197" s="10" t="inlineStr">
        <is>
          <t>기준값이 정해지면 이 TC의 기대결과를 수치로 교체한다</t>
        </is>
      </c>
      <c r="N197" s="10" t="inlineStr"/>
    </row>
    <row r="198">
      <c r="A198" s="5" t="n">
        <v>197</v>
      </c>
      <c r="B198" s="10" t="inlineStr">
        <is>
          <t>TC-1-3-01</t>
        </is>
      </c>
      <c r="C198" s="10" t="inlineStr">
        <is>
          <t>07-대중교통</t>
        </is>
      </c>
      <c r="D198" s="10" t="inlineStr">
        <is>
          <t>1-3</t>
        </is>
      </c>
      <c r="E198" s="10" t="inlineStr">
        <is>
          <t>V-5</t>
        </is>
      </c>
      <c r="F198" s="5" t="inlineStr">
        <is>
          <t>기능</t>
        </is>
      </c>
      <c r="G198" s="5" t="inlineStr">
        <is>
          <t>미실행</t>
        </is>
      </c>
      <c r="H198" s="10" t="inlineStr">
        <is>
          <t>S1 · 홈 6메뉴 표출 상태</t>
        </is>
      </c>
      <c r="I198" s="10" t="inlineStr">
        <is>
          <t>1. 홈 6메뉴에서 「버스정류장」을 선택
2. 이동한 화면의 제목과 결과 영역을 확인</t>
        </is>
      </c>
      <c r="J198" s="10" t="inlineStr">
        <is>
          <t>제목이 「버스정류장」으로 메뉴명과 이어지고, 첫 진입 시 결과 영역은 비어 있다(자동 결과를 채우지 않는다)</t>
        </is>
      </c>
      <c r="K198" s="10" t="inlineStr"/>
      <c r="L198" s="10" t="inlineStr">
        <is>
          <t>UX 07-대중교통 2.1절 진입 · 2.2절 ★ 첫 진입 결과 영역</t>
        </is>
      </c>
      <c r="M198" s="10" t="inlineStr">
        <is>
          <t>화면 ID 미부여 — 부여 시 TC-ID 이관 대상</t>
        </is>
      </c>
      <c r="N198" s="10" t="inlineStr"/>
    </row>
    <row r="199">
      <c r="A199" s="5" t="n">
        <v>198</v>
      </c>
      <c r="B199" s="10" t="inlineStr">
        <is>
          <t>TC-1-3-02</t>
        </is>
      </c>
      <c r="C199" s="10" t="inlineStr">
        <is>
          <t>07-대중교통</t>
        </is>
      </c>
      <c r="D199" s="10" t="inlineStr">
        <is>
          <t>1-3</t>
        </is>
      </c>
      <c r="E199" s="10" t="inlineStr">
        <is>
          <t>NFR-05 · AC-05</t>
        </is>
      </c>
      <c r="F199" s="5" t="inlineStr">
        <is>
          <t>접근성</t>
        </is>
      </c>
      <c r="G199" s="5" t="inlineStr">
        <is>
          <t>미실행</t>
        </is>
      </c>
      <c r="H199" s="10" t="inlineStr">
        <is>
          <t>S2 · TalkBack 켬 · 1-3 진입</t>
        </is>
      </c>
      <c r="I199" s="10" t="inlineStr">
        <is>
          <t>1. 검색창에 포커스를 올려 낭독을 확인
2. 검색어를 한 글자 입력한 뒤 다시 검색창 낭독을 확인</t>
        </is>
      </c>
      <c r="J199" s="10" t="inlineStr">
        <is>
          <t>낭독이 「버스정류장 검색, 검색창」이고, 입력이 들어가도 라벨이 사라지지 않는다(라벨을 placeholder로 대체하지 않는다)</t>
        </is>
      </c>
      <c r="K199" s="10" t="inlineStr"/>
      <c r="L199" s="10" t="inlineStr">
        <is>
          <t>UX 07-대중교통 2.3절 요소 1 · 00-공통 1절 입력 필드 공통 요건 1</t>
        </is>
      </c>
      <c r="M199" s="10" t="inlineStr">
        <is>
          <t>화면 ID 미부여 — 부여 시 TC-ID 이관 대상</t>
        </is>
      </c>
      <c r="N199" s="10" t="inlineStr"/>
    </row>
    <row r="200">
      <c r="A200" s="5" t="n">
        <v>199</v>
      </c>
      <c r="B200" s="10" t="inlineStr">
        <is>
          <t>TC-1-3-03</t>
        </is>
      </c>
      <c r="C200" s="10" t="inlineStr">
        <is>
          <t>07-대중교통</t>
        </is>
      </c>
      <c r="D200" s="10" t="inlineStr">
        <is>
          <t>1-3</t>
        </is>
      </c>
      <c r="E200" s="10" t="inlineStr">
        <is>
          <t>V-3 · NFR-01</t>
        </is>
      </c>
      <c r="F200" s="5" t="inlineStr">
        <is>
          <t>접근성</t>
        </is>
      </c>
      <c r="G200" s="5" t="inlineStr">
        <is>
          <t>미실행</t>
        </is>
      </c>
      <c r="H200" s="10" t="inlineStr">
        <is>
          <t>S1 · 그레이스케일 필터를 켠 상태</t>
        </is>
      </c>
      <c r="I200" s="10" t="inlineStr">
        <is>
          <t>1. 「전체」가 선택된 상태에서 두 필터의 외형을 확인
2. 「내 주변」을 눌러 선택을 옮긴 뒤 다시 확인</t>
        </is>
      </c>
      <c r="J200" s="10" t="inlineStr">
        <is>
          <t>선택/비선택이 색 말고도 텍스트·테두리 등 2중 단서로 구분된다. 그레이스케일에서도 어느 쪽이 선택인지 판별된다</t>
        </is>
      </c>
      <c r="K200" s="10" t="inlineStr"/>
      <c r="L200" s="10" t="inlineStr">
        <is>
          <t>UX 07-대중교통 2.3절 요소 2 ★ 2중 단서 병기</t>
        </is>
      </c>
      <c r="M200" s="10" t="inlineStr">
        <is>
          <t>화면 ID 미부여 — 부여 시 TC-ID 이관 대상</t>
        </is>
      </c>
      <c r="N200" s="10" t="inlineStr"/>
    </row>
    <row r="201">
      <c r="A201" s="5" t="n">
        <v>200</v>
      </c>
      <c r="B201" s="10" t="inlineStr">
        <is>
          <t>TC-1-3-04</t>
        </is>
      </c>
      <c r="C201" s="10" t="inlineStr">
        <is>
          <t>07-대중교통</t>
        </is>
      </c>
      <c r="D201" s="10" t="inlineStr">
        <is>
          <t>1-3</t>
        </is>
      </c>
      <c r="E201" s="10" t="inlineStr">
        <is>
          <t>FR-A5</t>
        </is>
      </c>
      <c r="F201" s="5" t="inlineStr">
        <is>
          <t>기능</t>
        </is>
      </c>
      <c r="G201" s="5" t="inlineStr">
        <is>
          <t>미실행</t>
        </is>
      </c>
      <c r="H201" s="10" t="inlineStr">
        <is>
          <t>S1 · 1-3 진입 · 위치 권한 허용</t>
        </is>
      </c>
      <c r="I201" s="10" t="inlineStr">
        <is>
          <t>1. 검색창에 「군자역」을 입력해 결과를 받는다
2. 필터를 「내 주변」으로 바꾼다
3. 결과 목록을 확인</t>
        </is>
      </c>
      <c r="J201" s="10" t="inlineStr">
        <is>
          <t>「군자역」을 만족하는 결과 중 내 주변 조건에 드는 것만 남는다. 검색어를 무시한 주변 정류장 전체가 나오지 않는다(필터가 검색을 대체하지 않는다)</t>
        </is>
      </c>
      <c r="K201" s="10" t="inlineStr"/>
      <c r="L201" s="10" t="inlineStr">
        <is>
          <t>UX 07-대중교통 2.3절 요소 2 ★ 검색 후행 적용</t>
        </is>
      </c>
      <c r="M201" s="10" t="inlineStr">
        <is>
          <t>화면 ID 미부여 — 부여 시 TC-ID 이관 대상</t>
        </is>
      </c>
      <c r="N201" s="10" t="inlineStr"/>
    </row>
    <row r="202">
      <c r="A202" s="5" t="n">
        <v>201</v>
      </c>
      <c r="B202" s="10" t="inlineStr">
        <is>
          <t>TC-1-3-05</t>
        </is>
      </c>
      <c r="C202" s="10" t="inlineStr">
        <is>
          <t>07-대중교통</t>
        </is>
      </c>
      <c r="D202" s="10" t="inlineStr">
        <is>
          <t>1-3</t>
        </is>
      </c>
      <c r="E202" s="10" t="inlineStr">
        <is>
          <t>FR-A5</t>
        </is>
      </c>
      <c r="F202" s="5" t="inlineStr">
        <is>
          <t>기능</t>
        </is>
      </c>
      <c r="G202" s="5" t="inlineStr">
        <is>
          <t>미실행</t>
        </is>
      </c>
      <c r="H202" s="10" t="inlineStr">
        <is>
          <t>S1 · 위치 권한 허용 · 현위치에서 250m·350m 지점에 정류장이 각각 있는 테스트 좌표</t>
        </is>
      </c>
      <c r="I202" s="10" t="inlineStr">
        <is>
          <t>1. 필터를 「내 주변」으로 선택
2. 결과에 포함된 정류장의 현위치 기준 거리를 대조</t>
        </is>
      </c>
      <c r="J202" s="10" t="inlineStr">
        <is>
          <t>현위치 반경 300m 이내 정류장만 결과에 든다. 350m 지점 정류장은 포함되지 않는다</t>
        </is>
      </c>
      <c r="K202" s="10" t="inlineStr"/>
      <c r="L202" s="10" t="inlineStr">
        <is>
          <t>UX 07-대중교통 2.3절 요소 2 · 2.5절 반경 300m 근거</t>
        </is>
      </c>
      <c r="M202" s="10" t="inlineStr">
        <is>
          <t>화면 ID 미부여 — 부여 시 TC-ID 이관 대상</t>
        </is>
      </c>
      <c r="N202" s="10" t="inlineStr"/>
    </row>
    <row r="203">
      <c r="A203" s="5" t="n">
        <v>202</v>
      </c>
      <c r="B203" s="10" t="inlineStr">
        <is>
          <t>TC-1-3-06</t>
        </is>
      </c>
      <c r="C203" s="10" t="inlineStr">
        <is>
          <t>07-대중교통</t>
        </is>
      </c>
      <c r="D203" s="10" t="inlineStr">
        <is>
          <t>1-3</t>
        </is>
      </c>
      <c r="E203" s="10" t="inlineStr">
        <is>
          <t>V-3 · NFR-05</t>
        </is>
      </c>
      <c r="F203" s="5" t="inlineStr">
        <is>
          <t>기능</t>
        </is>
      </c>
      <c r="G203" s="5" t="inlineStr">
        <is>
          <t>미실행</t>
        </is>
      </c>
      <c r="H203" s="10" t="inlineStr">
        <is>
          <t>S1 · 검색 결과 2건 이상 표출</t>
        </is>
      </c>
      <c r="I203" s="10" t="inlineStr">
        <is>
          <t>1. 결과 행 한 건의 구성 요소를 확인
2. 행 우측 컨트롤을 확인</t>
        </is>
      </c>
      <c r="J203" s="10" t="inlineStr">
        <is>
          <t>좌측 버스 픽토그램 + 정류장명 + 정류장 번호 2줄 + 행마다 [&gt;]가 있다. 픽토그램만으로 정류장임을 전달하지 않는다</t>
        </is>
      </c>
      <c r="K203" s="10" t="inlineStr"/>
      <c r="L203" s="10" t="inlineStr">
        <is>
          <t>UX 07-대중교통 2.2절 구성 ③ · 2.3절 요소 3</t>
        </is>
      </c>
      <c r="M203" s="10" t="inlineStr">
        <is>
          <t>화면 ID 미부여 — 부여 시 TC-ID 이관 대상</t>
        </is>
      </c>
      <c r="N203" s="10" t="inlineStr"/>
    </row>
    <row r="204">
      <c r="A204" s="5" t="n">
        <v>203</v>
      </c>
      <c r="B204" s="10" t="inlineStr">
        <is>
          <t>TC-1-3-07</t>
        </is>
      </c>
      <c r="C204" s="10" t="inlineStr">
        <is>
          <t>07-대중교통</t>
        </is>
      </c>
      <c r="D204" s="10" t="inlineStr">
        <is>
          <t>1-3</t>
        </is>
      </c>
      <c r="E204" s="10" t="inlineStr">
        <is>
          <t>AC-05 · NFR-05</t>
        </is>
      </c>
      <c r="F204" s="5" t="inlineStr">
        <is>
          <t>접근성</t>
        </is>
      </c>
      <c r="G204" s="5" t="inlineStr">
        <is>
          <t>미실행</t>
        </is>
      </c>
      <c r="H204" s="10" t="inlineStr">
        <is>
          <t>S2 · TalkBack 켬 · 「군자역6번출구 051414」가 결과에 있는 상태</t>
        </is>
      </c>
      <c r="I204" s="10" t="inlineStr">
        <is>
          <t>1. 결과 첫 행에 포커스를 올린다
2. 낭독 문장을 받아 적는다</t>
        </is>
      </c>
      <c r="J204" s="10" t="inlineStr">
        <is>
          <t>「군자역6번출구, 정류장 번호 051414, 버튼」으로 낭독된다. 번호가 「정류장 번호」라는 말 없이 숫자 나열로만 흘러나오지 않는다</t>
        </is>
      </c>
      <c r="K204" s="10" t="inlineStr"/>
      <c r="L204" s="10" t="inlineStr">
        <is>
          <t>UX 07-대중교통 2.3절 요소 3 음성(S2) 낭독 라벨</t>
        </is>
      </c>
      <c r="M204" s="10" t="inlineStr">
        <is>
          <t>화면 ID 미부여 — 부여 시 TC-ID 이관 대상</t>
        </is>
      </c>
      <c r="N204" s="10" t="inlineStr"/>
    </row>
    <row r="205">
      <c r="A205" s="5" t="n">
        <v>204</v>
      </c>
      <c r="B205" s="10" t="inlineStr">
        <is>
          <t>TC-1-3-08</t>
        </is>
      </c>
      <c r="C205" s="10" t="inlineStr">
        <is>
          <t>07-대중교통</t>
        </is>
      </c>
      <c r="D205" s="10" t="inlineStr">
        <is>
          <t>1-3</t>
        </is>
      </c>
      <c r="E205" s="10" t="inlineStr">
        <is>
          <t>NFR-04 · AC-05</t>
        </is>
      </c>
      <c r="F205" s="5" t="inlineStr">
        <is>
          <t>접근성</t>
        </is>
      </c>
      <c r="G205" s="5" t="inlineStr">
        <is>
          <t>미실행</t>
        </is>
      </c>
      <c r="H205" s="10" t="inlineStr">
        <is>
          <t>S2 · 검색 결과 표출 상태</t>
        </is>
      </c>
      <c r="I205" s="10" t="inlineStr">
        <is>
          <t>1. 화면 첫 요소부터 스와이프로 포커스를 끝까지 이동
2. 낭독되는 대상의 순서를 기록</t>
        </is>
      </c>
      <c r="J205" s="10" t="inlineStr">
        <is>
          <t>제목 「버스정류장」 → 검색창 → 필터(선택 상태 포함) → 결과 건수 → 각 행 순으로 낭독된다</t>
        </is>
      </c>
      <c r="K205" s="10" t="inlineStr"/>
      <c r="L205" s="10" t="inlineStr">
        <is>
          <t>UX 07-대중교통 2.4절 음성(S2) 낭독 순서</t>
        </is>
      </c>
      <c r="M205" s="10" t="inlineStr">
        <is>
          <t>화면 ID 미부여 — 부여 시 TC-ID 이관 대상</t>
        </is>
      </c>
      <c r="N205" s="10" t="inlineStr"/>
    </row>
    <row r="206">
      <c r="A206" s="5" t="n">
        <v>205</v>
      </c>
      <c r="B206" s="10" t="inlineStr">
        <is>
          <t>TC-1-3-09</t>
        </is>
      </c>
      <c r="C206" s="10" t="inlineStr">
        <is>
          <t>07-대중교통</t>
        </is>
      </c>
      <c r="D206" s="10" t="inlineStr">
        <is>
          <t>1-3</t>
        </is>
      </c>
      <c r="E206" s="10" t="inlineStr">
        <is>
          <t>V-6</t>
        </is>
      </c>
      <c r="F206" s="5" t="inlineStr">
        <is>
          <t>기능</t>
        </is>
      </c>
      <c r="G206" s="5" t="inlineStr">
        <is>
          <t>미실행</t>
        </is>
      </c>
      <c r="H206" s="10" t="inlineStr">
        <is>
          <t>S1 · 위치 권한 허용 · 주변에 결과가 없는 검색어</t>
        </is>
      </c>
      <c r="I206" s="10" t="inlineStr">
        <is>
          <t>1. 필터 「내 주변」 상태에서 결과가 0건인 검색어를 입력
2. 결과 영역과 반경 적용 범위를 확인</t>
        </is>
      </c>
      <c r="J206" s="10" t="inlineStr">
        <is>
          <t>빈 리스트가 아니라 「검색 결과 없음」이 표출되고, 반경을 300m보다 넓혀 결과를 채우지 않는다(「전체」와 같은 처리)</t>
        </is>
      </c>
      <c r="K206" s="10" t="inlineStr"/>
      <c r="L206" s="10" t="inlineStr">
        <is>
          <t>UX 07-대중교통 2.6절 예외 · 00-공통 2절 검색 결과 0건</t>
        </is>
      </c>
      <c r="M206" s="10" t="inlineStr">
        <is>
          <t>화면 ID 미부여 — 부여 시 TC-ID 이관 대상</t>
        </is>
      </c>
      <c r="N206" s="10" t="inlineStr"/>
    </row>
    <row r="207">
      <c r="A207" s="5" t="n">
        <v>206</v>
      </c>
      <c r="B207" s="10" t="inlineStr">
        <is>
          <t>TC-1-3-10</t>
        </is>
      </c>
      <c r="C207" s="10" t="inlineStr">
        <is>
          <t>07-대중교통</t>
        </is>
      </c>
      <c r="D207" s="10" t="inlineStr">
        <is>
          <t>1-3 · BUS-03</t>
        </is>
      </c>
      <c r="E207" s="10" t="inlineStr">
        <is>
          <t>V-5 · FR-A5</t>
        </is>
      </c>
      <c r="F207" s="5" t="inlineStr">
        <is>
          <t>기능</t>
        </is>
      </c>
      <c r="G207" s="5" t="inlineStr">
        <is>
          <t>미실행</t>
        </is>
      </c>
      <c r="H207" s="10" t="inlineStr">
        <is>
          <t>S1 · 검색 결과 표출 상태</t>
        </is>
      </c>
      <c r="I207" s="10" t="inlineStr">
        <is>
          <t>1. 결과 행을 선택
2. 이동한 화면의 정류장명·번호를 검색 결과의 값과 대조</t>
        </is>
      </c>
      <c r="J207" s="10" t="inlineStr">
        <is>
          <t>2-5 버스정류장 정보로 이동하고 헤더의 정류장명·번호가 선택한 행과 같다</t>
        </is>
      </c>
      <c r="K207" s="10" t="inlineStr"/>
      <c r="L207" s="10" t="inlineStr">
        <is>
          <t>UX 07-대중교통 2.1절 이탈 · 3.1절 진입</t>
        </is>
      </c>
      <c r="M207" s="10" t="inlineStr">
        <is>
          <t>화면 ID 미부여 — 부여 시 TC-ID 이관 대상</t>
        </is>
      </c>
      <c r="N207" s="10" t="inlineStr"/>
    </row>
    <row r="208">
      <c r="A208" s="5" t="n">
        <v>207</v>
      </c>
      <c r="B208" s="10" t="inlineStr">
        <is>
          <t>TC-BUS-03-01</t>
        </is>
      </c>
      <c r="C208" s="10" t="inlineStr">
        <is>
          <t>07-대중교통</t>
        </is>
      </c>
      <c r="D208" s="10" t="inlineStr">
        <is>
          <t>BUS-03</t>
        </is>
      </c>
      <c r="E208" s="10" t="inlineStr">
        <is>
          <t>V-3 · V-4</t>
        </is>
      </c>
      <c r="F208" s="5" t="inlineStr">
        <is>
          <t>기능</t>
        </is>
      </c>
      <c r="G208" s="5" t="inlineStr">
        <is>
          <t>미실행</t>
        </is>
      </c>
      <c r="H208" s="10" t="inlineStr">
        <is>
          <t>S1 · 점자 안내가 미조사인 정류장</t>
        </is>
      </c>
      <c r="I208" s="10" t="inlineStr">
        <is>
          <t>1. 접근성 설비 영역의 각 행을 확인
2. 값이 아이콘만으로 표시되는 항목이 있는지 확인</t>
        </is>
      </c>
      <c r="J208" s="10" t="inlineStr">
        <is>
          <t>각 행이 라벨 + 값 텍스트로 표기되고(아이콘 단독 없음), 미조사 항목이 「없음」이 아니라 「미조사」로 표기된다</t>
        </is>
      </c>
      <c r="K208" s="10" t="inlineStr"/>
      <c r="L208" s="10" t="inlineStr">
        <is>
          <t>UX 07-대중교통 3.3절 요소 2 · 3.5절 예외</t>
        </is>
      </c>
      <c r="M208" s="10" t="inlineStr">
        <is>
          <t>상태값 병기는 기존 앱에 없던 신규 사양이다(기존 앱은 아이콘만 표출)</t>
        </is>
      </c>
      <c r="N208" s="10" t="inlineStr"/>
    </row>
    <row r="209">
      <c r="A209" s="5" t="n">
        <v>208</v>
      </c>
      <c r="B209" s="10" t="inlineStr">
        <is>
          <t>TC-BUS-03-02</t>
        </is>
      </c>
      <c r="C209" s="10" t="inlineStr">
        <is>
          <t>07-대중교통</t>
        </is>
      </c>
      <c r="D209" s="10" t="inlineStr">
        <is>
          <t>BUS-03</t>
        </is>
      </c>
      <c r="E209" s="10" t="inlineStr">
        <is>
          <t>V-4 · AC-05</t>
        </is>
      </c>
      <c r="F209" s="5" t="inlineStr">
        <is>
          <t>접근성</t>
        </is>
      </c>
      <c r="G209" s="5" t="inlineStr">
        <is>
          <t>미실행</t>
        </is>
      </c>
      <c r="H209" s="10" t="inlineStr">
        <is>
          <t>S2 · 승차대=있음 · 점자 안내=미조사인 정류장</t>
        </is>
      </c>
      <c r="I209" s="10" t="inlineStr">
        <is>
          <t>1. 접근성 설비 영역을 순서대로 낭독시킨다
2. 있음·없음·미조사 3값의 낭독 문자열을 받아 적는다</t>
        </is>
      </c>
      <c r="J209" s="10" t="inlineStr">
        <is>
          <t>「승차대, 있음」·「점자 안내, 미조사」처럼 3값이 각각 다른 문자열로 낭독된다. 「없음」과 「미조사」가 같은 문구로 뭉치지 않는다</t>
        </is>
      </c>
      <c r="K209" s="10" t="inlineStr"/>
      <c r="L209" s="10" t="inlineStr">
        <is>
          <t>UX 07-대중교통 3.3절 요소 2 · 3.4절 ★ 3값 구분</t>
        </is>
      </c>
      <c r="M209" s="10" t="inlineStr"/>
      <c r="N209" s="10" t="inlineStr"/>
    </row>
    <row r="210">
      <c r="A210" s="5" t="n">
        <v>209</v>
      </c>
      <c r="B210" s="10" t="inlineStr">
        <is>
          <t>TC-BUS-03-03</t>
        </is>
      </c>
      <c r="C210" s="10" t="inlineStr">
        <is>
          <t>07-대중교통</t>
        </is>
      </c>
      <c r="D210" s="10" t="inlineStr">
        <is>
          <t>BUS-03</t>
        </is>
      </c>
      <c r="E210" s="10" t="inlineStr">
        <is>
          <t>V-3</t>
        </is>
      </c>
      <c r="F210" s="5" t="inlineStr">
        <is>
          <t>기능</t>
        </is>
      </c>
      <c r="G210" s="5" t="inlineStr">
        <is>
          <t>미실행</t>
        </is>
      </c>
      <c r="H210" s="10" t="inlineStr">
        <is>
          <t>S1 · 2-5 첫 진입</t>
        </is>
      </c>
      <c r="I210" s="10" t="inlineStr">
        <is>
          <t>1. 「저상버스만 표시」 토글의 초기 상태와 상태 문구를 확인
2. 토글을 꺼서 노선 목록의 변화를 확인</t>
        </is>
      </c>
      <c r="J210" s="10" t="inlineStr">
        <is>
          <t>기본값이 켜짐이고 켜짐/꺼짐이 텍스트로 표출된다(색·위치 단독 아님). 끄면 일반 버스 노선도 함께 표출된다</t>
        </is>
      </c>
      <c r="K210" s="10" t="inlineStr"/>
      <c r="L210" s="10" t="inlineStr">
        <is>
          <t>UX 07-대중교통 3.3절 요소 3</t>
        </is>
      </c>
      <c r="M210" s="10" t="inlineStr"/>
      <c r="N210" s="10" t="inlineStr"/>
    </row>
    <row r="211">
      <c r="A211" s="5" t="n">
        <v>210</v>
      </c>
      <c r="B211" s="10" t="inlineStr">
        <is>
          <t>TC-BUS-03-04</t>
        </is>
      </c>
      <c r="C211" s="10" t="inlineStr">
        <is>
          <t>07-대중교통</t>
        </is>
      </c>
      <c r="D211" s="10" t="inlineStr">
        <is>
          <t>BUS-03</t>
        </is>
      </c>
      <c r="E211" s="10" t="inlineStr">
        <is>
          <t>V-3 · NFR-01</t>
        </is>
      </c>
      <c r="F211" s="5" t="inlineStr">
        <is>
          <t>접근성</t>
        </is>
      </c>
      <c r="G211" s="5" t="inlineStr">
        <is>
          <t>미실행</t>
        </is>
      </c>
      <c r="H211" s="10" t="inlineStr">
        <is>
          <t>S1 · 간선·지선 노선이 함께 있는 정류장 · 그레이스케일 필터 켬</t>
        </is>
      </c>
      <c r="I211" s="10" t="inlineStr">
        <is>
          <t>1. 노선 행의 유형 배지 안 문자열을 확인
2. 그레이스케일 상태에서 간선·지선 구분이 가능한지 확인
3. 배지 주변 텍스트(노선번호·방면·도착 건)의 명도 대비를 측정</t>
        </is>
      </c>
      <c r="J211" s="10" t="inlineStr">
        <is>
          <t>배지 안에 「간선」·「지선」 텍스트가 병기돼 색 없이도 구분되고, 배지 주변 텍스트는 4.5:1 이상이다(3:1 완화가 배지 밖으로 확대되지 않는다)</t>
        </is>
      </c>
      <c r="K211" s="10" t="inlineStr"/>
      <c r="L211" s="10" t="inlineStr">
        <is>
          <t>UX 07-대중교통 3.3절 요소 4 ★ 배지 텍스트 병기 · PRD 1부 NFR-01 완화 적용 범위</t>
        </is>
      </c>
      <c r="M211" s="10" t="inlineStr">
        <is>
          <t>NFR-01 3:1 완화는 노선 공식색 배지의 면↔라벨 대비 한 자리뿐이다</t>
        </is>
      </c>
      <c r="N211" s="10" t="inlineStr"/>
    </row>
    <row r="212">
      <c r="A212" s="5" t="n">
        <v>211</v>
      </c>
      <c r="B212" s="10" t="inlineStr">
        <is>
          <t>TC-BUS-03-05</t>
        </is>
      </c>
      <c r="C212" s="10" t="inlineStr">
        <is>
          <t>07-대중교통</t>
        </is>
      </c>
      <c r="D212" s="10" t="inlineStr">
        <is>
          <t>BUS-03</t>
        </is>
      </c>
      <c r="E212" s="10" t="inlineStr">
        <is>
          <t>FR-A5 · NFR-05</t>
        </is>
      </c>
      <c r="F212" s="5" t="inlineStr">
        <is>
          <t>기능</t>
        </is>
      </c>
      <c r="G212" s="5" t="inlineStr">
        <is>
          <t>미실행</t>
        </is>
      </c>
      <c r="H212" s="10" t="inlineStr">
        <is>
          <t>S1 · 저상·일반이 섞여 도착하는 노선</t>
        </is>
      </c>
      <c r="I212" s="10" t="inlineStr">
        <is>
          <t>1. 노선 행의 도착 건 2건 문자열을 확인
2. 각 건의 저상·일반 표기 위치를 확인</t>
        </is>
      </c>
      <c r="J212" s="10" t="inlineStr">
        <is>
          <t>「저상 1분 · 1번째 전」처럼 도착 건마다 저상·일반 구분이 앞에 붙고 도착 2건이 표출된다</t>
        </is>
      </c>
      <c r="K212" s="10" t="inlineStr"/>
      <c r="L212" s="10" t="inlineStr">
        <is>
          <t>UX 07-대중교통 3.3절 요소 4-1</t>
        </is>
      </c>
      <c r="M212" s="10" t="inlineStr"/>
      <c r="N212" s="10" t="inlineStr"/>
    </row>
    <row r="213">
      <c r="A213" s="5" t="n">
        <v>212</v>
      </c>
      <c r="B213" s="10" t="inlineStr">
        <is>
          <t>TC-BUS-03-06</t>
        </is>
      </c>
      <c r="C213" s="10" t="inlineStr">
        <is>
          <t>07-대중교통</t>
        </is>
      </c>
      <c r="D213" s="10" t="inlineStr">
        <is>
          <t>BUS-03</t>
        </is>
      </c>
      <c r="E213" s="10" t="inlineStr">
        <is>
          <t>V-4 · V-6</t>
        </is>
      </c>
      <c r="F213" s="5" t="inlineStr">
        <is>
          <t>기능</t>
        </is>
      </c>
      <c r="G213" s="5" t="inlineStr">
        <is>
          <t>미실행</t>
        </is>
      </c>
      <c r="H213" s="10" t="inlineStr">
        <is>
          <t>S1 · 저상 운행이 없는 노선이 포함된 정류장 · 「저상버스만 표시」 끔</t>
        </is>
      </c>
      <c r="I213" s="10" t="inlineStr">
        <is>
          <t>1. 저상 운행이 없는 노선 행의 도착 정보 자리를 확인</t>
        </is>
      </c>
      <c r="J213" s="10" t="inlineStr">
        <is>
          <t>「저상 운행 없음」이 명시된다. 빈칸으로 두거나 행을 숨기지 않는다</t>
        </is>
      </c>
      <c r="K213" s="10" t="inlineStr"/>
      <c r="L213" s="10" t="inlineStr">
        <is>
          <t>UX 07-대중교통 3.3절 요소 4-2 · 3.5절 예외</t>
        </is>
      </c>
      <c r="M213" s="10" t="inlineStr"/>
      <c r="N213" s="10" t="inlineStr"/>
    </row>
    <row r="214">
      <c r="A214" s="5" t="n">
        <v>213</v>
      </c>
      <c r="B214" s="10" t="inlineStr">
        <is>
          <t>TC-BUS-03-07</t>
        </is>
      </c>
      <c r="C214" s="10" t="inlineStr">
        <is>
          <t>07-대중교통</t>
        </is>
      </c>
      <c r="D214" s="10" t="inlineStr">
        <is>
          <t>BUS-03</t>
        </is>
      </c>
      <c r="E214" s="10" t="inlineStr">
        <is>
          <t>V-6 · NFR-09 · E-2</t>
        </is>
      </c>
      <c r="F214" s="5" t="inlineStr">
        <is>
          <t>기능</t>
        </is>
      </c>
      <c r="G214" s="5" t="inlineStr">
        <is>
          <t>미실행</t>
        </is>
      </c>
      <c r="H214" s="10" t="inlineStr">
        <is>
          <t>S1 · 특정 노선의 도착 정보 연계만 실패하도록 스텁 구성</t>
        </is>
      </c>
      <c r="I214" s="10" t="inlineStr">
        <is>
          <t>1. 실패한 노선 행과 나머지 노선 행의 표출 상태를 확인
2. 실패 행의 [다시 시도]를 눌러 재조회</t>
        </is>
      </c>
      <c r="J214" s="10" t="inlineStr">
        <is>
          <t>해당 노선 영역만 실패 표시 + [다시 시도]가 붙고 화면 전체는 실패로 바뀌지 않는다. 재시도로 그 행만 갱신된다</t>
        </is>
      </c>
      <c r="K214" s="10" t="inlineStr"/>
      <c r="L214" s="10" t="inlineStr">
        <is>
          <t>UX 07-대중교통 3.3절 요소 4-3 · 3.5절 예외</t>
        </is>
      </c>
      <c r="M214" s="10" t="inlineStr"/>
      <c r="N214" s="10" t="inlineStr"/>
    </row>
    <row r="215">
      <c r="A215" s="5" t="n">
        <v>214</v>
      </c>
      <c r="B215" s="10" t="inlineStr">
        <is>
          <t>TC-BUS-03-08</t>
        </is>
      </c>
      <c r="C215" s="10" t="inlineStr">
        <is>
          <t>07-대중교통</t>
        </is>
      </c>
      <c r="D215" s="10" t="inlineStr">
        <is>
          <t>BUS-03</t>
        </is>
      </c>
      <c r="E215" s="10" t="inlineStr">
        <is>
          <t>AC-05 · NFR-05</t>
        </is>
      </c>
      <c r="F215" s="5" t="inlineStr">
        <is>
          <t>접근성</t>
        </is>
      </c>
      <c r="G215" s="5" t="inlineStr">
        <is>
          <t>미실행</t>
        </is>
      </c>
      <c r="H215" s="10" t="inlineStr">
        <is>
          <t>S2 · 간선 240번이 있는 정류장</t>
        </is>
      </c>
      <c r="I215" s="10" t="inlineStr">
        <is>
          <t>1. 정류장 정보 화면의 첫 요소부터 끝까지 포커스를 이동
2. 낭독 순서와 노선 행 문장을 기록</t>
        </is>
      </c>
      <c r="J215" s="10" t="inlineStr">
        <is>
          <t>정류장명→번호→주소→접근성 설비→토글(상태 포함)→노선별 유형·번호·방면·도착 건→예약 버튼 순이고, 노선 행이 「간선 240번, 중랑공영차고지 방면, 저상 1분 1번째 전, …, 버튼」처럼 도착 정보까지 문장으로 전달된다</t>
        </is>
      </c>
      <c r="K215" s="10" t="inlineStr"/>
      <c r="L215" s="10" t="inlineStr">
        <is>
          <t>UX 07-대중교통 3.4절 음성(S2) 낭독 순서 · PRD 1부 NFR-05 예시</t>
        </is>
      </c>
      <c r="M215" s="10" t="inlineStr">
        <is>
          <t>PRD NFR-05가 든 예(「162번 버스, 3분 후 도착」)와 같은 형식이다</t>
        </is>
      </c>
      <c r="N215" s="10" t="inlineStr"/>
    </row>
    <row r="216">
      <c r="A216" s="5" t="n">
        <v>215</v>
      </c>
      <c r="B216" s="10" t="inlineStr">
        <is>
          <t>TC-BUS-03-09</t>
        </is>
      </c>
      <c r="C216" s="10" t="inlineStr">
        <is>
          <t>07-대중교통</t>
        </is>
      </c>
      <c r="D216" s="10" t="inlineStr">
        <is>
          <t>BUS-03 · BUS-01</t>
        </is>
      </c>
      <c r="E216" s="10" t="inlineStr">
        <is>
          <t>SC-07 · FR-R4</t>
        </is>
      </c>
      <c r="F216" s="5" t="inlineStr">
        <is>
          <t>기능</t>
        </is>
      </c>
      <c r="G216" s="5" t="inlineStr">
        <is>
          <t>미실행</t>
        </is>
      </c>
      <c r="H216" s="10" t="inlineStr">
        <is>
          <t>S1 · 저상 노선이 있는 정류장</t>
        </is>
      </c>
      <c r="I216" s="10" t="inlineStr">
        <is>
          <t>1. 시트 하단 [저상버스 승차 예약]을 선택
2. 이동한 화면의 노선 헤더를 확인</t>
        </is>
      </c>
      <c r="J216" s="10" t="inlineStr">
        <is>
          <t>2-6 저상버스 승차 예약으로 이동한다</t>
        </is>
      </c>
      <c r="K216" s="10" t="inlineStr"/>
      <c r="L216" s="10" t="inlineStr">
        <is>
          <t>UX 07-대중교통 3.3절 요소 5 · 1절 워크플로우 트랙 ⓐ</t>
        </is>
      </c>
      <c r="M216" s="10" t="inlineStr"/>
      <c r="N216" s="10" t="inlineStr"/>
    </row>
    <row r="217">
      <c r="A217" s="5" t="n">
        <v>216</v>
      </c>
      <c r="B217" s="10" t="inlineStr">
        <is>
          <t>TC-BUS-03-10</t>
        </is>
      </c>
      <c r="C217" s="10" t="inlineStr">
        <is>
          <t>07-대중교통</t>
        </is>
      </c>
      <c r="D217" s="10" t="inlineStr">
        <is>
          <t>BUS-03</t>
        </is>
      </c>
      <c r="E217" s="10" t="inlineStr">
        <is>
          <t>V-1 · V-9</t>
        </is>
      </c>
      <c r="F217" s="5" t="inlineStr">
        <is>
          <t>접근성</t>
        </is>
      </c>
      <c r="G217" s="12" t="inlineStr">
        <is>
          <t>보류</t>
        </is>
      </c>
      <c r="H217" s="10" t="inlineStr">
        <is>
          <t>S2 진입</t>
        </is>
      </c>
      <c r="I217" s="10" t="inlineStr">
        <is>
          <t>1. S2로 2-5에 진입해 화면 골격을 확인</t>
        </is>
      </c>
      <c r="J217" s="10" t="inlineStr">
        <is>
          <t>판정 불가 — S2 형태가 U-53으로 미확정이다. 00-공통 9절은 「골격은 S1과 같고 낭독·조작만 갈린다」로 공통 규칙을 주지만, 이 화면의 지도+바텀시트 구조를 S2에서 어떻게 두는지는 이 파일이 미확정으로 남겨 두었다</t>
        </is>
      </c>
      <c r="K217" s="10" t="inlineStr"/>
      <c r="L217" s="10" t="inlineStr">
        <is>
          <t>UX 07-대중교통 3.1절 스킨 구분 · 3.6절 미확정 U-53</t>
        </is>
      </c>
      <c r="M217" s="10" t="inlineStr"/>
      <c r="N217" s="10" t="inlineStr"/>
    </row>
    <row r="218">
      <c r="A218" s="5" t="n">
        <v>217</v>
      </c>
      <c r="B218" s="10" t="inlineStr">
        <is>
          <t>TC-2-5-1-01</t>
        </is>
      </c>
      <c r="C218" s="10" t="inlineStr">
        <is>
          <t>07-대중교통</t>
        </is>
      </c>
      <c r="D218" s="10" t="inlineStr">
        <is>
          <t>2-5-1 · BUS-03</t>
        </is>
      </c>
      <c r="E218" s="10" t="inlineStr">
        <is>
          <t>FR-A5</t>
        </is>
      </c>
      <c r="F218" s="5" t="inlineStr">
        <is>
          <t>기능</t>
        </is>
      </c>
      <c r="G218" s="5" t="inlineStr">
        <is>
          <t>미실행</t>
        </is>
      </c>
      <c r="H218" s="10" t="inlineStr">
        <is>
          <t>S1 · 2-5에서 간선 240번 행 표출</t>
        </is>
      </c>
      <c r="I218" s="10" t="inlineStr">
        <is>
          <t>1. 노선 행의 [&gt;]를 선택
2. 헤더와 상단 정보 영역을 확인</t>
        </is>
      </c>
      <c r="J218" s="10" t="inlineStr">
        <is>
          <t>노선 상세로 이동해 헤더에 유형 배지 + 노선번호가, 상단에 현위치 정류장명과 「현재 N대 운행중」이 표출된다</t>
        </is>
      </c>
      <c r="K218" s="10" t="inlineStr"/>
      <c r="L218" s="10" t="inlineStr">
        <is>
          <t>UX 07-대중교통 4.1절 진입 · 4.2절 구성 ① ② ③</t>
        </is>
      </c>
      <c r="M218" s="10" t="inlineStr">
        <is>
          <t>화면 ID 미부여 — 부여 시 TC-ID 이관 대상</t>
        </is>
      </c>
      <c r="N218" s="10" t="inlineStr"/>
    </row>
    <row r="219">
      <c r="A219" s="5" t="n">
        <v>218</v>
      </c>
      <c r="B219" s="10" t="inlineStr">
        <is>
          <t>TC-2-5-1-02</t>
        </is>
      </c>
      <c r="C219" s="10" t="inlineStr">
        <is>
          <t>07-대중교통</t>
        </is>
      </c>
      <c r="D219" s="10" t="inlineStr">
        <is>
          <t>2-5-1</t>
        </is>
      </c>
      <c r="E219" s="10" t="inlineStr">
        <is>
          <t>AC-05 · NFR-04</t>
        </is>
      </c>
      <c r="F219" s="5" t="inlineStr">
        <is>
          <t>접근성</t>
        </is>
      </c>
      <c r="G219" s="5" t="inlineStr">
        <is>
          <t>미실행</t>
        </is>
      </c>
      <c r="H219" s="10" t="inlineStr">
        <is>
          <t>S2 · 노선 상세 진입</t>
        </is>
      </c>
      <c r="I219" s="10" t="inlineStr">
        <is>
          <t>1. 정류장 순서 리스트를 처음부터 스와이프로 이동
2. 낭독되는 정류장 순서를 기록</t>
        </is>
      </c>
      <c r="J219" s="10" t="inlineStr">
        <is>
          <t>정류장이 노선 진행 순서대로 낭독되고 각 항목에 정류장명 + 정류장 번호가 함께 실린다</t>
        </is>
      </c>
      <c r="K219" s="10" t="inlineStr"/>
      <c r="L219" s="10" t="inlineStr">
        <is>
          <t>UX 07-대중교통 4.3절 요소 3</t>
        </is>
      </c>
      <c r="M219" s="10" t="inlineStr">
        <is>
          <t>화면 ID 미부여 — 부여 시 TC-ID 이관 대상</t>
        </is>
      </c>
      <c r="N219" s="10" t="inlineStr"/>
    </row>
    <row r="220">
      <c r="A220" s="5" t="n">
        <v>219</v>
      </c>
      <c r="B220" s="10" t="inlineStr">
        <is>
          <t>TC-2-5-1-03</t>
        </is>
      </c>
      <c r="C220" s="10" t="inlineStr">
        <is>
          <t>07-대중교통</t>
        </is>
      </c>
      <c r="D220" s="10" t="inlineStr">
        <is>
          <t>2-5-1</t>
        </is>
      </c>
      <c r="E220" s="10" t="inlineStr">
        <is>
          <t>V-3 · NFR-05</t>
        </is>
      </c>
      <c r="F220" s="5" t="inlineStr">
        <is>
          <t>기능</t>
        </is>
      </c>
      <c r="G220" s="5" t="inlineStr">
        <is>
          <t>미실행</t>
        </is>
      </c>
      <c r="H220" s="10" t="inlineStr">
        <is>
          <t>S1 · 운행 차량이 리스트 위에 표시된 상태</t>
        </is>
      </c>
      <c r="I220" s="10" t="inlineStr">
        <is>
          <t>1. 차량 픽토그램이 놓인 정류장 자리의 표기를 확인</t>
        </is>
      </c>
      <c r="J220" s="10" t="inlineStr">
        <is>
          <t>픽토그램 옆에 차량번호와 저상 여부가 텍스트로 병기된다. 위치(픽토그램)만으로 차량 정보를 전달하지 않는다</t>
        </is>
      </c>
      <c r="K220" s="10" t="inlineStr"/>
      <c r="L220" s="10" t="inlineStr">
        <is>
          <t>UX 07-대중교통 4.3절 요소 4</t>
        </is>
      </c>
      <c r="M220" s="10" t="inlineStr">
        <is>
          <t>화면 ID 미부여 — 부여 시 TC-ID 이관 대상</t>
        </is>
      </c>
      <c r="N220" s="10" t="inlineStr"/>
    </row>
    <row r="221">
      <c r="A221" s="5" t="n">
        <v>220</v>
      </c>
      <c r="B221" s="10" t="inlineStr">
        <is>
          <t>TC-2-5-1-04</t>
        </is>
      </c>
      <c r="C221" s="10" t="inlineStr">
        <is>
          <t>07-대중교통</t>
        </is>
      </c>
      <c r="D221" s="10" t="inlineStr">
        <is>
          <t>2-5-1</t>
        </is>
      </c>
      <c r="E221" s="10" t="inlineStr">
        <is>
          <t>AC-05 · V-1</t>
        </is>
      </c>
      <c r="F221" s="5" t="inlineStr">
        <is>
          <t>접근성</t>
        </is>
      </c>
      <c r="G221" s="5" t="inlineStr">
        <is>
          <t>미실행</t>
        </is>
      </c>
      <c r="H221" s="10" t="inlineStr">
        <is>
          <t>S2 · 서울74사4250(저상)이 군자동주민센터에 있는 상태</t>
        </is>
      </c>
      <c r="I221" s="10" t="inlineStr">
        <is>
          <t>1. 정류장 리스트를 낭독시켜 차량이 있는 정류장에 도달
2. 그 자리의 낭독 문장을 받아 적는다</t>
        </is>
      </c>
      <c r="J221" s="10" t="inlineStr">
        <is>
          <t>그 정류장 자리에서 「이 정류장에 서울74사4250, 저상버스 있음」처럼 차량 위치가 말로 전달된다. 픽토그램 위치만으로 남지 않는다</t>
        </is>
      </c>
      <c r="K221" s="10" t="inlineStr"/>
      <c r="L221" s="10" t="inlineStr">
        <is>
          <t>UX 07-대중교통 4.3절 요소 4 음성 라벨 · 4.3절 ★ 순차 텍스트 환원</t>
        </is>
      </c>
      <c r="M221" s="10" t="inlineStr">
        <is>
          <t>화면 ID 미부여 — 부여 시 TC-ID 이관 대상</t>
        </is>
      </c>
      <c r="N221" s="10" t="inlineStr"/>
    </row>
    <row r="222">
      <c r="A222" s="5" t="n">
        <v>221</v>
      </c>
      <c r="B222" s="10" t="inlineStr">
        <is>
          <t>TC-2-5-1-05</t>
        </is>
      </c>
      <c r="C222" s="10" t="inlineStr">
        <is>
          <t>07-대중교통</t>
        </is>
      </c>
      <c r="D222" s="10" t="inlineStr">
        <is>
          <t>2-5-1 · BUS-01</t>
        </is>
      </c>
      <c r="E222" s="10" t="inlineStr">
        <is>
          <t>SC-07 · FR-R4</t>
        </is>
      </c>
      <c r="F222" s="5" t="inlineStr">
        <is>
          <t>기능</t>
        </is>
      </c>
      <c r="G222" s="5" t="inlineStr">
        <is>
          <t>미실행</t>
        </is>
      </c>
      <c r="H222" s="10" t="inlineStr">
        <is>
          <t>S1 · 저상 차량이 운행 중인 노선</t>
        </is>
      </c>
      <c r="I222" s="10" t="inlineStr">
        <is>
          <t>1. 저상 차량 자리의 [승차 예약]을 선택
2. 일반 차량 자리에 같은 버튼이 있는지 확인</t>
        </is>
      </c>
      <c r="J222" s="10" t="inlineStr">
        <is>
          <t>[승차 예약]은 저상버스 자리에만 노출되고, 누르면 2-6 저상버스 승차 예약으로 이동한다</t>
        </is>
      </c>
      <c r="K222" s="10" t="inlineStr"/>
      <c r="L222" s="10" t="inlineStr">
        <is>
          <t>UX 07-대중교통 4.3절 요소 5 · 1절 워크플로우 트랙 ⓑ</t>
        </is>
      </c>
      <c r="M222" s="10" t="inlineStr">
        <is>
          <t>화면 ID 미부여 — 부여 시 TC-ID 이관 대상</t>
        </is>
      </c>
      <c r="N222" s="10" t="inlineStr"/>
    </row>
    <row r="223">
      <c r="A223" s="5" t="n">
        <v>222</v>
      </c>
      <c r="B223" s="10" t="inlineStr">
        <is>
          <t>TC-2-5-1-06</t>
        </is>
      </c>
      <c r="C223" s="10" t="inlineStr">
        <is>
          <t>07-대중교통</t>
        </is>
      </c>
      <c r="D223" s="10" t="inlineStr">
        <is>
          <t>2-5-1</t>
        </is>
      </c>
      <c r="E223" s="10" t="inlineStr">
        <is>
          <t>C-3 · C-6</t>
        </is>
      </c>
      <c r="F223" s="5" t="inlineStr">
        <is>
          <t>기능</t>
        </is>
      </c>
      <c r="G223" s="12" t="inlineStr">
        <is>
          <t>보류</t>
        </is>
      </c>
      <c r="H223" s="10" t="inlineStr">
        <is>
          <t>S1 · 저상 차량이 없는 노선</t>
        </is>
      </c>
      <c r="I223" s="10" t="inlineStr">
        <is>
          <t>1. 노선 상세에서 [승차 예약] 버튼의 유무·상태를 확인</t>
        </is>
      </c>
      <c r="J223" s="10" t="inlineStr">
        <is>
          <t>판정 불가 — 숨김인지 비활성인지 미확정이다. 비활성으로 정해지면 사유를 텍스트로 알려야 한다는 조건만 확정돼 있다</t>
        </is>
      </c>
      <c r="K223" s="10" t="inlineStr"/>
      <c r="L223" s="10" t="inlineStr">
        <is>
          <t>UX 07-대중교통 4.4절 예외(저상 차량이 없다) · 4.5절 미확정</t>
        </is>
      </c>
      <c r="M223" s="10" t="inlineStr">
        <is>
          <t>화면 ID 미부여 — 부여 시 TC-ID 이관 대상. 2-6의 같은 항목과 한 축이다</t>
        </is>
      </c>
      <c r="N223" s="10" t="inlineStr"/>
    </row>
    <row r="224">
      <c r="A224" s="5" t="n">
        <v>223</v>
      </c>
      <c r="B224" s="10" t="inlineStr">
        <is>
          <t>TC-BUS-01-01</t>
        </is>
      </c>
      <c r="C224" s="10" t="inlineStr">
        <is>
          <t>07-대중교통</t>
        </is>
      </c>
      <c r="D224" s="10" t="inlineStr">
        <is>
          <t>BUS-01</t>
        </is>
      </c>
      <c r="E224" s="10" t="inlineStr">
        <is>
          <t>V-3 · SC-07</t>
        </is>
      </c>
      <c r="F224" s="5" t="inlineStr">
        <is>
          <t>기능</t>
        </is>
      </c>
      <c r="G224" s="5" t="inlineStr">
        <is>
          <t>미실행</t>
        </is>
      </c>
      <c r="H224" s="10" t="inlineStr">
        <is>
          <t>S1 · 2-5에서 406번 예약 화면 진입</t>
        </is>
      </c>
      <c r="I224" s="10" t="inlineStr">
        <is>
          <t>1. 표 머리와 본문 행의 구성 요소를 확인
2. 각 행의 구분 값 표기 방식을 확인</t>
        </is>
      </c>
      <c r="J224" s="10" t="inlineStr">
        <is>
          <t>현재 시간 기준 시간표가 시간 + 구분으로 표출되고, 구분이 「저상」/「일반」 텍스트로 적힌다(색 단독 아님)</t>
        </is>
      </c>
      <c r="K224" s="10" t="inlineStr"/>
      <c r="L224" s="10" t="inlineStr">
        <is>
          <t>UX 07-대중교통 5.4절 구성 ③ ④ · 5.5절 요소 1</t>
        </is>
      </c>
      <c r="M224" s="10" t="inlineStr"/>
      <c r="N224" s="10" t="inlineStr"/>
    </row>
    <row r="225">
      <c r="A225" s="5" t="n">
        <v>224</v>
      </c>
      <c r="B225" s="10" t="inlineStr">
        <is>
          <t>TC-BUS-01-02</t>
        </is>
      </c>
      <c r="C225" s="10" t="inlineStr">
        <is>
          <t>07-대중교통</t>
        </is>
      </c>
      <c r="D225" s="10" t="inlineStr">
        <is>
          <t>BUS-01</t>
        </is>
      </c>
      <c r="E225" s="10" t="inlineStr">
        <is>
          <t>SC-07 · C-3</t>
        </is>
      </c>
      <c r="F225" s="5" t="inlineStr">
        <is>
          <t>기능</t>
        </is>
      </c>
      <c r="G225" s="5" t="inlineStr">
        <is>
          <t>미실행</t>
        </is>
      </c>
      <c r="H225" s="10" t="inlineStr">
        <is>
          <t>S1 · 저상·일반이 섞인 시간표 · 현재 시각보다 이전 편이 목록에 남아 있는 상태</t>
        </is>
      </c>
      <c r="I225" s="10" t="inlineStr">
        <is>
          <t>1. 일반 행에 [승차 예약]이 있는지 확인
2. 현재 시각보다 이전 시간 행의 [승차 예약] 상태를 확인</t>
        </is>
      </c>
      <c r="J225" s="10" t="inlineStr">
        <is>
          <t>[승차 예약]은 저상 행에만 활성이고, 이전 시간의 버스 행에서는 비활성이다</t>
        </is>
      </c>
      <c r="K225" s="10" t="inlineStr"/>
      <c r="L225" s="10" t="inlineStr">
        <is>
          <t>UX 07-대중교통 5.5절 요소 3</t>
        </is>
      </c>
      <c r="M225" s="10" t="inlineStr"/>
      <c r="N225" s="10" t="inlineStr"/>
    </row>
    <row r="226">
      <c r="A226" s="5" t="n">
        <v>225</v>
      </c>
      <c r="B226" s="10" t="inlineStr">
        <is>
          <t>TC-BUS-01-03</t>
        </is>
      </c>
      <c r="C226" s="10" t="inlineStr">
        <is>
          <t>07-대중교통</t>
        </is>
      </c>
      <c r="D226" s="10" t="inlineStr">
        <is>
          <t>BUS-01</t>
        </is>
      </c>
      <c r="E226" s="10" t="inlineStr">
        <is>
          <t>C-6 · AC-05 · V-6</t>
        </is>
      </c>
      <c r="F226" s="5" t="inlineStr">
        <is>
          <t>접근성</t>
        </is>
      </c>
      <c r="G226" s="5" t="inlineStr">
        <is>
          <t>미실행</t>
        </is>
      </c>
      <c r="H226" s="10" t="inlineStr">
        <is>
          <t>S2 · 비활성 [승차 예약]이 있는 행</t>
        </is>
      </c>
      <c r="I226" s="10" t="inlineStr">
        <is>
          <t>1. 비활성 [승차 예약]에 포커스를 올린다
2. 표시 문구와 낭독 문장을 각각 기록</t>
        </is>
      </c>
      <c r="J226" s="10" t="inlineStr">
        <is>
          <t>표시 문구는 「승차 예약」 그대로이고, 낭독은 액션 이름 + 사용할 수 없음 + 사유까지 전달한다(무음 비활성 아님)</t>
        </is>
      </c>
      <c r="K226" s="10" t="inlineStr"/>
      <c r="L226" s="10" t="inlineStr">
        <is>
          <t>00-공통 7절 비활성 컨트롤 · UX 07-대중교통 5.5절 요소 3</t>
        </is>
      </c>
      <c r="M226" s="10" t="inlineStr"/>
      <c r="N226" s="10" t="inlineStr"/>
    </row>
    <row r="227">
      <c r="A227" s="5" t="n">
        <v>226</v>
      </c>
      <c r="B227" s="10" t="inlineStr">
        <is>
          <t>TC-BUS-01-04</t>
        </is>
      </c>
      <c r="C227" s="10" t="inlineStr">
        <is>
          <t>07-대중교통</t>
        </is>
      </c>
      <c r="D227" s="10" t="inlineStr">
        <is>
          <t>BUS-01</t>
        </is>
      </c>
      <c r="E227" s="10" t="inlineStr">
        <is>
          <t>SC-07 · E-1</t>
        </is>
      </c>
      <c r="F227" s="5" t="inlineStr">
        <is>
          <t>기능</t>
        </is>
      </c>
      <c r="G227" s="5" t="inlineStr">
        <is>
          <t>미실행</t>
        </is>
      </c>
      <c r="H227" s="10" t="inlineStr">
        <is>
          <t>S1 · 정류장에서 500m 이상 떨어진 위치 · 저상 편 선택 가능</t>
        </is>
      </c>
      <c r="I227" s="10" t="inlineStr">
        <is>
          <t>1. 저상 행의 [승차 예약]을 누른다
2. BMS 발신 트래픽이 발생하는지 확인
3. 앱을 종료 후 재진입해 예약 보관 여부를 확인</t>
        </is>
      </c>
      <c r="J227" s="10" t="inlineStr">
        <is>
          <t>① 단계에서는 예약이 앱 로컬에 보관될 뿐 BMS로 발신되지 않는다</t>
        </is>
      </c>
      <c r="K227" s="10" t="inlineStr"/>
      <c r="L227" s="10" t="inlineStr">
        <is>
          <t>UX 07-대중교통 5.2절 ① 승차 예약 · 5.3절 설계 배경</t>
        </is>
      </c>
      <c r="M227" s="10" t="inlineStr">
        <is>
          <t>BMS에 스케줄 개념이 없어 탑승 가능 시점에 앱이 들고 있다가 발신한다(5.3절)</t>
        </is>
      </c>
      <c r="N227" s="10" t="inlineStr"/>
    </row>
    <row r="228">
      <c r="A228" s="5" t="n">
        <v>227</v>
      </c>
      <c r="B228" s="10" t="inlineStr">
        <is>
          <t>TC-BUS-01-05</t>
        </is>
      </c>
      <c r="C228" s="10" t="inlineStr">
        <is>
          <t>07-대중교통</t>
        </is>
      </c>
      <c r="D228" s="10" t="inlineStr">
        <is>
          <t>BUS-01</t>
        </is>
      </c>
      <c r="E228" s="10" t="inlineStr">
        <is>
          <t>V-6 · E-2</t>
        </is>
      </c>
      <c r="F228" s="5" t="inlineStr">
        <is>
          <t>기능</t>
        </is>
      </c>
      <c r="G228" s="5" t="inlineStr">
        <is>
          <t>미실행</t>
        </is>
      </c>
      <c r="H228" s="10" t="inlineStr">
        <is>
          <t>S1 · ① 승차 예약 직후</t>
        </is>
      </c>
      <c r="I228" s="10" t="inlineStr">
        <is>
          <t>1. 예약 신청 팝업의 제목과 버튼을 확인
2. 이후 ② 예약 확정 시점의 문구와 대조</t>
        </is>
      </c>
      <c r="J228" s="10" t="inlineStr">
        <is>
          <t>신청 단계 문구가 「버스 예약 신청되었습니다.」 + [확인]이고, 확정 단계와 같은 문구로 뭉치지 않는다(요청됨 ≠ 확정됨)</t>
        </is>
      </c>
      <c r="K228" s="10" t="inlineStr"/>
      <c r="L228" s="10" t="inlineStr">
        <is>
          <t>UX 07-대중교통 5.5절 요소 4 · ⛔ ①을 「완료」로 쓰지 않는다</t>
        </is>
      </c>
      <c r="M228" s="10" t="inlineStr">
        <is>
          <t>팝업 본문 문안은 U-111로 미확정 — 제목·버튼과 「신청/확정 구분」만 판정 대상이다</t>
        </is>
      </c>
      <c r="N228" s="10" t="inlineStr"/>
    </row>
    <row r="229">
      <c r="A229" s="5" t="n">
        <v>228</v>
      </c>
      <c r="B229" s="10" t="inlineStr">
        <is>
          <t>TC-BUS-01-06</t>
        </is>
      </c>
      <c r="C229" s="10" t="inlineStr">
        <is>
          <t>07-대중교통</t>
        </is>
      </c>
      <c r="D229" s="10" t="inlineStr">
        <is>
          <t>BUS-01</t>
        </is>
      </c>
      <c r="E229" s="10" t="inlineStr">
        <is>
          <t>SC-07 · FR-A5</t>
        </is>
      </c>
      <c r="F229" s="5" t="inlineStr">
        <is>
          <t>기능</t>
        </is>
      </c>
      <c r="G229" s="5" t="inlineStr">
        <is>
          <t>미실행</t>
        </is>
      </c>
      <c r="H229" s="10" t="inlineStr">
        <is>
          <t>① 승차 예약 보관 상태 · 위치·차량 위치를 조작 가능한 스텁</t>
        </is>
      </c>
      <c r="I229" s="10" t="inlineStr">
        <is>
          <t>1. 정류장 반경 50m 안으로 들어가되 차량은 5정거장 전에 둔다
2. 차량을 2정거장 전까지 이동시킨다
3. 각 시점의 BMS 발신 여부를 확인</t>
        </is>
      </c>
      <c r="J229" s="10" t="inlineStr">
        <is>
          <t>반경 50m 진입만으로는 발신되지 않고, 반경 50m ＋ 차량 2정거장 전 2조건이 모두 충족될 때 발신되고 확정 Push를 받는다</t>
        </is>
      </c>
      <c r="K229" s="10" t="inlineStr"/>
      <c r="L229" s="10" t="inlineStr">
        <is>
          <t>UX 07-대중교통 5.2절 ② 예약 확정 · 15-음성모드-실행-긴급 4절 ③ 트리거 2조건</t>
        </is>
      </c>
      <c r="M229" s="10" t="inlineStr">
        <is>
          <t>2정거장 전인 이유는 차내 안내 방송 시간 확보다(5.3절)</t>
        </is>
      </c>
      <c r="N229" s="10" t="inlineStr"/>
    </row>
    <row r="230">
      <c r="A230" s="5" t="n">
        <v>229</v>
      </c>
      <c r="B230" s="10" t="inlineStr">
        <is>
          <t>TC-BUS-01-07</t>
        </is>
      </c>
      <c r="C230" s="10" t="inlineStr">
        <is>
          <t>07-대중교통</t>
        </is>
      </c>
      <c r="D230" s="10" t="inlineStr">
        <is>
          <t>BUS-01</t>
        </is>
      </c>
      <c r="E230" s="10" t="inlineStr">
        <is>
          <t>SC-07 · FR-A5</t>
        </is>
      </c>
      <c r="F230" s="5" t="inlineStr">
        <is>
          <t>기능</t>
        </is>
      </c>
      <c r="G230" s="5" t="inlineStr">
        <is>
          <t>미실행</t>
        </is>
      </c>
      <c r="H230" s="10" t="inlineStr">
        <is>
          <t>② 예약 확정 완료 상태</t>
        </is>
      </c>
      <c r="I230" s="10" t="inlineStr">
        <is>
          <t>1. 차량을 정류장 폴대 기준 60m·시속 3km 상태로 둔다
2. 차량을 40m·시속 3km로 이동시킨다
3. 각 시점의 탑승 준비 Push 수신 여부를 확인</t>
        </is>
      </c>
      <c r="J230" s="10" t="inlineStr">
        <is>
          <t>폴대 기준 50m 미만 ＋ 시속 5km 미만일 때만 도착 판정으로 ③ 탑승 준비 Push가 온다(② 확정 반경 50m와 같은 판정으로 뭉치지 않는다)</t>
        </is>
      </c>
      <c r="K230" s="10" t="inlineStr"/>
      <c r="L230" s="10" t="inlineStr">
        <is>
          <t>UX 07-대중교통 5.2절 ③ 탑승 준비 · 5.2절 ⚠️ 50m 3자리 구분</t>
        </is>
      </c>
      <c r="M230" s="10" t="inlineStr">
        <is>
          <t>③의 도착 플래그는 동행맵 때문에 BMS에 신설된 정보다</t>
        </is>
      </c>
      <c r="N230" s="10" t="inlineStr"/>
    </row>
    <row r="231">
      <c r="A231" s="5" t="n">
        <v>230</v>
      </c>
      <c r="B231" s="10" t="inlineStr">
        <is>
          <t>TC-BUS-01-08</t>
        </is>
      </c>
      <c r="C231" s="10" t="inlineStr">
        <is>
          <t>07-대중교통</t>
        </is>
      </c>
      <c r="D231" s="10" t="inlineStr">
        <is>
          <t>BUS-01</t>
        </is>
      </c>
      <c r="E231" s="10" t="inlineStr">
        <is>
          <t>E-5</t>
        </is>
      </c>
      <c r="F231" s="5" t="inlineStr">
        <is>
          <t>비기능</t>
        </is>
      </c>
      <c r="G231" s="5" t="inlineStr">
        <is>
          <t>미실행</t>
        </is>
      </c>
      <c r="H231" s="10" t="inlineStr">
        <is>
          <t>앱 소스·원격 설정 접근 가능</t>
        </is>
      </c>
      <c r="I231" s="10" t="inlineStr">
        <is>
          <t>1. 예약 확정 반경·도착 판정 거리·속도 임계값이 어디에서 읽히는지 확인
2. 값을 바꿔 앱 빌드 없이 반영되는지 확인</t>
        </is>
      </c>
      <c r="J231" s="10" t="inlineStr">
        <is>
          <t>정책 파라미터가 화면·로직에 하드코딩돼 있지 않고 상수·설정으로 분리돼 있다</t>
        </is>
      </c>
      <c r="K231" s="10" t="inlineStr"/>
      <c r="L231" s="10" t="inlineStr">
        <is>
          <t>UX 07-대중교통 5.3절 ★ 구현 시 반경은 상수로 분리 · PRD 1부 4.6 E-5</t>
        </is>
      </c>
      <c r="M231" s="10" t="inlineStr">
        <is>
          <t>값 50m는 확정이나 서울시 요청으로 바뀔 수 있다(U-109)</t>
        </is>
      </c>
      <c r="N231" s="10" t="inlineStr"/>
    </row>
    <row r="232">
      <c r="A232" s="5" t="n">
        <v>231</v>
      </c>
      <c r="B232" s="10" t="inlineStr">
        <is>
          <t>TC-BUS-01-09</t>
        </is>
      </c>
      <c r="C232" s="10" t="inlineStr">
        <is>
          <t>07-대중교통</t>
        </is>
      </c>
      <c r="D232" s="10" t="inlineStr">
        <is>
          <t>BUS-01</t>
        </is>
      </c>
      <c r="E232" s="10" t="inlineStr">
        <is>
          <t>SC-07 · V-3</t>
        </is>
      </c>
      <c r="F232" s="5" t="inlineStr">
        <is>
          <t>기능</t>
        </is>
      </c>
      <c r="G232" s="5" t="inlineStr">
        <is>
          <t>미실행</t>
        </is>
      </c>
      <c r="H232" s="10" t="inlineStr">
        <is>
          <t>③ 탑승 준비 Push 수신 후 정류장 반경 50m를 벗어난 시점</t>
        </is>
      </c>
      <c r="I232" s="10" t="inlineStr">
        <is>
          <t>1. 팝업의 제목·본문·버튼 문자열과 좌우 배치를 확인</t>
        </is>
      </c>
      <c r="J232" s="10" t="inlineStr">
        <is>
          <t>제목 「탑승 확인」 · 본문 「버스에 탑승하셨습니까?」 · 버튼 [아니요] / [네]이고 긍정 버튼이 오른쪽이다</t>
        </is>
      </c>
      <c r="K232" s="10" t="inlineStr"/>
      <c r="L232" s="10" t="inlineStr">
        <is>
          <t>UX 07-대중교통 5.4절 구성 ⑥ · 5.5절 요소 5</t>
        </is>
      </c>
      <c r="M232" s="10" t="inlineStr">
        <is>
          <t>로그인 팝업 [닫기]/[로그인] 배치를 승계한다</t>
        </is>
      </c>
      <c r="N232" s="10" t="inlineStr"/>
    </row>
    <row r="233">
      <c r="A233" s="5" t="n">
        <v>232</v>
      </c>
      <c r="B233" s="10" t="inlineStr">
        <is>
          <t>TC-BUS-01-10</t>
        </is>
      </c>
      <c r="C233" s="10" t="inlineStr">
        <is>
          <t>07-대중교통</t>
        </is>
      </c>
      <c r="D233" s="10" t="inlineStr">
        <is>
          <t>BUS-01</t>
        </is>
      </c>
      <c r="E233" s="10" t="inlineStr">
        <is>
          <t>AC-05 · NFR-05 · V-1</t>
        </is>
      </c>
      <c r="F233" s="5" t="inlineStr">
        <is>
          <t>접근성</t>
        </is>
      </c>
      <c r="G233" s="5" t="inlineStr">
        <is>
          <t>미실행</t>
        </is>
      </c>
      <c r="H233" s="10" t="inlineStr">
        <is>
          <t>S2 · 탑승 확인 팝업 표출</t>
        </is>
      </c>
      <c r="I233" s="10" t="inlineStr">
        <is>
          <t>1. 두 버튼에 각각 포커스를 올려 낭독 문장을 받아 적는다
2. 화면 표시 문구와 대조</t>
        </is>
      </c>
      <c r="J233" s="10" t="inlineStr">
        <is>
          <t>화면은 「네」/「아니요」이고 낭독은 「네, 탑승했습니다 버튼」·「아니요, 못 탔습니다 버튼」으로 따로 읽힌다</t>
        </is>
      </c>
      <c r="K233" s="10" t="inlineStr"/>
      <c r="L233" s="10" t="inlineStr">
        <is>
          <t>UX 07-대중교통 5.5절 요소 5 · 5.6절 비시각 레이어</t>
        </is>
      </c>
      <c r="M233" s="10" t="inlineStr"/>
      <c r="N233" s="10" t="inlineStr"/>
    </row>
    <row r="234">
      <c r="A234" s="5" t="n">
        <v>233</v>
      </c>
      <c r="B234" s="10" t="inlineStr">
        <is>
          <t>TC-BUS-01-11</t>
        </is>
      </c>
      <c r="C234" s="10" t="inlineStr">
        <is>
          <t>07-대중교통</t>
        </is>
      </c>
      <c r="D234" s="10" t="inlineStr">
        <is>
          <t>BUS-01</t>
        </is>
      </c>
      <c r="E234" s="10" t="inlineStr">
        <is>
          <t>V-1 · V-3 · SC-07</t>
        </is>
      </c>
      <c r="F234" s="5" t="inlineStr">
        <is>
          <t>기능</t>
        </is>
      </c>
      <c r="G234" s="12" t="inlineStr">
        <is>
          <t>보류</t>
        </is>
      </c>
      <c r="H234" s="10" t="inlineStr">
        <is>
          <t>S1 · ① 승차 예약 접수 후 ② 확정 전</t>
        </is>
      </c>
      <c r="I234" s="10" t="inlineStr">
        <is>
          <t>1. 화면에서 현재 단계를 나타내는 표시를 찾는다</t>
        </is>
      </c>
      <c r="J234" s="10" t="inlineStr">
        <is>
          <t>판정 불가 — ①~④ 현재 상태를 상시 표출한다는 요건은 확정이나 표출의 위치·형태가 미확정이다(색 단독 금지만 확정)</t>
        </is>
      </c>
      <c r="K234" s="10" t="inlineStr"/>
      <c r="L234" s="10" t="inlineStr">
        <is>
          <t>UX 07-대중교통 5.6절 시각 레이어(S1)</t>
        </is>
      </c>
      <c r="M234" s="10" t="inlineStr"/>
      <c r="N234" s="10" t="inlineStr"/>
    </row>
    <row r="235">
      <c r="A235" s="5" t="n">
        <v>234</v>
      </c>
      <c r="B235" s="10" t="inlineStr">
        <is>
          <t>TC-BUS-01-12</t>
        </is>
      </c>
      <c r="C235" s="10" t="inlineStr">
        <is>
          <t>07-대중교통</t>
        </is>
      </c>
      <c r="D235" s="10" t="inlineStr">
        <is>
          <t>BUS-01</t>
        </is>
      </c>
      <c r="E235" s="10" t="inlineStr">
        <is>
          <t>V-1 · E-2 · AC-05 · US-04</t>
        </is>
      </c>
      <c r="F235" s="5" t="inlineStr">
        <is>
          <t>접근성</t>
        </is>
      </c>
      <c r="G235" s="5" t="inlineStr">
        <is>
          <t>미실행</t>
        </is>
      </c>
      <c r="H235" s="10" t="inlineStr">
        <is>
          <t>S2 · ① 승차 예약 보관 상태 · 스크린리더 켬</t>
        </is>
      </c>
      <c r="I235" s="10" t="inlineStr">
        <is>
          <t>1. ② 예약 확정 조건을 충족시켜 Push를 발생시킨다
2. ③ 탑승 준비 Push를 발생시킨다
3. 각 시점에 전달되는 채널(음성·진동·시각)을 기록</t>
        </is>
      </c>
      <c r="J235" s="10" t="inlineStr">
        <is>
          <t>② ③ 모두 음성 고지 + 진동 + 시각 3채널로 전달되고 대기 중 상태 변화는 aria-live로 알려진다. 진동 단독으로 끝나지 않는다</t>
        </is>
      </c>
      <c r="K235" s="10" t="inlineStr"/>
      <c r="L235" s="10" t="inlineStr">
        <is>
          <t>UX 07-대중교통 5.6절 비시각 레이어(S2) · 15-음성모드-실행-긴급 4절 ③</t>
        </is>
      </c>
      <c r="M235" s="10" t="inlineStr">
        <is>
          <t>전맹 사용자에게 ②는 시각으로 확인할 수 없는 단계라 무음이면 실패다</t>
        </is>
      </c>
      <c r="N235" s="10" t="inlineStr"/>
    </row>
    <row r="236">
      <c r="A236" s="5" t="n">
        <v>235</v>
      </c>
      <c r="B236" s="10" t="inlineStr">
        <is>
          <t>TC-BUS-01-13</t>
        </is>
      </c>
      <c r="C236" s="10" t="inlineStr">
        <is>
          <t>07-대중교통</t>
        </is>
      </c>
      <c r="D236" s="10" t="inlineStr">
        <is>
          <t>BUS-01 · BUS-03 · 2-5-1</t>
        </is>
      </c>
      <c r="E236" s="10" t="inlineStr">
        <is>
          <t>US-04 · SC-07</t>
        </is>
      </c>
      <c r="F236" s="5" t="inlineStr">
        <is>
          <t>시나리오</t>
        </is>
      </c>
      <c r="G236" s="5" t="inlineStr">
        <is>
          <t>미실행</t>
        </is>
      </c>
      <c r="H236" s="10" t="inlineStr">
        <is>
          <t>S1 · 정류장 근처 · 목적 노선에 저상 편 운행 중</t>
        </is>
      </c>
      <c r="I236" s="10" t="inlineStr">
        <is>
          <t>1. 1-3에서 정류장을 찾아 2-5로 들어간다
2. 저상 노선을 골라 [저상버스 승차 예약]으로 2-6에 들어간다
3. 저상 편을 예약하고 정류장으로 이동한다
4. ② 확정 · ③ 탑승 준비 Push를 받는다
5. 버스에 타고 ④ 탑승 확인 팝업에 [네]로 답한다</t>
        </is>
      </c>
      <c r="J236" s="10" t="inlineStr">
        <is>
          <t>접근 상황이 단계적으로 사전 안내되고 각 알림이 음성·진동·시각으로 함께 오며, 예약 발신으로 기사에게 탑승 의사가 전달돼 4단계가 끊기지 않고 종결된다</t>
        </is>
      </c>
      <c r="K236" s="10" t="inlineStr"/>
      <c r="L236" s="10" t="inlineStr">
        <is>
          <t>UX 07-대중교통 1절 워크플로우 · 5.2절 4단계 · PRD 1부 US-04</t>
        </is>
      </c>
      <c r="M236" s="10" t="inlineStr"/>
      <c r="N236" s="10" t="inlineStr"/>
    </row>
    <row r="237">
      <c r="A237" s="5" t="n">
        <v>236</v>
      </c>
      <c r="B237" s="10" t="inlineStr">
        <is>
          <t>TC-BUS-01-14</t>
        </is>
      </c>
      <c r="C237" s="10" t="inlineStr">
        <is>
          <t>07-대중교통</t>
        </is>
      </c>
      <c r="D237" s="10" t="inlineStr">
        <is>
          <t>BUS-01</t>
        </is>
      </c>
      <c r="E237" s="10" t="inlineStr">
        <is>
          <t>US-05 · SC-07</t>
        </is>
      </c>
      <c r="F237" s="5" t="inlineStr">
        <is>
          <t>시나리오</t>
        </is>
      </c>
      <c r="G237" s="12" t="inlineStr">
        <is>
          <t>보류</t>
        </is>
      </c>
      <c r="H237" s="10" t="inlineStr">
        <is>
          <t>S1 · 2-6 진입</t>
        </is>
      </c>
      <c r="I237" s="10" t="inlineStr">
        <is>
          <t>1. 화면에서 하차 정류장을 지정하는 조작을 찾는다
2. 탑승 후 하차 준비 안내가 어디서 오는지 확인</t>
        </is>
      </c>
      <c r="J237" s="10" t="inlineStr">
        <is>
          <t>판정 불가 — 화면에 하차 관련 조작이 없다는 것은 확정이나, RFP SFR-002의 하차 정류장 지정 요구와 어긋나 있고(U-112) PRD 4.6 Reservation.alightStopId를 채울 지점이 미정이다. 하차 알림·안내(US-05)는 예약이 아니라 안내라 살아 있으나 이 화면이 담지 않는다</t>
        </is>
      </c>
      <c r="K237" s="10" t="inlineStr"/>
      <c r="L237" s="10" t="inlineStr">
        <is>
          <t>UX 07-대중교통 5.1절 ★ 하차 예약은 없다 · 5.8절 U-112</t>
        </is>
      </c>
      <c r="M237" s="10" t="inlineStr">
        <is>
          <t>PM → 발주처 합의 안건</t>
        </is>
      </c>
      <c r="N237" s="10" t="inlineStr"/>
    </row>
    <row r="238">
      <c r="A238" s="5" t="n">
        <v>237</v>
      </c>
      <c r="B238" s="10" t="inlineStr">
        <is>
          <t>TC-BUS-01-15</t>
        </is>
      </c>
      <c r="C238" s="10" t="inlineStr">
        <is>
          <t>07-대중교통</t>
        </is>
      </c>
      <c r="D238" s="10" t="inlineStr">
        <is>
          <t>BUS-01</t>
        </is>
      </c>
      <c r="E238" s="10" t="inlineStr">
        <is>
          <t>SC-07 · FR-R4 · E-1 · V-3</t>
        </is>
      </c>
      <c r="F238" s="5" t="inlineStr">
        <is>
          <t>기능</t>
        </is>
      </c>
      <c r="G238" s="12" t="inlineStr">
        <is>
          <t>보류</t>
        </is>
      </c>
      <c r="H238" s="10" t="inlineStr">
        <is>
          <t>예약 1건 이상 보유</t>
        </is>
      </c>
      <c r="I238" s="10" t="inlineStr">
        <is>
          <t>1. 예약 상태를 조회하는 화면으로 이동
2. 상태 9종(신청·완료·변경·취소·탑승대기·탑승완료·미탑승·하차완료·만료)의 텍스트+아이콘 병기를 확인</t>
        </is>
      </c>
      <c r="J238" s="10" t="inlineStr">
        <is>
          <t>판정 불가 — 예약 상태 조회 화면이 없다. 담당 화면 BUS-02가 결번이고 요건(SC-07·상태 9종)은 살아 있다(U-18·U-35). 4단계와 상태 9종의 매핑도 U-18로 미해소라 앱이 상태를 파생·추정할 수 없다(E-1)</t>
        </is>
      </c>
      <c r="K238" s="10" t="inlineStr"/>
      <c r="L238" s="10" t="inlineStr">
        <is>
          <t>PRD 1부 4.6 ReservationStatus 9종 · PRD 2부 7.4 SC-07 · UX 허브 결번 표</t>
        </is>
      </c>
      <c r="M238" s="10" t="inlineStr">
        <is>
          <t>UX 07·11·15 어디에도 예약 상태 조회 화면이 없다</t>
        </is>
      </c>
      <c r="N238" s="10" t="inlineStr"/>
    </row>
    <row r="239">
      <c r="A239" s="5" t="n">
        <v>238</v>
      </c>
      <c r="B239" s="10" t="inlineStr">
        <is>
          <t>TC-BUS-01-16</t>
        </is>
      </c>
      <c r="C239" s="10" t="inlineStr">
        <is>
          <t>07-대중교통</t>
        </is>
      </c>
      <c r="D239" s="10" t="inlineStr">
        <is>
          <t>BUS-01</t>
        </is>
      </c>
      <c r="E239" s="10" t="inlineStr">
        <is>
          <t>FR-R4 · SC-07</t>
        </is>
      </c>
      <c r="F239" s="5" t="inlineStr">
        <is>
          <t>기능</t>
        </is>
      </c>
      <c r="G239" s="12" t="inlineStr">
        <is>
          <t>보류</t>
        </is>
      </c>
      <c r="H239" s="10" t="inlineStr">
        <is>
          <t>과거 탑승 이력 2개월치 보유</t>
        </is>
      </c>
      <c r="I239" s="10" t="inlineStr">
        <is>
          <t>1. 이용 이력 화면으로 이동해 기간을 지정 조회
2. 월별 이용횟수 등 기초 통계 표출을 확인</t>
        </is>
      </c>
      <c r="J239" s="10" t="inlineStr">
        <is>
          <t>판정 불가 — 이용 이력 화면이 없다. 담당 화면 BUS-04가 결번이고 요건(FR-R4 이용 이력·기초 통계)은 살아 있다(U-35)</t>
        </is>
      </c>
      <c r="K239" s="10" t="inlineStr"/>
      <c r="L239" s="10" t="inlineStr">
        <is>
          <t>PRD 1부 4.6 TripHistory · PRD 2부 7.4 SC-07(이력 기간별 조회 + 기초 통계) · UX 허브 결번 표</t>
        </is>
      </c>
      <c r="M239" s="10" t="inlineStr"/>
      <c r="N239" s="10" t="inlineStr"/>
    </row>
    <row r="240">
      <c r="A240" s="5" t="n">
        <v>239</v>
      </c>
      <c r="B240" s="10" t="inlineStr">
        <is>
          <t>TC-BUS-01-17</t>
        </is>
      </c>
      <c r="C240" s="10" t="inlineStr">
        <is>
          <t>07-대중교통</t>
        </is>
      </c>
      <c r="D240" s="10" t="inlineStr">
        <is>
          <t>BUS-01</t>
        </is>
      </c>
      <c r="E240" s="10" t="inlineStr">
        <is>
          <t>SC-07 · FR-R4 · E-2</t>
        </is>
      </c>
      <c r="F240" s="5" t="inlineStr">
        <is>
          <t>기능</t>
        </is>
      </c>
      <c r="G240" s="12" t="inlineStr">
        <is>
          <t>보류</t>
        </is>
      </c>
      <c r="H240" s="10" t="inlineStr">
        <is>
          <t>예약 1건 보유</t>
        </is>
      </c>
      <c r="I240" s="10" t="inlineStr">
        <is>
          <t>1. 예약을 변경·취소하는 경로를 찾는다
2. BMS가 거절한 예약의 사유 안내와 대안 제시를 확인</t>
        </is>
      </c>
      <c r="J240" s="10" t="inlineStr">
        <is>
          <t>판정 불가 — 예약 변경·취소 경로가 UX 미확정이고, 15-음성모드 4절은 발신 후 취소 불가(BIS에 취소 기능 없음)를 적는다. 거절 시 사유 명시 + 재예약·대체 이동경로 안내(SC-07·E-2) 화면 사양이 없다</t>
        </is>
      </c>
      <c r="K240" s="10" t="inlineStr"/>
      <c r="L240" s="10" t="inlineStr">
        <is>
          <t>PRD 2부 7.4 SC-07(예약 신청·변경·취소 · 거절 시 사유 + 대안) · UX 07-대중교통 5.8절 · 15-음성모드-실행-긴급 4절 ②</t>
        </is>
      </c>
      <c r="M240" s="10" t="inlineStr"/>
      <c r="N240" s="10" t="inlineStr"/>
    </row>
    <row r="241">
      <c r="A241" s="5" t="n">
        <v>240</v>
      </c>
      <c r="B241" s="10" t="inlineStr">
        <is>
          <t>TC-BUS-01-18</t>
        </is>
      </c>
      <c r="C241" s="10" t="inlineStr">
        <is>
          <t>07-대중교통</t>
        </is>
      </c>
      <c r="D241" s="10" t="inlineStr">
        <is>
          <t>BUS-01</t>
        </is>
      </c>
      <c r="E241" s="10" t="inlineStr">
        <is>
          <t>NFR-08 · SC-07</t>
        </is>
      </c>
      <c r="F241" s="5" t="inlineStr">
        <is>
          <t>기능</t>
        </is>
      </c>
      <c r="G241" s="12" t="inlineStr">
        <is>
          <t>보류</t>
        </is>
      </c>
      <c r="H241" s="10" t="inlineStr">
        <is>
          <t>① 승차 예약 접수 후 방치</t>
        </is>
      </c>
      <c r="I241" s="10" t="inlineStr">
        <is>
          <t>1. 예약을 30분 이상 방치한다
2. 예약 상태와 연장·해제 수단 유무를 확인</t>
        </is>
      </c>
      <c r="J241" s="10" t="inlineStr">
        <is>
          <t>판정 불가 — 두 문서가 갈린다. 15-음성모드 4절은 「30분 자동 취소는 만료로 승계」라 적고, 07 5.7절은 자동 소멸 정책 미정(2단계 이월)으로 둔다. 시간 제한이 있다면 NFR-08의 연장·해제 수단이 필요한데 그 수단도 정의돼 있지 않다</t>
        </is>
      </c>
      <c r="K241" s="10" t="inlineStr"/>
      <c r="L241" s="10" t="inlineStr">
        <is>
          <t>UX 07-대중교통 5.7절 예외(④ 팝업에 답하지 않았다) · 15-음성모드-실행-긴급 4절 예약 취소(②)</t>
        </is>
      </c>
      <c r="M241" s="10" t="inlineStr"/>
      <c r="N241" s="10" t="inlineStr"/>
    </row>
    <row r="242">
      <c r="A242" s="5" t="n">
        <v>241</v>
      </c>
      <c r="B242" s="10" t="inlineStr">
        <is>
          <t>TC-BUS-01-19</t>
        </is>
      </c>
      <c r="C242" s="10" t="inlineStr">
        <is>
          <t>07-대중교통</t>
        </is>
      </c>
      <c r="D242" s="10" t="inlineStr">
        <is>
          <t>BUS-01</t>
        </is>
      </c>
      <c r="E242" s="10" t="inlineStr">
        <is>
          <t>FR-A1 · SC-07</t>
        </is>
      </c>
      <c r="F242" s="5" t="inlineStr">
        <is>
          <t>기능</t>
        </is>
      </c>
      <c r="G242" s="12" t="inlineStr">
        <is>
          <t>보류</t>
        </is>
      </c>
      <c r="H242" s="10" t="inlineStr">
        <is>
          <t>출퇴근 시간대 · 혼잡 차량이 접근 중인 상태</t>
        </is>
      </c>
      <c r="I242" s="10" t="inlineStr">
        <is>
          <t>1. 예약 화면에서 혼잡도 표시와 차기 차량 유도 안내를 확인</t>
        </is>
      </c>
      <c r="J242" s="10" t="inlineStr">
        <is>
          <t>판정 불가 — 두 문서가 갈린다. PRD 1.5는 FR-A1(혼잡 차량 대신 차기 차량 탑승 유도·안내)을 계약 요건으로 두고, UX 15-음성모드 4절 ④는 혼잡도를 2027-01-04 이후 고도화 단계 배정으로 이번 릴리즈 범위 밖이라 적는다. 2-6 화면에도 혼잡도 요소가 없다</t>
        </is>
      </c>
      <c r="K242" s="10" t="inlineStr"/>
      <c r="L242" s="10" t="inlineStr">
        <is>
          <t>PRD 1부 1.5 FR-A1 · 15-음성모드-실행-긴급 4절 ④ 만차·혼잡도</t>
        </is>
      </c>
      <c r="M242" s="10" t="inlineStr"/>
      <c r="N242" s="10" t="inlineStr"/>
    </row>
    <row r="243">
      <c r="A243" s="5" t="n">
        <v>242</v>
      </c>
      <c r="B243" s="10" t="inlineStr">
        <is>
          <t>TC-BUS-01-20</t>
        </is>
      </c>
      <c r="C243" s="10" t="inlineStr">
        <is>
          <t>07-대중교통</t>
        </is>
      </c>
      <c r="D243" s="10" t="inlineStr">
        <is>
          <t>BUS-01 · BUS-03</t>
        </is>
      </c>
      <c r="E243" s="10" t="inlineStr">
        <is>
          <t>FR-A2</t>
        </is>
      </c>
      <c r="F243" s="5" t="inlineStr">
        <is>
          <t>기능</t>
        </is>
      </c>
      <c r="G243" s="12" t="inlineStr">
        <is>
          <t>보류</t>
        </is>
      </c>
      <c r="H243" s="10" t="inlineStr">
        <is>
          <t>집회 등으로 우회 운행 중인 노선</t>
        </is>
      </c>
      <c r="I243" s="10" t="inlineStr">
        <is>
          <t>1. 우회 운행 사실이 시간표·도착 정보에 반영되는지 확인
2. [새로고침]을 누르지 않은 상태에서도 갱신되는지 확인</t>
        </is>
      </c>
      <c r="J243" s="10" t="inlineStr">
        <is>
          <t>판정 불가 — 화면 사양이 [새로고침](수동)만 정의하고, 우회 운행 정보의 표출 위치·문안·자동 갱신 주기가 07 파일에 없다</t>
        </is>
      </c>
      <c r="K243" s="10" t="inlineStr"/>
      <c r="L243" s="10" t="inlineStr">
        <is>
          <t>PRD 1부 1.5 FR-A2(버스 우회 운행 정보 실시간 반영) · UX 07-대중교통 5.5절 요소 2</t>
        </is>
      </c>
      <c r="M243" s="10" t="inlineStr">
        <is>
          <t>15-음성모드-실행-긴급은 우회·지연·사고를 긴급 알림 우선순위로만 다룬다</t>
        </is>
      </c>
      <c r="N243" s="10" t="inlineStr"/>
    </row>
    <row r="244">
      <c r="A244" s="5" t="n">
        <v>243</v>
      </c>
      <c r="B244" s="10" t="inlineStr">
        <is>
          <t>TC-BUS-01-21</t>
        </is>
      </c>
      <c r="C244" s="10" t="inlineStr">
        <is>
          <t>07-대중교통</t>
        </is>
      </c>
      <c r="D244" s="10" t="inlineStr">
        <is>
          <t>BUS-01 · BUS-03</t>
        </is>
      </c>
      <c r="E244" s="10" t="inlineStr">
        <is>
          <t>MB-7 · FR-A5</t>
        </is>
      </c>
      <c r="F244" s="5" t="inlineStr">
        <is>
          <t>비기능</t>
        </is>
      </c>
      <c r="G244" s="5" t="inlineStr">
        <is>
          <t>미실행</t>
        </is>
      </c>
      <c r="H244" s="10" t="inlineStr">
        <is>
          <t>앱 소스·네트워크 캡처 가능</t>
        </is>
      </c>
      <c r="I244" s="10" t="inlineStr">
        <is>
          <t>1. 예약 발신·도착 정보 조회·이력 조회의 호출 대상 호스트를 캡처
2. feature 모듈이 BMS·티머니GO를 직접 호출하는 코드가 있는지 확인</t>
        </is>
      </c>
      <c r="J244" s="10" t="inlineStr">
        <is>
          <t>외부 연계가 아로 통합 백엔드 단일 창구를 경유하고, feature 모듈이 3기 BMS·티머니GO를 직접 호출하지 않는다</t>
        </is>
      </c>
      <c r="K244" s="10" t="inlineStr"/>
      <c r="L244" s="10" t="inlineStr">
        <is>
          <t>PRD 2부 5절 MB-7 · 5.5절(아로 통합 백엔드 경유 확정)</t>
        </is>
      </c>
      <c r="M244" s="10" t="inlineStr"/>
      <c r="N244" s="10" t="inlineStr"/>
    </row>
    <row r="245">
      <c r="A245" s="5" t="n">
        <v>244</v>
      </c>
      <c r="B245" s="10" t="inlineStr">
        <is>
          <t>TC-BUS-01-22</t>
        </is>
      </c>
      <c r="C245" s="10" t="inlineStr">
        <is>
          <t>07-대중교통</t>
        </is>
      </c>
      <c r="D245" s="10" t="inlineStr">
        <is>
          <t>BUS-01</t>
        </is>
      </c>
      <c r="E245" s="10" t="inlineStr">
        <is>
          <t>NFR-02 · NFR-04 · AC-06 · T-4</t>
        </is>
      </c>
      <c r="F245" s="5" t="inlineStr">
        <is>
          <t>비기능</t>
        </is>
      </c>
      <c r="G245" s="5" t="inlineStr">
        <is>
          <t>미실행</t>
        </is>
      </c>
      <c r="H245" s="10" t="inlineStr">
        <is>
          <t>S1 · 시스템 글자 크기 200% · 시간표 10행 이상</t>
        </is>
      </c>
      <c r="I245" s="10" t="inlineStr">
        <is>
          <t>1. 시간표 행의 [승차 예약]·[새로고침] 히트 영역과 간격을 측정
2. 탭·스와이프 없이 누르기만으로 표 전체와 팝업을 조작
3. 200%에서 표 머리·본문·팝업 버튼의 잘림을 확인</t>
        </is>
      </c>
      <c r="J245" s="10" t="inlineStr">
        <is>
          <t>조작 대상이 44×44pt 이상·간격 8px 이상이고 누르기만으로 제어되며, 200%에서 레이아웃이 깨지지 않는다</t>
        </is>
      </c>
      <c r="K245" s="10" t="inlineStr"/>
      <c r="L245" s="10" t="inlineStr">
        <is>
          <t>PRD 1부 NFR-02·NFR-04·AC-06 · PRD 2부 7.3 T-4 · UX 07-대중교통 5.4절</t>
        </is>
      </c>
      <c r="M245" s="10" t="inlineStr"/>
      <c r="N245" s="10" t="inlineStr"/>
    </row>
    <row r="246">
      <c r="A246" s="5" t="n">
        <v>245</v>
      </c>
      <c r="B246" s="10" t="inlineStr">
        <is>
          <t>TC-SVC-08-01</t>
        </is>
      </c>
      <c r="C246" s="10" t="inlineStr">
        <is>
          <t>07-대중교통</t>
        </is>
      </c>
      <c r="D246" s="10" t="inlineStr">
        <is>
          <t>SVC-08</t>
        </is>
      </c>
      <c r="E246" s="10" t="inlineStr">
        <is>
          <t>V-5</t>
        </is>
      </c>
      <c r="F246" s="5" t="inlineStr">
        <is>
          <t>기능</t>
        </is>
      </c>
      <c r="G246" s="5" t="inlineStr">
        <is>
          <t>미실행</t>
        </is>
      </c>
      <c r="H246" s="10" t="inlineStr">
        <is>
          <t>S1 · 홈 6메뉴 표출</t>
        </is>
      </c>
      <c r="I246" s="10" t="inlineStr">
        <is>
          <t>1. 홈 6메뉴 「지하철역」을 선택
2. 제목·검색창 placeholder·첫 진입 결과 영역을 확인</t>
        </is>
      </c>
      <c r="J246" s="10" t="inlineStr">
        <is>
          <t>제목이 「지하철역」으로 메뉴명과 이어지고 placeholder가 「지하철역 검색」(접두어 없음)이며 첫 진입 결과 영역은 없다</t>
        </is>
      </c>
      <c r="K246" s="10" t="inlineStr"/>
      <c r="L246" s="10" t="inlineStr">
        <is>
          <t>UX 07-대중교통 6.1절 진입 2경로 · 6.2절 구성 ①</t>
        </is>
      </c>
      <c r="M246" s="10" t="inlineStr">
        <is>
          <t>검색 화면 자체는 번호 미부여(U-62) — SVC-08로 묶어 집계한다</t>
        </is>
      </c>
      <c r="N246" s="10" t="inlineStr"/>
    </row>
    <row r="247">
      <c r="A247" s="5" t="n">
        <v>246</v>
      </c>
      <c r="B247" s="10" t="inlineStr">
        <is>
          <t>TC-SVC-08-02</t>
        </is>
      </c>
      <c r="C247" s="10" t="inlineStr">
        <is>
          <t>07-대중교통</t>
        </is>
      </c>
      <c r="D247" s="10" t="inlineStr">
        <is>
          <t>SVC-08</t>
        </is>
      </c>
      <c r="E247" s="10" t="inlineStr">
        <is>
          <t>V-5 · V-3</t>
        </is>
      </c>
      <c r="F247" s="5" t="inlineStr">
        <is>
          <t>기능</t>
        </is>
      </c>
      <c r="G247" s="5" t="inlineStr">
        <is>
          <t>미실행</t>
        </is>
      </c>
      <c r="H247" s="10" t="inlineStr">
        <is>
          <t>S1 · 지하철역 검색 화면</t>
        </is>
      </c>
      <c r="I247" s="10" t="inlineStr">
        <is>
          <t>1. 필터 2종의 라벨 문자열을 확인
2. 검색창 placeholder 문자열과 대조</t>
        </is>
      </c>
      <c r="J247" s="10" t="inlineStr">
        <is>
          <t>필터는 「전체」/「내 주변 지하철역」(접두어 있음)이고 placeholder는 「지하철역 검색」(접두어 없음)이다. 기본값은 「전체」다</t>
        </is>
      </c>
      <c r="K247" s="10" t="inlineStr"/>
      <c r="L247" s="10" t="inlineStr">
        <is>
          <t>UX 07-대중교통 6.4절 요소 2 · 6.6절 접두어 축 대조표</t>
        </is>
      </c>
      <c r="M247" s="10" t="inlineStr">
        <is>
          <t>필터는 범위 선택이라 범위 이름이 라벨의 뜻이고 placeholder는 입력 대상만 알린다</t>
        </is>
      </c>
      <c r="N247" s="10" t="inlineStr"/>
    </row>
    <row r="248">
      <c r="A248" s="5" t="n">
        <v>247</v>
      </c>
      <c r="B248" s="10" t="inlineStr">
        <is>
          <t>TC-SVC-08-03</t>
        </is>
      </c>
      <c r="C248" s="10" t="inlineStr">
        <is>
          <t>07-대중교통</t>
        </is>
      </c>
      <c r="D248" s="10" t="inlineStr">
        <is>
          <t>SVC-08</t>
        </is>
      </c>
      <c r="E248" s="10" t="inlineStr">
        <is>
          <t>V-4 · V-5</t>
        </is>
      </c>
      <c r="F248" s="5" t="inlineStr">
        <is>
          <t>기능</t>
        </is>
      </c>
      <c r="G248" s="5" t="inlineStr">
        <is>
          <t>미실행</t>
        </is>
      </c>
      <c r="H248" s="10" t="inlineStr">
        <is>
          <t>S1 · 5호선·7호선이 지나는 군자역 검색</t>
        </is>
      </c>
      <c r="I248" s="10" t="inlineStr">
        <is>
          <t>1. 검색 결과에서 군자역 행의 개수를 확인
2. 각 행의 노선 배지를 확인</t>
        </is>
      </c>
      <c r="J248" s="10" t="inlineStr">
        <is>
          <t>「7호선 군자역」·「5호선 군자역」이 노선마다 별도 행으로 나온다. 하나로 합치지 않는다</t>
        </is>
      </c>
      <c r="K248" s="10" t="inlineStr"/>
      <c r="L248" s="10" t="inlineStr">
        <is>
          <t>UX 07-대중교통 6.2절 구성 ③ · 6.4절 요소 3 · 6.7절 예외</t>
        </is>
      </c>
      <c r="M248" s="10" t="inlineStr"/>
      <c r="N248" s="10" t="inlineStr"/>
    </row>
    <row r="249">
      <c r="A249" s="5" t="n">
        <v>248</v>
      </c>
      <c r="B249" s="10" t="inlineStr">
        <is>
          <t>TC-SVC-08-04</t>
        </is>
      </c>
      <c r="C249" s="10" t="inlineStr">
        <is>
          <t>07-대중교통</t>
        </is>
      </c>
      <c r="D249" s="10" t="inlineStr">
        <is>
          <t>SVC-08</t>
        </is>
      </c>
      <c r="E249" s="10" t="inlineStr">
        <is>
          <t>AC-05 · NFR-05</t>
        </is>
      </c>
      <c r="F249" s="5" t="inlineStr">
        <is>
          <t>접근성</t>
        </is>
      </c>
      <c r="G249" s="5" t="inlineStr">
        <is>
          <t>미실행</t>
        </is>
      </c>
      <c r="H249" s="10" t="inlineStr">
        <is>
          <t>S2 · 군자역 검색 결과 표출</t>
        </is>
      </c>
      <c r="I249" s="10" t="inlineStr">
        <is>
          <t>1. 결과 행에 포커스를 올려 낭독 문장을 받아 적는다
2. 화면 전체 낭독 순서를 기록</t>
        </is>
      </c>
      <c r="J249" s="10" t="inlineStr">
        <is>
          <t>행이 「7호선 군자역, 버튼」처럼 노선을 역명보다 먼저 낭독하고, 전체 순서는 제목→검색창→필터(선택 상태)→결과 건수→각 행이다</t>
        </is>
      </c>
      <c r="K249" s="10" t="inlineStr"/>
      <c r="L249" s="10" t="inlineStr">
        <is>
          <t>UX 07-대중교통 6.4절 요소 3 음성 라벨 · 6.5절 검색 화면 낭독 순서</t>
        </is>
      </c>
      <c r="M249" s="10" t="inlineStr">
        <is>
          <t>같은 역이 여러 행이라 노선이 구분자다</t>
        </is>
      </c>
      <c r="N249" s="10" t="inlineStr"/>
    </row>
    <row r="250">
      <c r="A250" s="5" t="n">
        <v>249</v>
      </c>
      <c r="B250" s="10" t="inlineStr">
        <is>
          <t>TC-SVC-08-05</t>
        </is>
      </c>
      <c r="C250" s="10" t="inlineStr">
        <is>
          <t>07-대중교통</t>
        </is>
      </c>
      <c r="D250" s="10" t="inlineStr">
        <is>
          <t>SVC-08</t>
        </is>
      </c>
      <c r="E250" s="10" t="inlineStr">
        <is>
          <t>V-3 · C-3</t>
        </is>
      </c>
      <c r="F250" s="5" t="inlineStr">
        <is>
          <t>접근성</t>
        </is>
      </c>
      <c r="G250" s="5" t="inlineStr">
        <is>
          <t>미실행</t>
        </is>
      </c>
      <c r="H250" s="10" t="inlineStr">
        <is>
          <t>S1 · 그레이스케일 필터 켬 · 5호선·7호선 결과 표출</t>
        </is>
      </c>
      <c r="I250" s="10" t="inlineStr">
        <is>
          <t>1. 노선 배지 안의 문자열을 확인
2. 그레이스케일에서 노선 구분이 가능한지 확인</t>
        </is>
      </c>
      <c r="J250" s="10" t="inlineStr">
        <is>
          <t>배지에 「N호선」 텍스트가 병기돼 색 없이도 노선이 구분된다(노선색이 유일한 식별 수단이 아니다)</t>
        </is>
      </c>
      <c r="K250" s="10" t="inlineStr"/>
      <c r="L250" s="10" t="inlineStr">
        <is>
          <t>UX 07-대중교통 6.4절 요소 4 · PRD 1부 NFR-01 완화 절(C-3은 그대로 적용)</t>
        </is>
      </c>
      <c r="M250" s="10" t="inlineStr">
        <is>
          <t>3:1 완화는 대비 수치에 대한 것이지 정보 전달 채널에 대한 것이 아니다</t>
        </is>
      </c>
      <c r="N250" s="10" t="inlineStr"/>
    </row>
    <row r="251">
      <c r="A251" s="5" t="n">
        <v>250</v>
      </c>
      <c r="B251" s="10" t="inlineStr">
        <is>
          <t>TC-SVC-08-06</t>
        </is>
      </c>
      <c r="C251" s="10" t="inlineStr">
        <is>
          <t>07-대중교통</t>
        </is>
      </c>
      <c r="D251" s="10" t="inlineStr">
        <is>
          <t>SVC-08</t>
        </is>
      </c>
      <c r="E251" s="10" t="inlineStr">
        <is>
          <t>NFR-01 · AC-06 · T-4</t>
        </is>
      </c>
      <c r="F251" s="5" t="inlineStr">
        <is>
          <t>비기능</t>
        </is>
      </c>
      <c r="G251" s="5" t="inlineStr">
        <is>
          <t>미실행</t>
        </is>
      </c>
      <c r="H251" s="10" t="inlineStr">
        <is>
          <t>5·7·8호선 배지가 함께 보이는 결과 화면 · 대비 측정 도구 · OS 확대 지원 확인</t>
        </is>
      </c>
      <c r="I251" s="10" t="inlineStr">
        <is>
          <t>1. 각 노선 배지의 면 색과 라벨 텍스트 색의 명도 대비를 측정
2. OS 글자 확대 200%가 적용되는지 확인</t>
        </is>
      </c>
      <c r="J251" s="10" t="inlineStr">
        <is>
          <t>노선 배지의 면↔라벨 대비가 3:1 이상이면 통과한다(5호선 4.12·7호선 4.39·8호선 4.46처럼 4.5:1 미만이어도 결함이 아니다). 앱이 OS 확대를 지원하는 것이 이 완화의 전제 조건이다</t>
        </is>
      </c>
      <c r="K251" s="10" t="inlineStr"/>
      <c r="L251" s="10" t="inlineStr">
        <is>
          <t>PRD 1부 NFR-01 완화 적용 — 노선 공식색 배지(2026-09-08 신설)</t>
        </is>
      </c>
      <c r="M251" s="10" t="inlineStr">
        <is>
          <t>NFR-01 3:1 완화를 적용하는 유일한 자리다</t>
        </is>
      </c>
      <c r="N251" s="10" t="inlineStr"/>
    </row>
    <row r="252">
      <c r="A252" s="5" t="n">
        <v>251</v>
      </c>
      <c r="B252" s="10" t="inlineStr">
        <is>
          <t>TC-SVC-08-07</t>
        </is>
      </c>
      <c r="C252" s="10" t="inlineStr">
        <is>
          <t>07-대중교통</t>
        </is>
      </c>
      <c r="D252" s="10" t="inlineStr">
        <is>
          <t>SVC-08</t>
        </is>
      </c>
      <c r="E252" s="10" t="inlineStr">
        <is>
          <t>NFR-01 · C-1 · NFR-02</t>
        </is>
      </c>
      <c r="F252" s="5" t="inlineStr">
        <is>
          <t>비기능</t>
        </is>
      </c>
      <c r="G252" s="5" t="inlineStr">
        <is>
          <t>미실행</t>
        </is>
      </c>
      <c r="H252" s="10" t="inlineStr">
        <is>
          <t>역 정보 화면 · 대비 측정 도구</t>
        </is>
      </c>
      <c r="I252" s="10" t="inlineStr">
        <is>
          <t>1. 배지 주변 텍스트(역명·설비 항목명·도착 안내 문구)의 대비를 측정
2. 배지의 포커스 표시와 disabled 상태 요소의 대비를 측정</t>
        </is>
      </c>
      <c r="J252" s="10" t="inlineStr">
        <is>
          <t>배지 라벨 밖의 모든 대상은 4.5:1 이상이다. 3:1 완화가 배지 주변 텍스트·포커스 표시·비활성 상태·다른 컴포넌트로 번지면 실패다</t>
        </is>
      </c>
      <c r="K252" s="10" t="inlineStr"/>
      <c r="L252" s="10" t="inlineStr">
        <is>
          <t>PRD 1부 NFR-01 완화 적용 범위 표(⛔ 4.5:1 그대로) · ★ 확대 적용 금지</t>
        </is>
      </c>
      <c r="M252" s="10" t="inlineStr">
        <is>
          <t>이 TC가 「완화가 그 배지에만 걸리는가」를 판정한다</t>
        </is>
      </c>
      <c r="N252" s="10" t="inlineStr"/>
    </row>
    <row r="253">
      <c r="A253" s="5" t="n">
        <v>252</v>
      </c>
      <c r="B253" s="10" t="inlineStr">
        <is>
          <t>TC-SVC-08-08</t>
        </is>
      </c>
      <c r="C253" s="10" t="inlineStr">
        <is>
          <t>07-대중교통</t>
        </is>
      </c>
      <c r="D253" s="10" t="inlineStr">
        <is>
          <t>SVC-08</t>
        </is>
      </c>
      <c r="E253" s="10" t="inlineStr">
        <is>
          <t>V-4 · V-3</t>
        </is>
      </c>
      <c r="F253" s="5" t="inlineStr">
        <is>
          <t>기능</t>
        </is>
      </c>
      <c r="G253" s="5" t="inlineStr">
        <is>
          <t>미실행</t>
        </is>
      </c>
      <c r="H253" s="10" t="inlineStr">
        <is>
          <t>S1 · 기저귀 교환대 미조사 · 휠체어 충전소 없음인 역</t>
        </is>
      </c>
      <c r="I253" s="10" t="inlineStr">
        <is>
          <t>1. 이동 설비 4행의 항목명과 상태값을 확인
2. 교통약자 내부환승 줄의 표출 여부를 환승 가능·불가 역에서 각각 확인</t>
        </is>
      </c>
      <c r="J253" s="10" t="inlineStr">
        <is>
          <t>이동 설비 4행이 아이콘 + 항목명 + 상태값으로 표기되고 있음/없음/미조사가 각각 다른 문자열이다. 내부환승 줄은 가능한 역에만 표출된다</t>
        </is>
      </c>
      <c r="K253" s="10" t="inlineStr"/>
      <c r="L253" s="10" t="inlineStr">
        <is>
          <t>UX 07-대중교통 6.3절 구성 ⑤ ⑥ · 6.4절 요소 5·6 · 6.7절 예외</t>
        </is>
      </c>
      <c r="M253" s="10" t="inlineStr">
        <is>
          <t>아이콘 색(있음=초록/없음·미조사=회색)은 값의 보조 채널이다</t>
        </is>
      </c>
      <c r="N253" s="10" t="inlineStr"/>
    </row>
    <row r="254">
      <c r="A254" s="5" t="n">
        <v>253</v>
      </c>
      <c r="B254" s="10" t="inlineStr">
        <is>
          <t>TC-SVC-08-09</t>
        </is>
      </c>
      <c r="C254" s="10" t="inlineStr">
        <is>
          <t>07-대중교통</t>
        </is>
      </c>
      <c r="D254" s="10" t="inlineStr">
        <is>
          <t>SVC-08</t>
        </is>
      </c>
      <c r="E254" s="10" t="inlineStr">
        <is>
          <t>AC-05 · V-4 · NFR-05</t>
        </is>
      </c>
      <c r="F254" s="5" t="inlineStr">
        <is>
          <t>접근성</t>
        </is>
      </c>
      <c r="G254" s="5" t="inlineStr">
        <is>
          <t>미실행</t>
        </is>
      </c>
      <c r="H254" s="10" t="inlineStr">
        <is>
          <t>S2 · 설비 3값이 모두 있는 역</t>
        </is>
      </c>
      <c r="I254" s="10" t="inlineStr">
        <is>
          <t>1. 역 정보 화면을 처음부터 끝까지 낭독시킨다
2. 설비 4행의 상태 문자열과 전체 순서를 기록</t>
        </is>
      </c>
      <c r="J254" s="10" t="inlineStr">
        <is>
          <t>역명→노선→설비(있음/없음/미조사 각각 다른 문자열)→실시간 도착→[새로고침]→[전화 연결] 순으로 낭독되고, 아이콘 색에 기대지 않고 상태가 말로 전달된다</t>
        </is>
      </c>
      <c r="K254" s="10" t="inlineStr"/>
      <c r="L254" s="10" t="inlineStr">
        <is>
          <t>UX 07-대중교통 6.4절 요소 6 음성 라벨 · 6.5절 역 정보 낭독 순서</t>
        </is>
      </c>
      <c r="M254" s="10" t="inlineStr">
        <is>
          <t>S2에서는 상태 문자열이 유일한 채널이다</t>
        </is>
      </c>
      <c r="N254" s="10" t="inlineStr"/>
    </row>
    <row r="255">
      <c r="A255" s="5" t="n">
        <v>254</v>
      </c>
      <c r="B255" s="10" t="inlineStr">
        <is>
          <t>TC-SVC-08-10</t>
        </is>
      </c>
      <c r="C255" s="10" t="inlineStr">
        <is>
          <t>07-대중교통</t>
        </is>
      </c>
      <c r="D255" s="10" t="inlineStr">
        <is>
          <t>SVC-08</t>
        </is>
      </c>
      <c r="E255" s="10" t="inlineStr">
        <is>
          <t>NFR-05 · NFR-02 · FR-A2</t>
        </is>
      </c>
      <c r="F255" s="5" t="inlineStr">
        <is>
          <t>접근성</t>
        </is>
      </c>
      <c r="G255" s="5" t="inlineStr">
        <is>
          <t>미실행</t>
        </is>
      </c>
      <c r="H255" s="10" t="inlineStr">
        <is>
          <t>S2 · 역 정보 화면</t>
        </is>
      </c>
      <c r="I255" s="10" t="inlineStr">
        <is>
          <t>1. 「실시간 도착정보」 섹션 제목 오른쪽 아이콘에 포커스를 올린다
2. 낭독 문장을 기록하고 눌러 갱신을 확인</t>
        </is>
      </c>
      <c r="J255" s="10" t="inlineStr">
        <is>
          <t>아이콘 단독 컨트롤이 「새로고침, 버튼」으로 낭독되고, 누르면 현재 시각 기준으로 도착 정보가 갱신된다</t>
        </is>
      </c>
      <c r="K255" s="10" t="inlineStr"/>
      <c r="L255" s="10" t="inlineStr">
        <is>
          <t>UX 07-대중교통 6.4절 요소 8</t>
        </is>
      </c>
      <c r="M255" s="10" t="inlineStr"/>
      <c r="N255" s="10" t="inlineStr"/>
    </row>
    <row r="256">
      <c r="A256" s="5" t="n">
        <v>255</v>
      </c>
      <c r="B256" s="10" t="inlineStr">
        <is>
          <t>TC-SVC-08-11</t>
        </is>
      </c>
      <c r="C256" s="10" t="inlineStr">
        <is>
          <t>07-대중교통</t>
        </is>
      </c>
      <c r="D256" s="10" t="inlineStr">
        <is>
          <t>SVC-08</t>
        </is>
      </c>
      <c r="E256" s="10" t="inlineStr">
        <is>
          <t>C-6 · V-6 · AC-05</t>
        </is>
      </c>
      <c r="F256" s="5" t="inlineStr">
        <is>
          <t>기능</t>
        </is>
      </c>
      <c r="G256" s="5" t="inlineStr">
        <is>
          <t>미실행</t>
        </is>
      </c>
      <c r="H256" s="10" t="inlineStr">
        <is>
          <t>고객센터 번호가 없는 역</t>
        </is>
      </c>
      <c r="I256" s="10" t="inlineStr">
        <is>
          <t>1. [전화 연결] 버튼의 상태와 화면 안 사유 표기를 확인
2. S2로 그 버튼에 포커스해 낭독을 기록</t>
        </is>
      </c>
      <c r="J256" s="10" t="inlineStr">
        <is>
          <t>비활성 + 사유가 텍스트로 전달된다(무음 비활성 아님). 번호가 있는 역에서는 누르면 역 고객센터로 발신되며 앱 밖으로 이탈한다</t>
        </is>
      </c>
      <c r="K256" s="10" t="inlineStr"/>
      <c r="L256" s="10" t="inlineStr">
        <is>
          <t>UX 07-대중교통 6.4절 요소 9 · 6.7절 예외 · 00-공통 7절</t>
        </is>
      </c>
      <c r="M256" s="10" t="inlineStr"/>
      <c r="N256" s="10" t="inlineStr"/>
    </row>
    <row r="257">
      <c r="A257" s="5" t="n">
        <v>256</v>
      </c>
      <c r="B257" s="10" t="inlineStr">
        <is>
          <t>TC-SVC-08-12</t>
        </is>
      </c>
      <c r="C257" s="10" t="inlineStr">
        <is>
          <t>07-대중교통</t>
        </is>
      </c>
      <c r="D257" s="10" t="inlineStr">
        <is>
          <t>SVC-08</t>
        </is>
      </c>
      <c r="E257" s="10" t="inlineStr">
        <is>
          <t>V-4 · SC-05</t>
        </is>
      </c>
      <c r="F257" s="5" t="inlineStr">
        <is>
          <t>기능</t>
        </is>
      </c>
      <c r="G257" s="12" t="inlineStr">
        <is>
          <t>보류</t>
        </is>
      </c>
      <c r="H257" s="10" t="inlineStr">
        <is>
          <t>S1 · 역 정보 화면</t>
        </is>
      </c>
      <c r="I257" s="10" t="inlineStr">
        <is>
          <t>1. 역의 접근성 등급(Station.grade) 표출과 행동 기준 문장을 찾는다
2. 실내 내비게이션·길안내 시작 진입점을 찾는다</t>
        </is>
      </c>
      <c r="J257" s="10" t="inlineStr">
        <is>
          <t>판정 불가 — Station.grade(특급·A~E)가 이 화면에 없고(U-78), 실내 내비게이션 진입 경로와 [길안내 시작] 이탈처도 정의되지 않았다(U-35)</t>
        </is>
      </c>
      <c r="K257" s="10" t="inlineStr"/>
      <c r="L257" s="10" t="inlineStr">
        <is>
          <t>UX 07-대중교통 6.8절 미확정 U-78·U-35</t>
        </is>
      </c>
      <c r="M257" s="10" t="inlineStr"/>
      <c r="N257" s="10" t="inlineStr"/>
    </row>
    <row r="258">
      <c r="A258" s="5" t="n">
        <v>257</v>
      </c>
      <c r="B258" s="10" t="inlineStr">
        <is>
          <t>TC-1-2-01</t>
        </is>
      </c>
      <c r="C258" s="10" t="inlineStr">
        <is>
          <t>08-편의시설</t>
        </is>
      </c>
      <c r="D258" s="10" t="inlineStr">
        <is>
          <t>1-2</t>
        </is>
      </c>
      <c r="E258" s="10" t="inlineStr">
        <is>
          <t>V-5</t>
        </is>
      </c>
      <c r="F258" s="5" t="inlineStr">
        <is>
          <t>기능</t>
        </is>
      </c>
      <c r="G258" s="5" t="inlineStr">
        <is>
          <t>미실행</t>
        </is>
      </c>
      <c r="H258" s="10" t="inlineStr">
        <is>
          <t>S1 · 교통약자 유형 「휠체어·유모차」 계정 · `1-0` 홈 진입</t>
        </is>
      </c>
      <c r="I258" s="10" t="inlineStr">
        <is>
          <t>1. 홈 6메뉴에서 「인근 편의시설」 버튼의 표시 문자열을 적는다
2. 그 버튼을 누른다
3. 이동한 화면 상단 제목 문자열을 적는다</t>
        </is>
      </c>
      <c r="J258" s="10" t="inlineStr">
        <is>
          <t>상단 제목이 메뉴명과 같은 「인근 편의시설」이다. 다른 표기(구 「편의시설」 등)로 바뀌지 않는다</t>
        </is>
      </c>
      <c r="K258" s="10" t="inlineStr"/>
      <c r="L258" s="10" t="inlineStr">
        <is>
          <t>UX 08-편의시설 2.1·2.2 · PRD 2부-설계 V-5</t>
        </is>
      </c>
      <c r="M258" s="10" t="inlineStr">
        <is>
          <t>화면 ID 미부여 — 부여 시 TC-ID 이관 대상</t>
        </is>
      </c>
      <c r="N258" s="10" t="inlineStr"/>
    </row>
    <row r="259">
      <c r="A259" s="5" t="n">
        <v>258</v>
      </c>
      <c r="B259" s="10" t="inlineStr">
        <is>
          <t>TC-1-2-02</t>
        </is>
      </c>
      <c r="C259" s="10" t="inlineStr">
        <is>
          <t>08-편의시설</t>
        </is>
      </c>
      <c r="D259" s="10" t="inlineStr">
        <is>
          <t>1-2 · SVC-05</t>
        </is>
      </c>
      <c r="E259" s="10" t="inlineStr">
        <is>
          <t>V-5</t>
        </is>
      </c>
      <c r="F259" s="5" t="inlineStr">
        <is>
          <t>기능</t>
        </is>
      </c>
      <c r="G259" s="5" t="inlineStr">
        <is>
          <t>미실행</t>
        </is>
      </c>
      <c r="H259" s="10" t="inlineStr">
        <is>
          <t>S1 · `1-2` 카테고리 선택 화면</t>
        </is>
      </c>
      <c r="I259" s="10" t="inlineStr">
        <is>
          <t>1. 카테고리 리스트에서 「접근성 정보 조회」 항목명을 적는다
2. 그 항목을 누른다
3. 이동한 시설 목록 화면의 상단 제목 문자열을 적는다</t>
        </is>
      </c>
      <c r="J259" s="10" t="inlineStr">
        <is>
          <t>시설 목록 화면 제목이 카테고리명과 같은 「접근성 정보 조회」다. 구 명칭(「이동약자 접근성 정보」)으로 표시되지 않는다</t>
        </is>
      </c>
      <c r="K259" s="10" t="inlineStr"/>
      <c r="L259" s="10" t="inlineStr">
        <is>
          <t>UX 08-편의시설 2.2-1·3.1 · PRD 2부-설계 V-5</t>
        </is>
      </c>
      <c r="M259" s="10" t="inlineStr"/>
      <c r="N259" s="10" t="inlineStr"/>
    </row>
    <row r="260">
      <c r="A260" s="5" t="n">
        <v>259</v>
      </c>
      <c r="B260" s="10" t="inlineStr">
        <is>
          <t>TC-1-2-03</t>
        </is>
      </c>
      <c r="C260" s="10" t="inlineStr">
        <is>
          <t>08-편의시설</t>
        </is>
      </c>
      <c r="D260" s="10" t="inlineStr">
        <is>
          <t>1-2</t>
        </is>
      </c>
      <c r="E260" s="10" t="inlineStr">
        <is>
          <t>SG-7</t>
        </is>
      </c>
      <c r="F260" s="5" t="inlineStr">
        <is>
          <t>기능</t>
        </is>
      </c>
      <c r="G260" s="5" t="inlineStr">
        <is>
          <t>미실행</t>
        </is>
      </c>
      <c r="H260" s="10" t="inlineStr">
        <is>
          <t>S1 · `1-2` 진입</t>
        </is>
      </c>
      <c r="I260" s="10" t="inlineStr">
        <is>
          <t>1. 화면에 보이는 카테고리 항목 수를 센다
2. 항목의 배치(열 수)와 각 행에 붙은 부가 텍스트 유무를 확인한다</t>
        </is>
      </c>
      <c r="J260" s="10" t="inlineStr">
        <is>
          <t>카테고리 7종이 1열 7행 세로 리스트로 표시된다. 2열 그리드가 아니고 항목명 외 부가 설명이 붙지 않는다</t>
        </is>
      </c>
      <c r="K260" s="10" t="inlineStr"/>
      <c r="L260" s="10" t="inlineStr">
        <is>
          <t>UX 08-편의시설 2.2·2.3 적용 범위 ① · PRD 1부-요건 SG-7</t>
        </is>
      </c>
      <c r="M260" s="10" t="inlineStr">
        <is>
          <t>화면 ID 미부여 — 부여 시 TC-ID 이관 대상</t>
        </is>
      </c>
      <c r="N260" s="10" t="inlineStr"/>
    </row>
    <row r="261">
      <c r="A261" s="5" t="n">
        <v>260</v>
      </c>
      <c r="B261" s="10" t="inlineStr">
        <is>
          <t>TC-1-2-04</t>
        </is>
      </c>
      <c r="C261" s="10" t="inlineStr">
        <is>
          <t>08-편의시설</t>
        </is>
      </c>
      <c r="D261" s="10" t="inlineStr">
        <is>
          <t>1-2</t>
        </is>
      </c>
      <c r="E261" s="10" t="inlineStr">
        <is>
          <t>SG-7</t>
        </is>
      </c>
      <c r="F261" s="5" t="inlineStr">
        <is>
          <t>기능</t>
        </is>
      </c>
      <c r="G261" s="5" t="inlineStr">
        <is>
          <t>미실행</t>
        </is>
      </c>
      <c r="H261" s="10" t="inlineStr">
        <is>
          <t>교통약자 유형 「휠체어·유모차」 계정으로 `1-2` 진입</t>
        </is>
      </c>
      <c r="I261" s="10" t="inlineStr">
        <is>
          <t>1. 카테고리 7행을 위에서 아래로 읽어 순서를 적는다</t>
        </is>
      </c>
      <c r="J261" s="10" t="inlineStr">
        <is>
          <t>순서가 1 엘리베이터 위치 · 2 장애인 화장실 · 3 휠체어 충전소 · 4 지하철 내 수유실 · 5 에스컬레이터 위치 · 6 접근성 정보 조회 · 7 청계천 이동약자 시설물이다</t>
        </is>
      </c>
      <c r="K261" s="10" t="inlineStr"/>
      <c r="L261" s="10" t="inlineStr">
        <is>
          <t>UX 08-편의시설 2.3 유형별 우선순위표 · PRD 1부-요건 SG-7</t>
        </is>
      </c>
      <c r="M261" s="10" t="inlineStr">
        <is>
          <t>화면 ID 미부여 — 부여 시 TC-ID 이관 대상</t>
        </is>
      </c>
      <c r="N261" s="10" t="inlineStr"/>
    </row>
    <row r="262">
      <c r="A262" s="5" t="n">
        <v>261</v>
      </c>
      <c r="B262" s="10" t="inlineStr">
        <is>
          <t>TC-1-2-05</t>
        </is>
      </c>
      <c r="C262" s="10" t="inlineStr">
        <is>
          <t>08-편의시설</t>
        </is>
      </c>
      <c r="D262" s="10" t="inlineStr">
        <is>
          <t>1-2</t>
        </is>
      </c>
      <c r="E262" s="10" t="inlineStr">
        <is>
          <t>SG-7</t>
        </is>
      </c>
      <c r="F262" s="5" t="inlineStr">
        <is>
          <t>기능</t>
        </is>
      </c>
      <c r="G262" s="5" t="inlineStr">
        <is>
          <t>미실행</t>
        </is>
      </c>
      <c r="H262" s="10" t="inlineStr">
        <is>
          <t>교통약자 유형 「노약자·임산부」 계정으로 `1-2` 진입</t>
        </is>
      </c>
      <c r="I262" s="10" t="inlineStr">
        <is>
          <t>1. 카테고리 7행을 위에서 아래로 읽어 순서를 적는다</t>
        </is>
      </c>
      <c r="J262" s="10" t="inlineStr">
        <is>
          <t>순서가 1 엘리베이터 위치 · 2 에스컬레이터 위치 · 3 지하철 내 수유실 · 4 장애인 화장실 · 5 접근성 정보 조회 · 6 휠체어 충전소 · 7 청계천 이동약자 시설물이다</t>
        </is>
      </c>
      <c r="K262" s="10" t="inlineStr"/>
      <c r="L262" s="10" t="inlineStr">
        <is>
          <t>UX 08-편의시설 2.3 유형별 우선순위표 · PRD 1부-요건 SG-7</t>
        </is>
      </c>
      <c r="M262" s="10" t="inlineStr">
        <is>
          <t>화면 ID 미부여 — 부여 시 TC-ID 이관 대상</t>
        </is>
      </c>
      <c r="N262" s="10" t="inlineStr"/>
    </row>
    <row r="263">
      <c r="A263" s="5" t="n">
        <v>262</v>
      </c>
      <c r="B263" s="10" t="inlineStr">
        <is>
          <t>TC-1-2-06</t>
        </is>
      </c>
      <c r="C263" s="10" t="inlineStr">
        <is>
          <t>08-편의시설</t>
        </is>
      </c>
      <c r="D263" s="10" t="inlineStr">
        <is>
          <t>1-2</t>
        </is>
      </c>
      <c r="E263" s="10" t="inlineStr">
        <is>
          <t>SG-7</t>
        </is>
      </c>
      <c r="F263" s="5" t="inlineStr">
        <is>
          <t>기능</t>
        </is>
      </c>
      <c r="G263" s="5" t="inlineStr">
        <is>
          <t>미실행</t>
        </is>
      </c>
      <c r="H263" s="10" t="inlineStr">
        <is>
          <t>저시력 계정과 전맹 계정 2개를 준비한다</t>
        </is>
      </c>
      <c r="I263" s="10" t="inlineStr">
        <is>
          <t>1. 저시력 계정으로 `1-2`에 진입해 7행 순서를 적는다
2. 전맹 계정으로 `1-2`에 진입해 7행 순서를 적는다
3. 두 순서를 1위부터 7위까지 대조한다</t>
        </is>
      </c>
      <c r="J263" s="10" t="inlineStr">
        <is>
          <t>두 유형의 1~7위가 완전히 같고, 순서는 1 접근성 정보 조회 · 2 엘리베이터 위치 · 3 장애인 화장실 · 4 에스컬레이터 위치 · 5 지하철 내 수유실 · 6 휠체어 충전소 · 7 청계천 이동약자 시설물이다</t>
        </is>
      </c>
      <c r="K263" s="10" t="inlineStr"/>
      <c r="L263" s="10" t="inlineStr">
        <is>
          <t>UX 08-편의시설 2.3 유형별 우선순위표·읽는 법 · PRD 1부-요건 SG-7</t>
        </is>
      </c>
      <c r="M263" s="10" t="inlineStr">
        <is>
          <t>화면 ID 미부여 — 부여 시 TC-ID 이관 대상. 실제로 갈리는 순서는 휠체어·유모차 / 노약자·임산부 / 저시력·전맹 3벌이다</t>
        </is>
      </c>
      <c r="N263" s="10" t="inlineStr"/>
    </row>
    <row r="264">
      <c r="A264" s="5" t="n">
        <v>263</v>
      </c>
      <c r="B264" s="10" t="inlineStr">
        <is>
          <t>TC-1-2-07</t>
        </is>
      </c>
      <c r="C264" s="10" t="inlineStr">
        <is>
          <t>08-편의시설</t>
        </is>
      </c>
      <c r="D264" s="10" t="inlineStr">
        <is>
          <t>1-2 · ROUTE-01</t>
        </is>
      </c>
      <c r="E264" s="10" t="inlineStr">
        <is>
          <t>SG-7 · V-5</t>
        </is>
      </c>
      <c r="F264" s="5" t="inlineStr">
        <is>
          <t>시나리오</t>
        </is>
      </c>
      <c r="G264" s="5" t="inlineStr">
        <is>
          <t>미실행</t>
        </is>
      </c>
      <c r="H264" s="10" t="inlineStr">
        <is>
          <t>교통약자 유형 「휠체어·유모차」 계정</t>
        </is>
      </c>
      <c r="I264" s="10" t="inlineStr">
        <is>
          <t>1. `1-2` 인근 편의시설 랜딩의 7행 순서를 적는다
2. `2-0` 길안내 바텀시트의 「인근 편의시설」 섹션으로 이동한다
3. 섹션 안 7칩(3+3+1)의 순서와 섹션이 놓인 자리를 적는다</t>
        </is>
      </c>
      <c r="J264" s="10" t="inlineStr">
        <is>
          <t>7칩 순서가 랜딩 7행 순서와 같다. 섹션 자리는 즐겨찾기 다음·최근 도착지 앞으로 고정돼 있고 유형에 따라 이동하지 않는다</t>
        </is>
      </c>
      <c r="K264" s="10" t="inlineStr"/>
      <c r="L264" s="10" t="inlineStr">
        <is>
          <t>UX 08-편의시설 2.3 적용 범위 ①② · PRD 1부-요건 SG-7</t>
        </is>
      </c>
      <c r="M264" s="10" t="inlineStr">
        <is>
          <t>화면 ID 미부여(`1-2`) — 부여 시 TC-ID 이관 대상</t>
        </is>
      </c>
      <c r="N264" s="10" t="inlineStr"/>
    </row>
    <row r="265">
      <c r="A265" s="5" t="n">
        <v>264</v>
      </c>
      <c r="B265" s="10" t="inlineStr">
        <is>
          <t>TC-1-2-08</t>
        </is>
      </c>
      <c r="C265" s="10" t="inlineStr">
        <is>
          <t>08-편의시설</t>
        </is>
      </c>
      <c r="D265" s="10" t="inlineStr">
        <is>
          <t>1-2</t>
        </is>
      </c>
      <c r="E265" s="10" t="inlineStr">
        <is>
          <t>AC-05 · NFR-04</t>
        </is>
      </c>
      <c r="F265" s="5" t="inlineStr">
        <is>
          <t>접근성</t>
        </is>
      </c>
      <c r="G265" s="5" t="inlineStr">
        <is>
          <t>미실행</t>
        </is>
      </c>
      <c r="H265" s="10" t="inlineStr">
        <is>
          <t>S1 · TalkBack 켬 · 교통약자 유형 「저시력」 계정으로 `1-2` 진입</t>
        </is>
      </c>
      <c r="I265" s="10" t="inlineStr">
        <is>
          <t>1. 제목에서 오른쪽 스와이프로 카테고리 7행을 끝까지 이동한다
2. 낭독된 항목명을 순서대로 적는다
3. 화면에 보이는 순서와 대조한다</t>
        </is>
      </c>
      <c r="J265" s="10" t="inlineStr">
        <is>
          <t>낭독 순서가 화면 표시 순서와 같고, 7행 전부가 포커스를 받는다. 건너뛰는 행이 없다</t>
        </is>
      </c>
      <c r="K265" s="10" t="inlineStr"/>
      <c r="L265" s="10" t="inlineStr">
        <is>
          <t>UX 08-편의시설 2.3 읽는 법 · PRD 1부-요건 AC-05·NFR-04</t>
        </is>
      </c>
      <c r="M265" s="10" t="inlineStr">
        <is>
          <t>화면 ID 미부여 — 부여 시 TC-ID 이관 대상</t>
        </is>
      </c>
      <c r="N265" s="10" t="inlineStr"/>
    </row>
    <row r="266">
      <c r="A266" s="5" t="n">
        <v>265</v>
      </c>
      <c r="B266" s="10" t="inlineStr">
        <is>
          <t>TC-1-2-09</t>
        </is>
      </c>
      <c r="C266" s="10" t="inlineStr">
        <is>
          <t>08-편의시설</t>
        </is>
      </c>
      <c r="D266" s="10" t="inlineStr">
        <is>
          <t>1-2</t>
        </is>
      </c>
      <c r="E266" s="10" t="inlineStr">
        <is>
          <t>NFR-02 · S-1 · S-2</t>
        </is>
      </c>
      <c r="F266" s="5" t="inlineStr">
        <is>
          <t>접근성</t>
        </is>
      </c>
      <c r="G266" s="5" t="inlineStr">
        <is>
          <t>미실행</t>
        </is>
      </c>
      <c r="H266" s="10" t="inlineStr">
        <is>
          <t>S1 · `1-2` 진입 · 시스템 글자 크기 기본</t>
        </is>
      </c>
      <c r="I266" s="10" t="inlineStr">
        <is>
          <t>1. 카테고리 행 1개의 터치 히트 영역 가로·세로를 잰다
2. 인접한 두 행의 터치 영역 사이 간격을 잰다</t>
        </is>
      </c>
      <c r="J266" s="10" t="inlineStr">
        <is>
          <t>각 행의 히트 영역이 44×44pt 이상이고, 인접 행 간격이 8px 이상이다. radius가 있어도 히트 영역은 사각으로 유지된다</t>
        </is>
      </c>
      <c r="K266" s="10" t="inlineStr"/>
      <c r="L266" s="10" t="inlineStr">
        <is>
          <t>UX 08-편의시설 2.2 · PRD 1부-요건 NFR-02 · 2부-설계 S-1·S-2</t>
        </is>
      </c>
      <c r="M266" s="10" t="inlineStr">
        <is>
          <t>화면 ID 미부여 — 부여 시 TC-ID 이관 대상</t>
        </is>
      </c>
      <c r="N266" s="10" t="inlineStr"/>
    </row>
    <row r="267">
      <c r="A267" s="5" t="n">
        <v>266</v>
      </c>
      <c r="B267" s="10" t="inlineStr">
        <is>
          <t>TC-1-2-10</t>
        </is>
      </c>
      <c r="C267" s="10" t="inlineStr">
        <is>
          <t>08-편의시설</t>
        </is>
      </c>
      <c r="D267" s="10" t="inlineStr">
        <is>
          <t>1-2 · SVC-04</t>
        </is>
      </c>
      <c r="E267" s="10" t="inlineStr">
        <is>
          <t>V-6</t>
        </is>
      </c>
      <c r="F267" s="5" t="inlineStr">
        <is>
          <t>기능</t>
        </is>
      </c>
      <c r="G267" s="5" t="inlineStr">
        <is>
          <t>미실행</t>
        </is>
      </c>
      <c r="H267" s="10" t="inlineStr">
        <is>
          <t>데이터 공급처가 없는 카테고리가 1개 이상인 상태</t>
        </is>
      </c>
      <c r="I267" s="10" t="inlineStr">
        <is>
          <t>1. `1-2`에 진입해 카테고리 항목 수를 센다
2. 데이터 공급처가 없는 카테고리가 리스트에 있는지 확인한다</t>
        </is>
      </c>
      <c r="J267" s="10" t="inlineStr">
        <is>
          <t>데이터 공급처가 없어도 카테고리를 리스트에서 숨기지 않는다. 7종이 그대로 표시된다</t>
        </is>
      </c>
      <c r="K267" s="10" t="inlineStr"/>
      <c r="L267" s="10" t="inlineStr">
        <is>
          <t>UX 08-편의시설 2.4 예외 케이스 · PRD 2부-설계 V-6</t>
        </is>
      </c>
      <c r="M267" s="10" t="inlineStr">
        <is>
          <t>화면 ID 미부여(`1-2`) — 부여 시 TC-ID 이관 대상. 사유 표출은 목록 화면이 진다(TC-SVC-05-08)</t>
        </is>
      </c>
      <c r="N267" s="10" t="inlineStr"/>
    </row>
    <row r="268">
      <c r="A268" s="5" t="n">
        <v>267</v>
      </c>
      <c r="B268" s="10" t="inlineStr">
        <is>
          <t>TC-1-2-11</t>
        </is>
      </c>
      <c r="C268" s="10" t="inlineStr">
        <is>
          <t>08-편의시설</t>
        </is>
      </c>
      <c r="D268" s="10" t="inlineStr">
        <is>
          <t>1-2</t>
        </is>
      </c>
      <c r="E268" s="10" t="inlineStr">
        <is>
          <t>V-6 · SG-7</t>
        </is>
      </c>
      <c r="F268" s="5" t="inlineStr">
        <is>
          <t>기능</t>
        </is>
      </c>
      <c r="G268" s="12" t="inlineStr">
        <is>
          <t>보류</t>
        </is>
      </c>
      <c r="H268" s="10" t="inlineStr">
        <is>
          <t>데이터가 없는 카테고리가 1개 이상인 상태</t>
        </is>
      </c>
      <c r="I268" s="10" t="inlineStr">
        <is>
          <t>1. 데이터 없음 카테고리가 유형별 순서에서 어느 자리에 놓이는지 확인한다</t>
        </is>
      </c>
      <c r="J268" s="10" t="inlineStr">
        <is>
          <t>판정 불가 — 데이터 없음 카테고리를 순위에서 건너뛰는지 그 자리에 두는지가 사양에 정해져 있지 않다(2.5절 미확정). 확정 후 기대결과를 채운다</t>
        </is>
      </c>
      <c r="K268" s="10" t="inlineStr"/>
      <c r="L268" s="10" t="inlineStr">
        <is>
          <t>UX 08-편의시설 2.5 미확정</t>
        </is>
      </c>
      <c r="M268" s="10" t="inlineStr">
        <is>
          <t>화면 ID 미부여 — 부여 시 TC-ID 이관 대상</t>
        </is>
      </c>
      <c r="N268" s="10" t="inlineStr"/>
    </row>
    <row r="269">
      <c r="A269" s="5" t="n">
        <v>268</v>
      </c>
      <c r="B269" s="10" t="inlineStr">
        <is>
          <t>TC-SVC-05-01</t>
        </is>
      </c>
      <c r="C269" s="10" t="inlineStr">
        <is>
          <t>08-편의시설</t>
        </is>
      </c>
      <c r="D269" s="10" t="inlineStr">
        <is>
          <t>SVC-06 · 1-2-2 · 1-2-3 · 1-2-4 · SVC-05 · 1-2-6 · SVC-04</t>
        </is>
      </c>
      <c r="E269" s="10" t="inlineStr">
        <is>
          <t>V-1</t>
        </is>
      </c>
      <c r="F269" s="5" t="inlineStr">
        <is>
          <t>기능</t>
        </is>
      </c>
      <c r="G269" s="5" t="inlineStr">
        <is>
          <t>미실행</t>
        </is>
      </c>
      <c r="H269" s="10" t="inlineStr">
        <is>
          <t>S1 · 인근 300m에 시설이 3건 이상 있는 위치 · 카테고리 택 1로 진입</t>
        </is>
      </c>
      <c r="I269" s="10" t="inlineStr">
        <is>
          <t>1. 카테고리를 선택해 시설 목록 화면에 진입한다
2. 진입 직후 지도와 바텀시트의 표출 상태를 확인한다
3. 시트 안에 목록 항목이 몇 건 보이는지 센다</t>
        </is>
      </c>
      <c r="J269" s="10" t="inlineStr">
        <is>
          <t>지도 + 바텀시트 구조로 표출되고 시트 진입 기본값이 최대화다. 리스트업된 전체 목록이 처음부터 표출되며 넘치면 시트 안에서 스크롤된다</t>
        </is>
      </c>
      <c r="K269" s="10" t="inlineStr"/>
      <c r="L269" s="10" t="inlineStr">
        <is>
          <t>UX 08-편의시설 3.2·3.3 2번</t>
        </is>
      </c>
      <c r="M269" s="10" t="inlineStr">
        <is>
          <t>화면 ID 미부여 4종 포함 — 부여 시 TC-ID 이관 대상</t>
        </is>
      </c>
      <c r="N269" s="10" t="inlineStr"/>
    </row>
    <row r="270">
      <c r="A270" s="5" t="n">
        <v>269</v>
      </c>
      <c r="B270" s="10" t="inlineStr">
        <is>
          <t>TC-SVC-05-02</t>
        </is>
      </c>
      <c r="C270" s="10" t="inlineStr">
        <is>
          <t>08-편의시설</t>
        </is>
      </c>
      <c r="D270" s="10" t="inlineStr">
        <is>
          <t>SVC-06 · 1-2-2 · 1-2-3 · 1-2-4 · SVC-05 · 1-2-6 · SVC-04</t>
        </is>
      </c>
      <c r="E270" s="10" t="inlineStr">
        <is>
          <t>V-3</t>
        </is>
      </c>
      <c r="F270" s="5" t="inlineStr">
        <is>
          <t>기능</t>
        </is>
      </c>
      <c r="G270" s="5" t="inlineStr">
        <is>
          <t>미실행</t>
        </is>
      </c>
      <c r="H270" s="10" t="inlineStr">
        <is>
          <t>S1 · 시설 목록에 항목이 3건 이상 표출된 상태</t>
        </is>
      </c>
      <c r="I270" s="10" t="inlineStr">
        <is>
          <t>1. 목록 항목 1건의 이름·주소 영역을 누른다
2. 선택된 행의 강조 표현을 색 외 요소(테두리·아이콘·텍스트)까지 적는다
3. 지도에 남은 핀 개수를 센다</t>
        </is>
      </c>
      <c r="J270" s="10" t="inlineStr">
        <is>
          <t>선택 강조가 색 단독이 아니라 테두리·아이콘·텍스트를 병기해 전달되고, 지도에는 선택한 장소의 핀만 남는다</t>
        </is>
      </c>
      <c r="K270" s="10" t="inlineStr"/>
      <c r="L270" s="10" t="inlineStr">
        <is>
          <t>UX 08-편의시설 3.2·3.3 1번·3번 · PRD 2부-설계 V-3</t>
        </is>
      </c>
      <c r="M270" s="10" t="inlineStr">
        <is>
          <t>화면 ID 미부여 4종 포함 — 부여 시 TC-ID 이관 대상</t>
        </is>
      </c>
      <c r="N270" s="10" t="inlineStr"/>
    </row>
    <row r="271">
      <c r="A271" s="5" t="n">
        <v>270</v>
      </c>
      <c r="B271" s="10" t="inlineStr">
        <is>
          <t>TC-SVC-05-03</t>
        </is>
      </c>
      <c r="C271" s="10" t="inlineStr">
        <is>
          <t>08-편의시설</t>
        </is>
      </c>
      <c r="D271" s="10" t="inlineStr">
        <is>
          <t>SVC-06 · 1-2-2 · 1-2-3 · 1-2-4 · SVC-05 · 1-2-6 · SVC-04</t>
        </is>
      </c>
      <c r="E271" s="10" t="inlineStr">
        <is>
          <t>NFR-02 · S-1 · S-2</t>
        </is>
      </c>
      <c r="F271" s="5" t="inlineStr">
        <is>
          <t>접근성</t>
        </is>
      </c>
      <c r="G271" s="5" t="inlineStr">
        <is>
          <t>미실행</t>
        </is>
      </c>
      <c r="H271" s="10" t="inlineStr">
        <is>
          <t>S1 · 시설 목록 표출 · 시스템 글자 크기 기본</t>
        </is>
      </c>
      <c r="I271" s="10" t="inlineStr">
        <is>
          <t>1. 한 행의 역할 지정 3버튼(출발·경유·도착) 배치를 확인한다
2. 각 버튼의 히트 영역 가로·세로를 잰다
3. 인접 버튼 사이 간격을 잰다</t>
        </is>
      </c>
      <c r="J271" s="10" t="inlineStr">
        <is>
          <t>3버튼이 가로 3열로 놓이고 각 버튼 히트 영역이 44×44pt 이상, 인접 간격이 8px 이상이다</t>
        </is>
      </c>
      <c r="K271" s="10" t="inlineStr"/>
      <c r="L271" s="10" t="inlineStr">
        <is>
          <t>UX 08-편의시설 3.3 4번 · PRD 1부-요건 NFR-02 · 2부-설계 S-1·S-2</t>
        </is>
      </c>
      <c r="M271" s="10" t="inlineStr">
        <is>
          <t>화면 ID 미부여 4종 포함 — 부여 시 TC-ID 이관 대상</t>
        </is>
      </c>
      <c r="N271" s="10" t="inlineStr"/>
    </row>
    <row r="272">
      <c r="A272" s="5" t="n">
        <v>271</v>
      </c>
      <c r="B272" s="10" t="inlineStr">
        <is>
          <t>TC-SVC-05-04</t>
        </is>
      </c>
      <c r="C272" s="10" t="inlineStr">
        <is>
          <t>08-편의시설</t>
        </is>
      </c>
      <c r="D272" s="10" t="inlineStr">
        <is>
          <t>SVC-06 · 1-2-2 · 1-2-3 · 1-2-4 · SVC-05 · 1-2-6 · SVC-04</t>
        </is>
      </c>
      <c r="E272" s="10" t="inlineStr">
        <is>
          <t>V-6</t>
        </is>
      </c>
      <c r="F272" s="5" t="inlineStr">
        <is>
          <t>기능</t>
        </is>
      </c>
      <c r="G272" s="5" t="inlineStr">
        <is>
          <t>미실행</t>
        </is>
      </c>
      <c r="H272" s="10" t="inlineStr">
        <is>
          <t>반경 300m 안에 해당 카테고리 시설이 0건인 위치</t>
        </is>
      </c>
      <c r="I272" s="10" t="inlineStr">
        <is>
          <t>1. 그 위치에서 카테고리를 선택해 시설 목록에 진입한다
2. 바텀시트 안에 표시된 문안을 적는다
3. 반경 값이 문안에 함께 있는지 확인한다</t>
        </is>
      </c>
      <c r="J272" s="10" t="inlineStr">
        <is>
          <t>빈 시트를 두지 않고 「인근에 없음」과 반경 300m를 함께 알린다. 반경을 자동으로 넓히지 않는다</t>
        </is>
      </c>
      <c r="K272" s="10" t="inlineStr"/>
      <c r="L272" s="10" t="inlineStr">
        <is>
          <t>UX 08-편의시설 3.1·3.5 결과 0건 · `00-공통` 2절 · PRD 2부-설계 V-6</t>
        </is>
      </c>
      <c r="M272" s="10" t="inlineStr">
        <is>
          <t>화면 ID 미부여 4종 포함 — 부여 시 TC-ID 이관 대상</t>
        </is>
      </c>
      <c r="N272" s="10" t="inlineStr"/>
    </row>
    <row r="273">
      <c r="A273" s="5" t="n">
        <v>272</v>
      </c>
      <c r="B273" s="10" t="inlineStr">
        <is>
          <t>TC-SVC-05-05</t>
        </is>
      </c>
      <c r="C273" s="10" t="inlineStr">
        <is>
          <t>08-편의시설</t>
        </is>
      </c>
      <c r="D273" s="10" t="inlineStr">
        <is>
          <t>SVC-05</t>
        </is>
      </c>
      <c r="E273" s="10" t="inlineStr">
        <is>
          <t>V-4</t>
        </is>
      </c>
      <c r="F273" s="5" t="inlineStr">
        <is>
          <t>기능</t>
        </is>
      </c>
      <c r="G273" s="5" t="inlineStr">
        <is>
          <t>미실행</t>
        </is>
      </c>
      <c r="H273" s="10" t="inlineStr">
        <is>
          <t>접근성 정보 조회에서 일부 항목이 미조사인 시설 1건을 고른다</t>
        </is>
      </c>
      <c r="I273" s="10" t="inlineStr">
        <is>
          <t>1. 그 시설을 선택해 상세 정보 항목을 표출한다
2. 미조사 항목의 표시 문자열을 그대로 적는다</t>
        </is>
      </c>
      <c r="J273" s="10" t="inlineStr">
        <is>
          <t>미조사 항목이 「없음」이 아니라 「미조사」 별도 문자열로 표기된다. 조사되지 않은 것과 실제로 없는 것이 같은 문자열로 합쳐지지 않는다</t>
        </is>
      </c>
      <c r="K273" s="10" t="inlineStr"/>
      <c r="L273" s="10" t="inlineStr">
        <is>
          <t>UX 08-편의시설 3.5 미조사 항목 · PRD 2부-설계 V-4</t>
        </is>
      </c>
      <c r="M273" s="10" t="inlineStr">
        <is>
          <t>이 판정이 V-4의 본거지다 — 미조사를 「없음」으로 표시하면 계단이 있는 곳을 없는 곳으로 안내하게 된다</t>
        </is>
      </c>
      <c r="N273" s="10" t="inlineStr"/>
    </row>
    <row r="274">
      <c r="A274" s="5" t="n">
        <v>273</v>
      </c>
      <c r="B274" s="10" t="inlineStr">
        <is>
          <t>TC-SVC-05-06</t>
        </is>
      </c>
      <c r="C274" s="10" t="inlineStr">
        <is>
          <t>08-편의시설</t>
        </is>
      </c>
      <c r="D274" s="10" t="inlineStr">
        <is>
          <t>SVC-05</t>
        </is>
      </c>
      <c r="E274" s="10" t="inlineStr">
        <is>
          <t>V-4 · V-3</t>
        </is>
      </c>
      <c r="F274" s="5" t="inlineStr">
        <is>
          <t>기능</t>
        </is>
      </c>
      <c r="G274" s="5" t="inlineStr">
        <is>
          <t>미실행</t>
        </is>
      </c>
      <c r="H274" s="10" t="inlineStr">
        <is>
          <t>접근성 정보 조회 목록 표출</t>
        </is>
      </c>
      <c r="I274" s="10" t="inlineStr">
        <is>
          <t>1. 화면에서 데이터 범위 표기를 찾아 위치와 문안을 적는다
2. 표기가 색 외에 텍스트·아이콘을 함께 쓰는지 확인한다</t>
        </is>
      </c>
      <c r="J274" s="10" t="inlineStr">
        <is>
          <t>조회 결과가 전체가 아니라 수집된 구역의 것임을 화면에 표기하고, 표기가 색 단독이 아니라 색 + 텍스트 + 아이콘 병기다</t>
        </is>
      </c>
      <c r="K274" s="10" t="inlineStr"/>
      <c r="L274" s="10" t="inlineStr">
        <is>
          <t>UX 08-편의시설 3.5 데이터 범위 표기 · PRD 2부-설계 V-4·V-3</t>
        </is>
      </c>
      <c r="M274" s="10" t="inlineStr">
        <is>
          <t>이 표기는 SVC-05 존치의 전제 조건이며 판단 대상이 아니라 요건이다</t>
        </is>
      </c>
      <c r="N274" s="10" t="inlineStr"/>
    </row>
    <row r="275">
      <c r="A275" s="5" t="n">
        <v>274</v>
      </c>
      <c r="B275" s="10" t="inlineStr">
        <is>
          <t>TC-SVC-05-07</t>
        </is>
      </c>
      <c r="C275" s="10" t="inlineStr">
        <is>
          <t>08-편의시설</t>
        </is>
      </c>
      <c r="D275" s="10" t="inlineStr">
        <is>
          <t>SVC-05</t>
        </is>
      </c>
      <c r="E275" s="10" t="inlineStr">
        <is>
          <t>V-4</t>
        </is>
      </c>
      <c r="F275" s="5" t="inlineStr">
        <is>
          <t>기능</t>
        </is>
      </c>
      <c r="G275" s="12" t="inlineStr">
        <is>
          <t>보류</t>
        </is>
      </c>
      <c r="H275" s="10" t="inlineStr">
        <is>
          <t>접근성 정보 조회 상세 표출</t>
        </is>
      </c>
      <c r="I275" s="10" t="inlineStr">
        <is>
          <t>1. 상세 화면에서 조사 기준 시점(조사 일자·기준일) 표기를 찾는다</t>
        </is>
      </c>
      <c r="J275" s="10" t="inlineStr">
        <is>
          <t>판정 불가 — PRD V-4는 미조사 표기와 함께 조사 기준 시점을 보이도록 요구하는데, UX 화면 사양 3.5절은 데이터 범위 표기까지만 정하고 시점 표기의 자리·문안을 정하지 않았다. 기획 확정 후 기대결과를 채운다</t>
        </is>
      </c>
      <c r="K275" s="10" t="inlineStr"/>
      <c r="L275" s="10" t="inlineStr">
        <is>
          <t>PRD 2부-설계 V-4 · UX 08-편의시설 3.5</t>
        </is>
      </c>
      <c r="M275" s="10" t="inlineStr"/>
      <c r="N275" s="10" t="inlineStr"/>
    </row>
    <row r="276">
      <c r="A276" s="5" t="n">
        <v>275</v>
      </c>
      <c r="B276" s="10" t="inlineStr">
        <is>
          <t>TC-SVC-05-08</t>
        </is>
      </c>
      <c r="C276" s="10" t="inlineStr">
        <is>
          <t>08-편의시설</t>
        </is>
      </c>
      <c r="D276" s="10" t="inlineStr">
        <is>
          <t>SVC-06 · 1-2-2 · 1-2-3 · 1-2-4 · SVC-05 · 1-2-6 · SVC-04</t>
        </is>
      </c>
      <c r="E276" s="10" t="inlineStr">
        <is>
          <t>V-4 · V-6</t>
        </is>
      </c>
      <c r="F276" s="5" t="inlineStr">
        <is>
          <t>기능</t>
        </is>
      </c>
      <c r="G276" s="5" t="inlineStr">
        <is>
          <t>미실행</t>
        </is>
      </c>
      <c r="H276" s="10" t="inlineStr">
        <is>
          <t>데이터 공급처가 없는 카테고리 1개를 고른다</t>
        </is>
      </c>
      <c r="I276" s="10" t="inlineStr">
        <is>
          <t>1. `1-2`에서 그 카테고리를 선택한다
2. 목록 화면에 표시된 문안을 적는다</t>
        </is>
      </c>
      <c r="J276" s="10" t="inlineStr">
        <is>
          <t>빈 화면으로 두지 않고 「데이터 없음」 사유를 알린다. 시설이 인근에 없다는 뜻(해당 없음)과 데이터가 없다는 뜻(정보 없음)이 같은 문안으로 합쳐지지 않는다</t>
        </is>
      </c>
      <c r="K276" s="10" t="inlineStr"/>
      <c r="L276" s="10" t="inlineStr">
        <is>
          <t>UX 08-편의시설 2.4 예외 케이스 · PRD 2부-설계 V-4·V-6</t>
        </is>
      </c>
      <c r="M276" s="10" t="inlineStr">
        <is>
          <t>화면 ID 미부여 4종 포함 — 부여 시 TC-ID 이관 대상</t>
        </is>
      </c>
      <c r="N276" s="10" t="inlineStr"/>
    </row>
    <row r="277">
      <c r="A277" s="5" t="n">
        <v>276</v>
      </c>
      <c r="B277" s="10" t="inlineStr">
        <is>
          <t>TC-SVC-05-09</t>
        </is>
      </c>
      <c r="C277" s="10" t="inlineStr">
        <is>
          <t>08-편의시설</t>
        </is>
      </c>
      <c r="D277" s="10" t="inlineStr">
        <is>
          <t>SVC-06 · 1-2-2 · 1-2-3 · 1-2-4 · SVC-05 · 1-2-6 · SVC-04</t>
        </is>
      </c>
      <c r="E277" s="10" t="inlineStr">
        <is>
          <t>NFR-03 · T-1 · T-2</t>
        </is>
      </c>
      <c r="F277" s="5" t="inlineStr">
        <is>
          <t>접근성</t>
        </is>
      </c>
      <c r="G277" s="5" t="inlineStr">
        <is>
          <t>미실행</t>
        </is>
      </c>
      <c r="H277" s="10" t="inlineStr">
        <is>
          <t>S1 · 시설 목록 표출 · 시스템 글자 크기 기본</t>
        </is>
      </c>
      <c r="I277" s="10" t="inlineStr">
        <is>
          <t>1. 목록 항목의 이름 줄과 주소 줄 글자 크기를 잰다
2. 두 줄의 줄간격을 잰다
3. 본문·보조 라벨에 바인딩된 굵기를 확인한다</t>
        </is>
      </c>
      <c r="J277" s="10" t="inlineStr">
        <is>
          <t>이름·주소 두 줄 모두 16px 이상이고 줄간격 150% 이상이며 Regular가 바인딩되지 않았다(하한 Medium). 값은 정본 토큰 값과 일치한다</t>
        </is>
      </c>
      <c r="K277" s="10" t="inlineStr"/>
      <c r="L277" s="10" t="inlineStr">
        <is>
          <t>UX 08-편의시설 3.2·3.3 3번 · PRD 1부-요건 NFR-03 · 2부-설계 T-1·T-2</t>
        </is>
      </c>
      <c r="M277" s="10" t="inlineStr">
        <is>
          <t>화면 ID 미부여 4종 포함 — 부여 시 TC-ID 이관 대상</t>
        </is>
      </c>
      <c r="N277" s="10" t="inlineStr"/>
    </row>
    <row r="278">
      <c r="A278" s="5" t="n">
        <v>277</v>
      </c>
      <c r="B278" s="10" t="inlineStr">
        <is>
          <t>TC-SVC-05-10</t>
        </is>
      </c>
      <c r="C278" s="10" t="inlineStr">
        <is>
          <t>08-편의시설</t>
        </is>
      </c>
      <c r="D278" s="10" t="inlineStr">
        <is>
          <t>SVC-06 · 1-2-2 · 1-2-3 · 1-2-4 · SVC-05 · 1-2-6 · SVC-04</t>
        </is>
      </c>
      <c r="E278" s="10" t="inlineStr">
        <is>
          <t>AC-06 · T-4 · S-4</t>
        </is>
      </c>
      <c r="F278" s="5" t="inlineStr">
        <is>
          <t>접근성</t>
        </is>
      </c>
      <c r="G278" s="5" t="inlineStr">
        <is>
          <t>미실행</t>
        </is>
      </c>
      <c r="H278" s="10" t="inlineStr">
        <is>
          <t>시스템 글자 크기 200% · 시설 목록 표출</t>
        </is>
      </c>
      <c r="I278" s="10" t="inlineStr">
        <is>
          <t>1. 시스템 글자 크기를 200%로 올린 뒤 시설 목록에 진입한다
2. 이름·주소·역할 3버튼·상세보기가 잘리거나 겹치는지 확인한다
3. 항목과 항목을 가르는 수단이 간격뿐인지, 구분선·배경면 대비가 함께 있는지 확인한다</t>
        </is>
      </c>
      <c r="J278" s="10" t="inlineStr">
        <is>
          <t>200%에서 레이아웃이 깨지지 않고 모든 컨트롤에 도달할 수 있다. 항목 경계가 간격 단독이 아니라 구분선 또는 배경면 대비로 함께 드러난다</t>
        </is>
      </c>
      <c r="K278" s="10" t="inlineStr"/>
      <c r="L278" s="10" t="inlineStr">
        <is>
          <t>UX 08-편의시설 3.2 · PRD 1부-요건 AC-06 · 2부-설계 T-4·S-4</t>
        </is>
      </c>
      <c r="M278" s="10" t="inlineStr">
        <is>
          <t>화면 ID 미부여 4종 포함 — 부여 시 TC-ID 이관 대상</t>
        </is>
      </c>
      <c r="N278" s="10" t="inlineStr"/>
    </row>
    <row r="279">
      <c r="A279" s="5" t="n">
        <v>278</v>
      </c>
      <c r="B279" s="10" t="inlineStr">
        <is>
          <t>TC-SVC-05-11</t>
        </is>
      </c>
      <c r="C279" s="10" t="inlineStr">
        <is>
          <t>08-편의시설</t>
        </is>
      </c>
      <c r="D279" s="10" t="inlineStr">
        <is>
          <t>SVC-06 · 1-2-2 · 1-2-3 · 1-2-4 · SVC-05 · 1-2-6 · SVC-04</t>
        </is>
      </c>
      <c r="E279" s="10" t="inlineStr">
        <is>
          <t>NFR-05</t>
        </is>
      </c>
      <c r="F279" s="5" t="inlineStr">
        <is>
          <t>접근성</t>
        </is>
      </c>
      <c r="G279" s="5" t="inlineStr">
        <is>
          <t>미실행</t>
        </is>
      </c>
      <c r="H279" s="10" t="inlineStr">
        <is>
          <t>TalkBack 켬 · 시설 목록에 항목 3건 이상 표출</t>
        </is>
      </c>
      <c r="I279" s="10" t="inlineStr">
        <is>
          <t>1. 지도 영역에 포커스를 두고 낭독을 적는다
2. 행 우측 `[&gt;]` 상세보기에 포커스를 두고 낭독을 적는다</t>
        </is>
      </c>
      <c r="J279" s="10" t="inlineStr">
        <is>
          <t>지도가 「지도, 인근 시설 N곳 표시됨」으로 요약 낭독되어 낭독 대상에서 제외되지 않고, `[&gt;]`는 대상 장소명을 포함해 「(장소명) 상세 보기, 버튼」으로 낭독된다</t>
        </is>
      </c>
      <c r="K279" s="10" t="inlineStr"/>
      <c r="L279" s="10" t="inlineStr">
        <is>
          <t>UX 08-편의시설 3.3 1번·5번 · PRD 1부-요건 NFR-05</t>
        </is>
      </c>
      <c r="M279" s="10" t="inlineStr">
        <is>
          <t>화면 ID 미부여 4종 포함 — 부여 시 TC-ID 이관 대상</t>
        </is>
      </c>
      <c r="N279" s="10" t="inlineStr"/>
    </row>
    <row r="280">
      <c r="A280" s="5" t="n">
        <v>279</v>
      </c>
      <c r="B280" s="10" t="inlineStr">
        <is>
          <t>TC-SVC-05-12</t>
        </is>
      </c>
      <c r="C280" s="10" t="inlineStr">
        <is>
          <t>08-편의시설</t>
        </is>
      </c>
      <c r="D280" s="10" t="inlineStr">
        <is>
          <t>SVC-06 · 1-2-2 · 1-2-3 · 1-2-4 · SVC-05 · 1-2-6 · SVC-04</t>
        </is>
      </c>
      <c r="E280" s="10" t="inlineStr">
        <is>
          <t>AC-05 · NFR-04</t>
        </is>
      </c>
      <c r="F280" s="5" t="inlineStr">
        <is>
          <t>접근성</t>
        </is>
      </c>
      <c r="G280" s="5" t="inlineStr">
        <is>
          <t>미실행</t>
        </is>
      </c>
      <c r="H280" s="10" t="inlineStr">
        <is>
          <t>S1 · TalkBack 켬 · 시설 목록에 항목 3건 이상 표출</t>
        </is>
      </c>
      <c r="I280" s="10" t="inlineStr">
        <is>
          <t>1. 화면 진입 직후부터 오른쪽 스와이프로 끝까지 이동한다
2. 낭독된 요소를 순서대로 적는다</t>
        </is>
      </c>
      <c r="J280" s="10" t="inlineStr">
        <is>
          <t>카테고리 제목 → 목록 항목 수 → 각 항목(이름 → 주소 → 역할 3버튼 → 상세보기) 순으로 낭독되고, 누락되는 요소가 없다</t>
        </is>
      </c>
      <c r="K280" s="10" t="inlineStr"/>
      <c r="L280" s="10" t="inlineStr">
        <is>
          <t>UX 08-편의시설 3.4 음성 낭독 순서</t>
        </is>
      </c>
      <c r="M280" s="10" t="inlineStr">
        <is>
          <t>화면 ID 미부여 4종 포함 — 부여 시 TC-ID 이관 대상</t>
        </is>
      </c>
      <c r="N280" s="10" t="inlineStr"/>
    </row>
    <row r="281">
      <c r="A281" s="5" t="n">
        <v>280</v>
      </c>
      <c r="B281" s="10" t="inlineStr">
        <is>
          <t>TC-SVC-06-01</t>
        </is>
      </c>
      <c r="C281" s="10" t="inlineStr">
        <is>
          <t>08-편의시설</t>
        </is>
      </c>
      <c r="D281" s="10" t="inlineStr">
        <is>
          <t>SVC-06 · 1-2-2 · 1-2-3 · 1-2-4 · SVC-05 · 1-2-6 · SVC-04</t>
        </is>
      </c>
      <c r="E281" s="10" t="inlineStr">
        <is>
          <t>V-1 · AC-05</t>
        </is>
      </c>
      <c r="F281" s="5" t="inlineStr">
        <is>
          <t>접근성</t>
        </is>
      </c>
      <c r="G281" s="5" t="inlineStr">
        <is>
          <t>미실행</t>
        </is>
      </c>
      <c r="H281" s="10" t="inlineStr">
        <is>
          <t>계정의 교통약자 유형이 「전맹」 · TalkBack 켬</t>
        </is>
      </c>
      <c r="I281" s="10" t="inlineStr">
        <is>
          <t>1. 카테고리를 선택해 시설 목록에 진입한다
2. 표출된 화면 구조(지도 · 바텀시트)와 시트 진입 상태를 확인한다</t>
        </is>
      </c>
      <c r="J281" s="10" t="inlineStr">
        <is>
          <t>전맹도 S1과 같은 지도 + 바텀시트 골격을 쓰고 시트 진입 기본값이 최대화다. 별도 레이아웃 화면으로 갈리지 않는다</t>
        </is>
      </c>
      <c r="K281" s="10" t="inlineStr"/>
      <c r="L281" s="10" t="inlineStr">
        <is>
          <t>UX 08-편의시설 4절·4.1 1번 · `00-공통` 9절 규칙 1</t>
        </is>
      </c>
      <c r="M281" s="10" t="inlineStr">
        <is>
          <t>화면 ID 미부여 4종 포함 — 부여 시 TC-ID 이관 대상</t>
        </is>
      </c>
      <c r="N281" s="10" t="inlineStr"/>
    </row>
    <row r="282">
      <c r="A282" s="5" t="n">
        <v>281</v>
      </c>
      <c r="B282" s="10" t="inlineStr">
        <is>
          <t>TC-SVC-06-02</t>
        </is>
      </c>
      <c r="C282" s="10" t="inlineStr">
        <is>
          <t>08-편의시설</t>
        </is>
      </c>
      <c r="D282" s="10" t="inlineStr">
        <is>
          <t>SVC-06 · 1-2-2 · 1-2-3 · 1-2-4 · SVC-05 · 1-2-6 · SVC-04</t>
        </is>
      </c>
      <c r="E282" s="10" t="inlineStr">
        <is>
          <t>AC-05 · NFR-04</t>
        </is>
      </c>
      <c r="F282" s="5" t="inlineStr">
        <is>
          <t>접근성</t>
        </is>
      </c>
      <c r="G282" s="5" t="inlineStr">
        <is>
          <t>미실행</t>
        </is>
      </c>
      <c r="H282" s="10" t="inlineStr">
        <is>
          <t>전맹 계정 · TalkBack 켬 · 시설 목록 표출</t>
        </is>
      </c>
      <c r="I282" s="10" t="inlineStr">
        <is>
          <t>1. 항목 1건을 선택한다
2. 역할 지정 버튼의 배치(가로/세로)를 확인한다
3. 각 버튼에 포커스를 두고 낭독 라벨을 적는다</t>
        </is>
      </c>
      <c r="J282" s="10" t="inlineStr">
        <is>
          <t>역할 지정 3버튼이 세로 직렬로 배치되고 라벨이 [출발지로 설정] / [경유지로 추가] / [도착지로 설정]이다. 동작 결과는 S1 3버튼과 같다</t>
        </is>
      </c>
      <c r="K282" s="10" t="inlineStr"/>
      <c r="L282" s="10" t="inlineStr">
        <is>
          <t>UX 08-편의시설 4.1 2번 · `00-공통` 9절 규칙 4</t>
        </is>
      </c>
      <c r="M282" s="10" t="inlineStr">
        <is>
          <t>화면 ID 미부여 4종 포함 — 부여 시 TC-ID 이관 대상</t>
        </is>
      </c>
      <c r="N282" s="10" t="inlineStr"/>
    </row>
    <row r="283">
      <c r="A283" s="5" t="n">
        <v>282</v>
      </c>
      <c r="B283" s="10" t="inlineStr">
        <is>
          <t>TC-SVC-06-03</t>
        </is>
      </c>
      <c r="C283" s="10" t="inlineStr">
        <is>
          <t>08-편의시설</t>
        </is>
      </c>
      <c r="D283" s="10" t="inlineStr">
        <is>
          <t>SVC-05</t>
        </is>
      </c>
      <c r="E283" s="10" t="inlineStr">
        <is>
          <t>V-4 · V-6 · AC-05</t>
        </is>
      </c>
      <c r="F283" s="5" t="inlineStr">
        <is>
          <t>접근성</t>
        </is>
      </c>
      <c r="G283" s="5" t="inlineStr">
        <is>
          <t>미실행</t>
        </is>
      </c>
      <c r="H283" s="10" t="inlineStr">
        <is>
          <t>전맹 계정 · TalkBack 켬 · 접근성 정보 항목 일부가 미조사인 시설을 선택</t>
        </is>
      </c>
      <c r="I283" s="10" t="inlineStr">
        <is>
          <t>1. 선택한 시설의 상세를 낭독으로 끝까지 듣는다
2. 미조사 항목이 낭독되는지, 어떤 문자열로 낭독되는지 적는다</t>
        </is>
      </c>
      <c r="J283" s="10" t="inlineStr">
        <is>
          <t>미조사 항목을 건너뛰지 않고 「미조사」로 낭독한다. 값이 비어 침묵하거나 「없음」으로 낭독되지 않는다</t>
        </is>
      </c>
      <c r="K283" s="10" t="inlineStr"/>
      <c r="L283" s="10" t="inlineStr">
        <is>
          <t>UX 08-편의시설 4.1 3번·4.2 ④·4.4 · `00-공통` 9절 규칙 5 · PRD 2부-설계 V-4</t>
        </is>
      </c>
      <c r="M283" s="10" t="inlineStr"/>
      <c r="N283" s="10" t="inlineStr"/>
    </row>
    <row r="284">
      <c r="A284" s="5" t="n">
        <v>283</v>
      </c>
      <c r="B284" s="10" t="inlineStr">
        <is>
          <t>TC-SVC-06-04</t>
        </is>
      </c>
      <c r="C284" s="10" t="inlineStr">
        <is>
          <t>08-편의시설</t>
        </is>
      </c>
      <c r="D284" s="10" t="inlineStr">
        <is>
          <t>SVC-06 · 1-2-2 · 1-2-3 · 1-2-4 · SVC-05 · 1-2-6 · SVC-04</t>
        </is>
      </c>
      <c r="E284" s="10" t="inlineStr">
        <is>
          <t>NFR-05 · AC-05</t>
        </is>
      </c>
      <c r="F284" s="5" t="inlineStr">
        <is>
          <t>접근성</t>
        </is>
      </c>
      <c r="G284" s="5" t="inlineStr">
        <is>
          <t>미실행</t>
        </is>
      </c>
      <c r="H284" s="10" t="inlineStr">
        <is>
          <t>전맹 계정 · TalkBack 켬 · 지도에 핀이 2개 이상 표시된 상태</t>
        </is>
      </c>
      <c r="I284" s="10" t="inlineStr">
        <is>
          <t>1. 지도 영역 낭독을 듣고 적는다
2. 핀이 여러 개일 때 위치 안내가 함께 나오는지 확인한다</t>
        </is>
      </c>
      <c r="J284" s="10" t="inlineStr">
        <is>
          <t>지도가 「지도, 인근 시설 N곳 표시됨」으로 요약 낭독되고, 핀 위치가 음성으로 함께 안내된다</t>
        </is>
      </c>
      <c r="K284" s="10" t="inlineStr"/>
      <c r="L284" s="10" t="inlineStr">
        <is>
          <t>UX 08-편의시설 4.1 4번·4.2 ② · `00-공통` 9절 규칙 6</t>
        </is>
      </c>
      <c r="M284" s="10" t="inlineStr">
        <is>
          <t>화면 ID 미부여 4종 포함 — 부여 시 TC-ID 이관 대상</t>
        </is>
      </c>
      <c r="N284" s="10" t="inlineStr"/>
    </row>
    <row r="285">
      <c r="A285" s="5" t="n">
        <v>284</v>
      </c>
      <c r="B285" s="10" t="inlineStr">
        <is>
          <t>TC-SVC-06-05</t>
        </is>
      </c>
      <c r="C285" s="10" t="inlineStr">
        <is>
          <t>08-편의시설</t>
        </is>
      </c>
      <c r="D285" s="10" t="inlineStr">
        <is>
          <t>SVC-06 · 1-2-2 · 1-2-3 · 1-2-4 · SVC-05 · 1-2-6 · SVC-04</t>
        </is>
      </c>
      <c r="E285" s="10" t="inlineStr">
        <is>
          <t>V-6 · NFR-04</t>
        </is>
      </c>
      <c r="F285" s="5" t="inlineStr">
        <is>
          <t>접근성</t>
        </is>
      </c>
      <c r="G285" s="5" t="inlineStr">
        <is>
          <t>미실행</t>
        </is>
      </c>
      <c r="H285" s="10" t="inlineStr">
        <is>
          <t>전맹 계정 · TalkBack 켬 · 시트 최대화 상태</t>
        </is>
      </c>
      <c r="I285" s="10" t="inlineStr">
        <is>
          <t>1. 바텀시트를 최소화한다
2. 낭독되는 상태 변화 문구를 적는다
3. 최소화 직후 포커스가 놓인 요소를 확인한다</t>
        </is>
      </c>
      <c r="J285" s="10" t="inlineStr">
        <is>
          <t>시트 최소화로 목록이 사라진 사실을 상태 변화로 알리고, 포커스가 지도 또는 「내 위치」로 넘어간다. 아무 안내 없이 포커스가 사라지지 않는다</t>
        </is>
      </c>
      <c r="K285" s="10" t="inlineStr"/>
      <c r="L285" s="10" t="inlineStr">
        <is>
          <t>UX 08-편의시설 4.2 주석 · 3.3 2번 · PRD 2부-설계 V-6</t>
        </is>
      </c>
      <c r="M285" s="10" t="inlineStr">
        <is>
          <t>화면 ID 미부여 4종 포함 — 부여 시 TC-ID 이관 대상</t>
        </is>
      </c>
      <c r="N285" s="10" t="inlineStr"/>
    </row>
    <row r="286">
      <c r="A286" s="5" t="n">
        <v>285</v>
      </c>
      <c r="B286" s="10" t="inlineStr">
        <is>
          <t>TC-SVC-06-06</t>
        </is>
      </c>
      <c r="C286" s="10" t="inlineStr">
        <is>
          <t>08-편의시설</t>
        </is>
      </c>
      <c r="D286" s="10" t="inlineStr">
        <is>
          <t>SVC-06 · 1-2-2 · 1-2-3 · 1-2-4 · SVC-05 · 1-2-6 · SVC-04</t>
        </is>
      </c>
      <c r="E286" s="10" t="inlineStr">
        <is>
          <t>AC-05</t>
        </is>
      </c>
      <c r="F286" s="5" t="inlineStr">
        <is>
          <t>접근성</t>
        </is>
      </c>
      <c r="G286" s="12" t="inlineStr">
        <is>
          <t>보류</t>
        </is>
      </c>
      <c r="H286" s="10" t="inlineStr">
        <is>
          <t>전맹 계정 · 목록 항목이 20건 이상인 위치</t>
        </is>
      </c>
      <c r="I286" s="10" t="inlineStr">
        <is>
          <t>1. 시설 목록을 낭독으로 끝까지 듣는다
2. 1회 낭독 항목 수 상한과 스크롤 고정 동작을 확인한다</t>
        </is>
      </c>
      <c r="J286" s="10" t="inlineStr">
        <is>
          <t>판정 불가 — 1회 낭독 항목 수 상한이 정해져 있지 않고, 「낭독 위치 유지(스크롤 고정)」와 시트 내부 스크롤의 양립 방식도 미확정이다(4.5절). 확정 후 기대결과를 채운다</t>
        </is>
      </c>
      <c r="K286" s="10" t="inlineStr"/>
      <c r="L286" s="10" t="inlineStr">
        <is>
          <t>UX 08-편의시설 4.5 미확정 · `00-공통` 9절 규칙 3</t>
        </is>
      </c>
      <c r="M286" s="10" t="inlineStr">
        <is>
          <t>화면 ID 미부여 4종 포함 — 부여 시 TC-ID 이관 대상</t>
        </is>
      </c>
      <c r="N286" s="10" t="inlineStr"/>
    </row>
    <row r="287">
      <c r="A287" s="5" t="n">
        <v>286</v>
      </c>
      <c r="B287" s="10" t="inlineStr">
        <is>
          <t>TC-SVC-04-01</t>
        </is>
      </c>
      <c r="C287" s="10" t="inlineStr">
        <is>
          <t>08-편의시설</t>
        </is>
      </c>
      <c r="D287" s="10" t="inlineStr">
        <is>
          <t>SVC-04</t>
        </is>
      </c>
      <c r="E287" s="10" t="inlineStr">
        <is>
          <t>V-6</t>
        </is>
      </c>
      <c r="F287" s="5" t="inlineStr">
        <is>
          <t>기능</t>
        </is>
      </c>
      <c r="G287" s="12" t="inlineStr">
        <is>
          <t>보류</t>
        </is>
      </c>
      <c r="H287" s="10" t="inlineStr">
        <is>
          <t>청계천 카테고리 선택</t>
        </is>
      </c>
      <c r="I287" s="10" t="inlineStr">
        <is>
          <t>1. `1-2`에서 「청계천 이동약자 시설물」을 선택한다
2. 목록 화면의 표출 결과를 적는다</t>
        </is>
      </c>
      <c r="J287" s="10" t="inlineStr">
        <is>
          <t>판정 불가 — 데이터 공급처 미확보로 카테고리 자체가 조건부 폐기 대상으로 열려 있어(허브 4절), 목록 표출과 「데이터 없음」 사유 표출 중 무엇이 정상인지 정해져 있지 않다. 존폐 확정 후 기대결과를 채운다</t>
        </is>
      </c>
      <c r="K287" s="10" t="inlineStr"/>
      <c r="L287" s="10" t="inlineStr">
        <is>
          <t>UX 08-편의시설 2.4 예외 케이스</t>
        </is>
      </c>
      <c r="M287" s="10" t="inlineStr">
        <is>
          <t>폐기 확정 시 카테고리 리스트가 6종이 되므로 TC-1-2-03~07의 순서 기대결과도 함께 갱신 대상이다</t>
        </is>
      </c>
      <c r="N287" s="10" t="inlineStr"/>
    </row>
    <row r="288">
      <c r="A288" s="5" t="n">
        <v>287</v>
      </c>
      <c r="B288" s="10" t="inlineStr">
        <is>
          <t>TC-1-5-01</t>
        </is>
      </c>
      <c r="C288" s="10" t="inlineStr">
        <is>
          <t>09-택시호출</t>
        </is>
      </c>
      <c r="D288" s="10" t="inlineStr">
        <is>
          <t>1-5</t>
        </is>
      </c>
      <c r="E288" s="10" t="inlineStr">
        <is>
          <t>V-1</t>
        </is>
      </c>
      <c r="F288" s="5" t="inlineStr">
        <is>
          <t>기능</t>
        </is>
      </c>
      <c r="G288" s="5" t="inlineStr">
        <is>
          <t>미실행</t>
        </is>
      </c>
      <c r="H288" s="10" t="inlineStr">
        <is>
          <t>온보딩 완료 · 홈 6메뉴에서 택시 호출 진입</t>
        </is>
      </c>
      <c r="I288" s="10" t="inlineStr">
        <is>
          <t>1. 홈에서 택시 호출로 진입한다
2. 카드의 개수와 배열 방향을 확인한다
3. 각 카드의 구성 요소를 확인한다
4. 카드 4종의 서비스명을 기록한다</t>
        </is>
      </c>
      <c r="J288" s="10" t="inlineStr">
        <is>
          <t>카드 4개가 세로로 나열되고 각 카드가 서비스명·대표번호 행·액션 2버튼으로 구성된다. 서비스명은 장애인 콜택시·장애인 복지콜·서울엄마아빠택시 타다 예약·서울엄마아빠택시 파파 예약 4종이다</t>
        </is>
      </c>
      <c r="K288" s="10" t="inlineStr"/>
      <c r="L288" s="10" t="inlineStr">
        <is>
          <t>UX 09-택시호출 2.2절 화면 구성 · 2.3절 서비스 4종 · 2.4절 요소 1</t>
        </is>
      </c>
      <c r="M288" s="10" t="inlineStr">
        <is>
          <t>화면 ID 미부여 — 부여 시 TC-ID 이관 대상. 대표번호 값의 정본은 서버 설정값이다(TC-1-5-10)</t>
        </is>
      </c>
      <c r="N288" s="10" t="inlineStr"/>
    </row>
    <row r="289">
      <c r="A289" s="5" t="n">
        <v>288</v>
      </c>
      <c r="B289" s="10" t="inlineStr">
        <is>
          <t>TC-1-5-02</t>
        </is>
      </c>
      <c r="C289" s="10" t="inlineStr">
        <is>
          <t>09-택시호출</t>
        </is>
      </c>
      <c r="D289" s="10" t="inlineStr">
        <is>
          <t>1-5</t>
        </is>
      </c>
      <c r="E289" s="10" t="inlineStr">
        <is>
          <t>V-4 · V-6</t>
        </is>
      </c>
      <c r="F289" s="5" t="inlineStr">
        <is>
          <t>기능</t>
        </is>
      </c>
      <c r="G289" s="5" t="inlineStr">
        <is>
          <t>미실행</t>
        </is>
      </c>
      <c r="H289" s="10" t="inlineStr">
        <is>
          <t>택시 호출 화면 진입</t>
        </is>
      </c>
      <c r="I289" s="10" t="inlineStr">
        <is>
          <t>1. 타다 예약 카드의 대표번호 자리 표기를 확인한다
2. 타다 예약 카드의 액션 버튼 2종을 확인한다
3. 나머지 3카드의 액션 버튼과 대조한다</t>
        </is>
      </c>
      <c r="J289" s="10" t="inlineStr">
        <is>
          <t>타다 카드는 대표번호 자리에 앱 내 문의로 표기되고 액션이 앱 다운로드·홈페이지다. 없는 전화번호를 만들어 넣거나 전화 걸기 버튼을 두면 실패</t>
        </is>
      </c>
      <c r="K289" s="10" t="inlineStr"/>
      <c r="L289" s="10" t="inlineStr">
        <is>
          <t>UX 09-택시호출 2.3절 #3 · 2.4절 요소 4·5</t>
        </is>
      </c>
      <c r="M289" s="10" t="inlineStr">
        <is>
          <t>화면 ID 미부여 — 부여 시 TC-ID 이관 대상</t>
        </is>
      </c>
      <c r="N289" s="10" t="inlineStr"/>
    </row>
    <row r="290">
      <c r="A290" s="5" t="n">
        <v>289</v>
      </c>
      <c r="B290" s="10" t="inlineStr">
        <is>
          <t>TC-1-5-03</t>
        </is>
      </c>
      <c r="C290" s="10" t="inlineStr">
        <is>
          <t>09-택시호출</t>
        </is>
      </c>
      <c r="D290" s="10" t="inlineStr">
        <is>
          <t>1-5</t>
        </is>
      </c>
      <c r="E290" s="10" t="inlineStr">
        <is>
          <t>V-6</t>
        </is>
      </c>
      <c r="F290" s="5" t="inlineStr">
        <is>
          <t>기능</t>
        </is>
      </c>
      <c r="G290" s="5" t="inlineStr">
        <is>
          <t>미실행</t>
        </is>
      </c>
      <c r="H290" s="10" t="inlineStr">
        <is>
          <t>발신 가능한 단말 · 택시 호출 화면 진입</t>
        </is>
      </c>
      <c r="I290" s="10" t="inlineStr">
        <is>
          <t>1. 장애인 콜택시 카드의 전화 걸기를 누른다
2. 화면에 뜨는 고지를 기록한다
3. 이동한 화면과 발신 대상 번호를 확인한다</t>
        </is>
      </c>
      <c r="J290" s="10" t="inlineStr">
        <is>
          <t>앱을 벗어난다는 사실을 사전 고지한 뒤 단말 발신 화면으로 넘어가고 대상 번호가 그 카드의 대표번호와 같다. 앱 안에서 예약을 완결하려 하면 범위 밖이다</t>
        </is>
      </c>
      <c r="K290" s="10" t="inlineStr"/>
      <c r="L290" s="10" t="inlineStr">
        <is>
          <t>UX 09-택시호출 2.1절 이탈 · 2.4절 요소 2 · PRD 1부 1.6(발신까지가 범위)</t>
        </is>
      </c>
      <c r="M290" s="10" t="inlineStr">
        <is>
          <t>화면 ID 미부여 — 부여 시 TC-ID 이관 대상</t>
        </is>
      </c>
      <c r="N290" s="10" t="inlineStr"/>
    </row>
    <row r="291">
      <c r="A291" s="5" t="n">
        <v>290</v>
      </c>
      <c r="B291" s="10" t="inlineStr">
        <is>
          <t>TC-1-5-04</t>
        </is>
      </c>
      <c r="C291" s="10" t="inlineStr">
        <is>
          <t>09-택시호출</t>
        </is>
      </c>
      <c r="D291" s="10" t="inlineStr">
        <is>
          <t>1-5</t>
        </is>
      </c>
      <c r="E291" s="10" t="inlineStr">
        <is>
          <t>V-6</t>
        </is>
      </c>
      <c r="F291" s="5" t="inlineStr">
        <is>
          <t>기능</t>
        </is>
      </c>
      <c r="G291" s="5" t="inlineStr">
        <is>
          <t>미실행</t>
        </is>
      </c>
      <c r="H291" s="10" t="inlineStr">
        <is>
          <t>택시 호출 화면 진입</t>
        </is>
      </c>
      <c r="I291" s="10" t="inlineStr">
        <is>
          <t>1. 각 카드의 홈페이지 버튼을 차례로 누른다
2. 이탈 사전 고지가 뜨는지 확인한다
3. 이동한 브라우저의 주소를 기록한다</t>
        </is>
      </c>
      <c r="J291" s="10" t="inlineStr">
        <is>
          <t>앱을 벗어난다는 사실을 사전 고지한 뒤 외부 브라우저로 이동하며 4종 각각이 해당 서비스의 홈페이지 주소로 간다. 고지 없이 바로 이탈하면 실패</t>
        </is>
      </c>
      <c r="K291" s="10" t="inlineStr"/>
      <c r="L291" s="10" t="inlineStr">
        <is>
          <t>UX 09-택시호출 2.1절 이탈 · 2.4절 요소 3 · 2.6절 외부 브라우저 이탈</t>
        </is>
      </c>
      <c r="M291" s="10" t="inlineStr">
        <is>
          <t>화면 ID 미부여 — 부여 시 TC-ID 이관 대상</t>
        </is>
      </c>
      <c r="N291" s="10" t="inlineStr"/>
    </row>
    <row r="292">
      <c r="A292" s="5" t="n">
        <v>291</v>
      </c>
      <c r="B292" s="10" t="inlineStr">
        <is>
          <t>TC-1-5-05</t>
        </is>
      </c>
      <c r="C292" s="10" t="inlineStr">
        <is>
          <t>09-택시호출</t>
        </is>
      </c>
      <c r="D292" s="10" t="inlineStr">
        <is>
          <t>1-5</t>
        </is>
      </c>
      <c r="E292" s="10" t="inlineStr">
        <is>
          <t>V-6</t>
        </is>
      </c>
      <c r="F292" s="5" t="inlineStr">
        <is>
          <t>기능</t>
        </is>
      </c>
      <c r="G292" s="5" t="inlineStr">
        <is>
          <t>미실행</t>
        </is>
      </c>
      <c r="H292" s="10" t="inlineStr">
        <is>
          <t>타다 앱이 설치되지 않은 단말 · 택시 호출 화면 진입</t>
        </is>
      </c>
      <c r="I292" s="10" t="inlineStr">
        <is>
          <t>1. 타다 예약 카드의 앱 다운로드를 누른다
2. 이동한 화면을 확인한다
3. 앱 실행 시도나 실패 안내가 먼저 뜨는지 확인한다</t>
        </is>
      </c>
      <c r="J292" s="10" t="inlineStr">
        <is>
          <t>곧바로 스토어의 타다 앱 페이지로 이동한다. 앱 실행을 시도했다가 실패 처리로 되돌아오면 실패</t>
        </is>
      </c>
      <c r="K292" s="10" t="inlineStr"/>
      <c r="L292" s="10" t="inlineStr">
        <is>
          <t>UX 09-택시호출 2.4절 요소 4 · 2.6절 타다 앱 미설치</t>
        </is>
      </c>
      <c r="M292" s="10" t="inlineStr">
        <is>
          <t>화면 ID 미부여 — 부여 시 TC-ID 이관 대상</t>
        </is>
      </c>
      <c r="N292" s="10" t="inlineStr"/>
    </row>
    <row r="293">
      <c r="A293" s="5" t="n">
        <v>292</v>
      </c>
      <c r="B293" s="10" t="inlineStr">
        <is>
          <t>TC-1-5-06</t>
        </is>
      </c>
      <c r="C293" s="10" t="inlineStr">
        <is>
          <t>09-택시호출</t>
        </is>
      </c>
      <c r="D293" s="10" t="inlineStr">
        <is>
          <t>1-5</t>
        </is>
      </c>
      <c r="E293" s="10" t="inlineStr">
        <is>
          <t>V-3 · NFR-05</t>
        </is>
      </c>
      <c r="F293" s="5" t="inlineStr">
        <is>
          <t>접근성</t>
        </is>
      </c>
      <c r="G293" s="5" t="inlineStr">
        <is>
          <t>미실행</t>
        </is>
      </c>
      <c r="H293" s="10" t="inlineStr">
        <is>
          <t>택시 호출 화면 진입</t>
        </is>
      </c>
      <c r="I293" s="10" t="inlineStr">
        <is>
          <t>1. 액션 버튼 8개(4카드 × 2)의 라벨 구성을 확인한다
2. 앱 밖으로 나간다는 표시가 아이콘만으로 되어 있는지 확인한다</t>
        </is>
      </c>
      <c r="J293" s="10" t="inlineStr">
        <is>
          <t>외부 이탈 표시에 텍스트가 병기된다. 아이콘·색 단독으로 이탈을 전달하는 버튼이 하나라도 있으면 실패</t>
        </is>
      </c>
      <c r="K293" s="10" t="inlineStr"/>
      <c r="L293" s="10" t="inlineStr">
        <is>
          <t>UX 09-택시호출 2.4절 요소 2·3 · PRD 2부 7.5 V-3</t>
        </is>
      </c>
      <c r="M293" s="10" t="inlineStr">
        <is>
          <t>화면 ID 미부여 — 부여 시 TC-ID 이관 대상</t>
        </is>
      </c>
      <c r="N293" s="10" t="inlineStr"/>
    </row>
    <row r="294">
      <c r="A294" s="5" t="n">
        <v>293</v>
      </c>
      <c r="B294" s="10" t="inlineStr">
        <is>
          <t>TC-1-5-07</t>
        </is>
      </c>
      <c r="C294" s="10" t="inlineStr">
        <is>
          <t>09-택시호출</t>
        </is>
      </c>
      <c r="D294" s="10" t="inlineStr">
        <is>
          <t>1-5</t>
        </is>
      </c>
      <c r="E294" s="10" t="inlineStr">
        <is>
          <t>AC-05 · NFR-05 · V-6</t>
        </is>
      </c>
      <c r="F294" s="5" t="inlineStr">
        <is>
          <t>접근성</t>
        </is>
      </c>
      <c r="G294" s="5" t="inlineStr">
        <is>
          <t>미실행</t>
        </is>
      </c>
      <c r="H294" s="10" t="inlineStr">
        <is>
          <t>TalkBack 켬 · 택시 호출 화면 진입</t>
        </is>
      </c>
      <c r="I294" s="10" t="inlineStr">
        <is>
          <t>1. 장애인 콜택시 카드의 전화 걸기에 포커스를 둔다
2. 낭독 문자열을 기록한다
3. 나머지 카드의 전화 걸기에서 같은 항목을 기록한다</t>
        </is>
      </c>
      <c r="J294" s="10" t="inlineStr">
        <is>
          <t>낭독 라벨이 누르면 일어나는 일을 담는다 — 버튼 역할과 함께 어느 번호로 전화가 걸리는지가 낭독된다. 전화 걸기 단독 낭독이면 되돌릴 수 없는 결과가 전달되지 않아 실패</t>
        </is>
      </c>
      <c r="K294" s="10" t="inlineStr"/>
      <c r="L294" s="10" t="inlineStr">
        <is>
          <t>UX 09-택시호출 2.4절 요소 2 음성(S2) 낭독 라벨</t>
        </is>
      </c>
      <c r="M294" s="10" t="inlineStr">
        <is>
          <t>화면 ID 미부여 — 부여 시 TC-ID 이관 대상</t>
        </is>
      </c>
      <c r="N294" s="10" t="inlineStr"/>
    </row>
    <row r="295">
      <c r="A295" s="5" t="n">
        <v>294</v>
      </c>
      <c r="B295" s="10" t="inlineStr">
        <is>
          <t>TC-1-5-08</t>
        </is>
      </c>
      <c r="C295" s="10" t="inlineStr">
        <is>
          <t>09-택시호출</t>
        </is>
      </c>
      <c r="D295" s="10" t="inlineStr">
        <is>
          <t>1-5</t>
        </is>
      </c>
      <c r="E295" s="10" t="inlineStr">
        <is>
          <t>AC-05 · V-9 · V-1</t>
        </is>
      </c>
      <c r="F295" s="5" t="inlineStr">
        <is>
          <t>접근성</t>
        </is>
      </c>
      <c r="G295" s="5" t="inlineStr">
        <is>
          <t>미실행</t>
        </is>
      </c>
      <c r="H295" s="10" t="inlineStr">
        <is>
          <t>전맹(S2) 유형 · TalkBack 켬 · 택시 호출 화면 진입</t>
        </is>
      </c>
      <c r="I295" s="10" t="inlineStr">
        <is>
          <t>1. 첫 요소부터 순서대로 포커스를 이동한다
2. 낭독 항목과 순서를 기록한다
3. 4카드의 액션 버튼 8개가 모두 포커스로 도달·실행되는지 확인한다</t>
        </is>
      </c>
      <c r="J295" s="10" t="inlineStr">
        <is>
          <t>제목 택시 호출 다음에 카드별로 서비스명 → 대표번호 → 액션 2종이 낭독되고, 4카드 전부가 스크린리더만으로 조작된다. 이 화면은 지도 직접 조작·사진 촬영 같은 S2 미성립 흐름을 갖지 않는다</t>
        </is>
      </c>
      <c r="K295" s="10" t="inlineStr"/>
      <c r="L295" s="10" t="inlineStr">
        <is>
          <t>UX 09-택시호출 2.5절 낭독 순서 · PRD 2부 7.5 V-9</t>
        </is>
      </c>
      <c r="M295" s="10" t="inlineStr">
        <is>
          <t>화면 ID 미부여 — 부여 시 TC-ID 이관 대상</t>
        </is>
      </c>
      <c r="N295" s="10" t="inlineStr"/>
    </row>
    <row r="296">
      <c r="A296" s="5" t="n">
        <v>295</v>
      </c>
      <c r="B296" s="10" t="inlineStr">
        <is>
          <t>TC-1-5-09</t>
        </is>
      </c>
      <c r="C296" s="10" t="inlineStr">
        <is>
          <t>09-택시호출</t>
        </is>
      </c>
      <c r="D296" s="10" t="inlineStr">
        <is>
          <t>1-5</t>
        </is>
      </c>
      <c r="E296" s="10" t="inlineStr">
        <is>
          <t>AC-05 · V-6</t>
        </is>
      </c>
      <c r="F296" s="5" t="inlineStr">
        <is>
          <t>접근성</t>
        </is>
      </c>
      <c r="G296" s="5" t="inlineStr">
        <is>
          <t>미실행</t>
        </is>
      </c>
      <c r="H296" s="10" t="inlineStr">
        <is>
          <t>TalkBack 켬 · 택시 호출 화면 진입</t>
        </is>
      </c>
      <c r="I296" s="10" t="inlineStr">
        <is>
          <t>1. 타다 예약 카드의 대표번호 자리에 포커스를 둔다
2. 낭독 문자열을 기록한다</t>
        </is>
      </c>
      <c r="J296" s="10" t="inlineStr">
        <is>
          <t>전화 상담이 없다는 사실과 앱 내 문의만 제공된다는 사실이 낭독으로 구분돼 전달된다. 번호를 읽는 자리와 같은 형식으로 뭉쳐 읽히면 실패</t>
        </is>
      </c>
      <c r="K296" s="10" t="inlineStr"/>
      <c r="L296" s="10" t="inlineStr">
        <is>
          <t>UX 09-택시호출 2.4절 요소 5(앱 내 문의 낭독)</t>
        </is>
      </c>
      <c r="M296" s="10" t="inlineStr">
        <is>
          <t>화면 ID 미부여 — 부여 시 TC-ID 이관 대상. 낭독 문안은 조정 가능하며 판정 대상은 번호와 비-번호의 구분이다</t>
        </is>
      </c>
      <c r="N296" s="10" t="inlineStr"/>
    </row>
    <row r="297">
      <c r="A297" s="5" t="n">
        <v>296</v>
      </c>
      <c r="B297" s="10" t="inlineStr">
        <is>
          <t>TC-1-5-10</t>
        </is>
      </c>
      <c r="C297" s="10" t="inlineStr">
        <is>
          <t>09-택시호출</t>
        </is>
      </c>
      <c r="D297" s="10" t="inlineStr">
        <is>
          <t>1-5</t>
        </is>
      </c>
      <c r="E297" s="10" t="inlineStr">
        <is>
          <t>V-6 · E-5</t>
        </is>
      </c>
      <c r="F297" s="5" t="inlineStr">
        <is>
          <t>기능</t>
        </is>
      </c>
      <c r="G297" s="5" t="inlineStr">
        <is>
          <t>미실행</t>
        </is>
      </c>
      <c r="H297" s="10" t="inlineStr">
        <is>
          <t>서버 설정값에서 특정 카드의 대표번호를 받지 못하는 상태</t>
        </is>
      </c>
      <c r="I297" s="10" t="inlineStr">
        <is>
          <t>1. 번호 설정값을 받지 못한 상태로 택시 호출 화면에 진입한다
2. 해당 카드의 전화 걸기 버튼 상태를 확인한다
3. 사유 표기가 텍스트로 있는지 확인한다
4. 해당 카드의 홈페이지 버튼이 동작하는지 확인한다</t>
        </is>
      </c>
      <c r="J297" s="10" t="inlineStr">
        <is>
          <t>그 카드의 전화 걸기가 비활성되고 사유가 텍스트로 표시된다. 잘못된 번호나 앱에 박아둔 값으로 발신되면 실패</t>
        </is>
      </c>
      <c r="K297" s="10" t="inlineStr"/>
      <c r="L297" s="10" t="inlineStr">
        <is>
          <t>UX 09-택시호출 2.3절 주석(번호는 서버 설정값) · 2.6절 설정값 미수신</t>
        </is>
      </c>
      <c r="M297" s="10" t="inlineStr">
        <is>
          <t>화면 ID 미부여 — 부여 시 TC-ID 이관 대상</t>
        </is>
      </c>
      <c r="N297" s="10" t="inlineStr"/>
    </row>
    <row r="298">
      <c r="A298" s="5" t="n">
        <v>297</v>
      </c>
      <c r="B298" s="10" t="inlineStr">
        <is>
          <t>TC-1-5-11</t>
        </is>
      </c>
      <c r="C298" s="10" t="inlineStr">
        <is>
          <t>09-택시호출</t>
        </is>
      </c>
      <c r="D298" s="10" t="inlineStr">
        <is>
          <t>1-5</t>
        </is>
      </c>
      <c r="E298" s="10" t="inlineStr">
        <is>
          <t>V-6</t>
        </is>
      </c>
      <c r="F298" s="5" t="inlineStr">
        <is>
          <t>기능</t>
        </is>
      </c>
      <c r="G298" s="5" t="inlineStr">
        <is>
          <t>미실행</t>
        </is>
      </c>
      <c r="H298" s="10" t="inlineStr">
        <is>
          <t>발신 기능이 없는 단말(태블릿 등) · 택시 호출 화면 진입</t>
        </is>
      </c>
      <c r="I298" s="10" t="inlineStr">
        <is>
          <t>1. 발신 불가 단말에서 택시 호출 화면에 진입한다
2. 전화 걸기 버튼의 표출 여부와 상태를 확인한다
3. 사유 표기를 확인한다
4. 홈페이지 버튼이 동작하는지 확인한다</t>
        </is>
      </c>
      <c r="J298" s="10" t="inlineStr">
        <is>
          <t>전화 걸기 버튼을 숨기지 않고 발신할 수 없다는 사유를 알리며 홈페이지 액션은 그대로 동작한다. 버튼이 조용히 사라지면 실패</t>
        </is>
      </c>
      <c r="K298" s="10" t="inlineStr"/>
      <c r="L298" s="10" t="inlineStr">
        <is>
          <t>UX 09-택시호출 2.6절 발신 불가 단말</t>
        </is>
      </c>
      <c r="M298" s="10" t="inlineStr">
        <is>
          <t>화면 ID 미부여 — 부여 시 TC-ID 이관 대상</t>
        </is>
      </c>
      <c r="N298" s="10" t="inlineStr"/>
    </row>
    <row r="299">
      <c r="A299" s="5" t="n">
        <v>298</v>
      </c>
      <c r="B299" s="10" t="inlineStr">
        <is>
          <t>TC-1-5-12</t>
        </is>
      </c>
      <c r="C299" s="10" t="inlineStr">
        <is>
          <t>09-택시호출</t>
        </is>
      </c>
      <c r="D299" s="10" t="inlineStr">
        <is>
          <t>1-5</t>
        </is>
      </c>
      <c r="E299" s="10" t="inlineStr">
        <is>
          <t>NFR-02</t>
        </is>
      </c>
      <c r="F299" s="5" t="inlineStr">
        <is>
          <t>접근성</t>
        </is>
      </c>
      <c r="G299" s="5" t="inlineStr">
        <is>
          <t>미실행</t>
        </is>
      </c>
      <c r="H299" s="10" t="inlineStr">
        <is>
          <t>택시 호출 화면 진입</t>
        </is>
      </c>
      <c r="I299" s="10" t="inlineStr">
        <is>
          <t>1. 액션 버튼 8개의 터치 히트 영역을 측정한다
2. 같은 카드 안 두 버튼 사이, 카드와 카드 사이 간격을 측정한다</t>
        </is>
      </c>
      <c r="J299" s="10" t="inlineStr">
        <is>
          <t>각 버튼이 44×44pt 이상이고 인접 간격이 8px 이상이다</t>
        </is>
      </c>
      <c r="K299" s="10" t="inlineStr"/>
      <c r="L299" s="10" t="inlineStr">
        <is>
          <t>UX 09-택시호출 2.2절 · 3절 근거(NFR-02)</t>
        </is>
      </c>
      <c r="M299" s="10" t="inlineStr">
        <is>
          <t>화면 ID 미부여 — 부여 시 TC-ID 이관 대상</t>
        </is>
      </c>
      <c r="N299" s="10" t="inlineStr"/>
    </row>
    <row r="300">
      <c r="A300" s="5" t="n">
        <v>299</v>
      </c>
      <c r="B300" s="10" t="inlineStr">
        <is>
          <t>TC-1-5-13</t>
        </is>
      </c>
      <c r="C300" s="10" t="inlineStr">
        <is>
          <t>09-택시호출</t>
        </is>
      </c>
      <c r="D300" s="10" t="inlineStr">
        <is>
          <t>1-5</t>
        </is>
      </c>
      <c r="E300" s="10" t="inlineStr">
        <is>
          <t>AC-06 · T-4</t>
        </is>
      </c>
      <c r="F300" s="5" t="inlineStr">
        <is>
          <t>접근성</t>
        </is>
      </c>
      <c r="G300" s="5" t="inlineStr">
        <is>
          <t>미실행</t>
        </is>
      </c>
      <c r="H300" s="10" t="inlineStr">
        <is>
          <t>택시 호출 화면 진입</t>
        </is>
      </c>
      <c r="I300" s="10" t="inlineStr">
        <is>
          <t>1. 시스템 글자 크기를 200%로 설정한다
2. 4카드의 서비스명·대표번호 행·액션 2버튼을 확인한다
3. 화면을 끝까지 스크롤한다</t>
        </is>
      </c>
      <c r="J300" s="10" t="inlineStr">
        <is>
          <t>가장 긴 서비스명(서울엄마아빠택시 타다 예약)과 액션 2버튼이 200%에서도 잘리거나 겹치지 않는다. 가로 스크롤이 생기면 실패</t>
        </is>
      </c>
      <c r="K300" s="10" t="inlineStr"/>
      <c r="L300" s="10" t="inlineStr">
        <is>
          <t>UX 09-택시호출 2.2절 · PRD 2부 T-4 · PRD 1부 2.3 AC-06</t>
        </is>
      </c>
      <c r="M300" s="10" t="inlineStr">
        <is>
          <t>화면 ID 미부여 — 부여 시 TC-ID 이관 대상</t>
        </is>
      </c>
      <c r="N300" s="10" t="inlineStr"/>
    </row>
    <row r="301">
      <c r="A301" s="5" t="n">
        <v>300</v>
      </c>
      <c r="B301" s="10" t="inlineStr">
        <is>
          <t>TC-1-5-14</t>
        </is>
      </c>
      <c r="C301" s="10" t="inlineStr">
        <is>
          <t>09-택시호출</t>
        </is>
      </c>
      <c r="D301" s="10" t="inlineStr">
        <is>
          <t>1-5</t>
        </is>
      </c>
      <c r="E301" s="10" t="inlineStr">
        <is>
          <t>NFR-04 · AC-05</t>
        </is>
      </c>
      <c r="F301" s="5" t="inlineStr">
        <is>
          <t>접근성</t>
        </is>
      </c>
      <c r="G301" s="5" t="inlineStr">
        <is>
          <t>미실행</t>
        </is>
      </c>
      <c r="H301" s="10" t="inlineStr">
        <is>
          <t>TalkBack 켬 · 택시 호출 화면 진입</t>
        </is>
      </c>
      <c r="I301" s="10" t="inlineStr">
        <is>
          <t>1. 탑바부터 마지막 카드까지 포커스를 순서대로 이동한다
2. 포커스 순서가 화면의 시각 배열과 같은지 기록한다
3. 모든 컨트롤을 누르기 동작만으로 실행한다</t>
        </is>
      </c>
      <c r="J301" s="10" t="inlineStr">
        <is>
          <t>포커스가 탑바 → 카드 1 → 카드 2 → 카드 3 → 카드 4 순으로 이동하고 카드 안에서는 서비스명 → 대표번호 → 액션 2종 순이다. 모든 컨트롤이 누르기만으로 제어된다</t>
        </is>
      </c>
      <c r="K301" s="10" t="inlineStr"/>
      <c r="L301" s="10" t="inlineStr">
        <is>
          <t>UX 09-택시호출 2.5절 · PRD 2부 7.4 NFR-04</t>
        </is>
      </c>
      <c r="M301" s="10" t="inlineStr">
        <is>
          <t>화면 ID 미부여 — 부여 시 TC-ID 이관 대상</t>
        </is>
      </c>
      <c r="N301" s="10" t="inlineStr"/>
    </row>
    <row r="302">
      <c r="A302" s="5" t="n">
        <v>301</v>
      </c>
      <c r="B302" s="10" t="inlineStr">
        <is>
          <t>TC-1-5-15</t>
        </is>
      </c>
      <c r="C302" s="10" t="inlineStr">
        <is>
          <t>09-택시호출</t>
        </is>
      </c>
      <c r="D302" s="10" t="inlineStr">
        <is>
          <t>1-5</t>
        </is>
      </c>
      <c r="E302" s="10" t="inlineStr">
        <is>
          <t>V-5 · AC-05</t>
        </is>
      </c>
      <c r="F302" s="5" t="inlineStr">
        <is>
          <t>기능</t>
        </is>
      </c>
      <c r="G302" s="12" t="inlineStr">
        <is>
          <t>보류</t>
        </is>
      </c>
      <c r="H302" s="10" t="inlineStr">
        <is>
          <t>홈 6메뉴의 택시 호출로 진입</t>
        </is>
      </c>
      <c r="I302" s="10" t="inlineStr">
        <is>
          <t>1. 홈에서 누른 메뉴 라벨을 기록한다
2. 도착 화면 탑바의 제목 표기를 확인한다
3. TalkBack으로 탑바를 낭독시켜 화면명을 기록한다</t>
        </is>
      </c>
      <c r="J302" s="10" t="inlineStr">
        <is>
          <t>사양이 갈린다 — 탑바에 제목을 넣을지가 담당자 판단으로 열려 있다(넣는다면 메뉴 라벨과 같은 택시 호출). 제목 유무가 정해지기 전에는 누른 메뉴명과 도착 화면명의 일치를 판정할 수 없다</t>
        </is>
      </c>
      <c r="K302" s="10" t="inlineStr"/>
      <c r="L302" s="10" t="inlineStr">
        <is>
          <t>UX 09-택시호출 2.2절 ① · 2.7절 미확정(탑바 제목)</t>
        </is>
      </c>
      <c r="M302" s="10" t="inlineStr">
        <is>
          <t>화면 ID 미부여 — 부여 시 TC-ID 이관 대상</t>
        </is>
      </c>
      <c r="N302" s="10" t="inlineStr"/>
    </row>
    <row r="303">
      <c r="A303" s="5" t="n">
        <v>302</v>
      </c>
      <c r="B303" s="10" t="inlineStr">
        <is>
          <t>TC-1-5-16</t>
        </is>
      </c>
      <c r="C303" s="10" t="inlineStr">
        <is>
          <t>09-택시호출</t>
        </is>
      </c>
      <c r="D303" s="10" t="inlineStr">
        <is>
          <t>1-5</t>
        </is>
      </c>
      <c r="E303" s="10" t="inlineStr">
        <is>
          <t>MB-2</t>
        </is>
      </c>
      <c r="F303" s="11" t="inlineStr">
        <is>
          <t>대상외</t>
        </is>
      </c>
      <c r="G303" s="5" t="inlineStr">
        <is>
          <t>미실행</t>
        </is>
      </c>
      <c r="H303" s="10" t="inlineStr"/>
      <c r="I303" s="10" t="inlineStr"/>
      <c r="J303" s="10" t="inlineStr">
        <is>
          <t>앱 TC로 판정하지 않는다 — 사유 참조. 이 화면의 비시각 전달은 TC-1-5-07~09(S2 낭독)가 받는다</t>
        </is>
      </c>
      <c r="K303" s="10" t="inlineStr"/>
      <c r="L303" s="10" t="inlineStr">
        <is>
          <t>UX 09-택시호출 1절·2.1절(4종 모두 종착점이 앱 밖) · PRD 2부 MB-2</t>
        </is>
      </c>
      <c r="M303" s="10" t="inlineStr">
        <is>
          <t>화면 ID 미부여 — 부여 시 TC-ID 이관 대상</t>
        </is>
      </c>
      <c r="N303" s="10" t="inlineStr">
        <is>
          <t>MB-2는 안내 이벤트를 음성·햅틱·시각 3채널로 송출하라는 요건인데, 이 화면은 연락 수단을 고르는 정적 선택 화면이라 안내 이벤트를 발생시키지 않는다. 3채널 송출 판정은 내비게이션 화면(INAV-01·ONAV-01)이 받는다</t>
        </is>
      </c>
    </row>
    <row r="304">
      <c r="A304" s="5" t="n">
        <v>303</v>
      </c>
      <c r="B304" s="10" t="inlineStr">
        <is>
          <t>TC-1-6-01</t>
        </is>
      </c>
      <c r="C304" s="10" t="inlineStr">
        <is>
          <t>10-불편신고</t>
        </is>
      </c>
      <c r="D304" s="10" t="inlineStr">
        <is>
          <t>1-6</t>
        </is>
      </c>
      <c r="E304" s="10" t="inlineStr">
        <is>
          <t>SC-08 · V-1</t>
        </is>
      </c>
      <c r="F304" s="5" t="inlineStr">
        <is>
          <t>기능</t>
        </is>
      </c>
      <c r="G304" s="5" t="inlineStr">
        <is>
          <t>미실행</t>
        </is>
      </c>
      <c r="H304" s="10" t="inlineStr">
        <is>
          <t>회원 로그인 상태 · 홈(`1-0`)에서 「불편신고」 메뉴 선택</t>
        </is>
      </c>
      <c r="I304" s="10" t="inlineStr">
        <is>
          <t>1. 홈 6메뉴에서 「불편신고」를 누른다
2. 진입한 화면의 리스트 행 개수와 문자열을 확인한다</t>
        </is>
      </c>
      <c r="J304" s="10" t="inlineStr">
        <is>
          <t>앱바 「불편신고」 아래에 1열 2행 리스트가 표시되고, 행 문자열은 위부터 「불편신고」 · 「나의 불편신고 내역」 2개뿐이다</t>
        </is>
      </c>
      <c r="K304" s="10" t="inlineStr"/>
      <c r="L304" s="10" t="inlineStr">
        <is>
          <t>UX 10-불편신고 2.2절 화면 구성 · 2.3절 요소 1·2</t>
        </is>
      </c>
      <c r="M304" s="10" t="inlineStr">
        <is>
          <t>화면 ID 미부여 — 부여 시 TC-ID 이관 대상</t>
        </is>
      </c>
      <c r="N304" s="10" t="inlineStr"/>
    </row>
    <row r="305">
      <c r="A305" s="5" t="n">
        <v>304</v>
      </c>
      <c r="B305" s="10" t="inlineStr">
        <is>
          <t>TC-1-6-02</t>
        </is>
      </c>
      <c r="C305" s="10" t="inlineStr">
        <is>
          <t>10-불편신고</t>
        </is>
      </c>
      <c r="D305" s="10" t="inlineStr">
        <is>
          <t>1-6</t>
        </is>
      </c>
      <c r="E305" s="10" t="inlineStr">
        <is>
          <t>SC-08 · V-5</t>
        </is>
      </c>
      <c r="F305" s="5" t="inlineStr">
        <is>
          <t>기능</t>
        </is>
      </c>
      <c r="G305" s="5" t="inlineStr">
        <is>
          <t>미실행</t>
        </is>
      </c>
      <c r="H305" s="10" t="inlineStr">
        <is>
          <t>회원 로그인 상태 · `1-6` 진입</t>
        </is>
      </c>
      <c r="I305" s="10" t="inlineStr">
        <is>
          <t>1. 1행 「불편신고」를 누른다
2. 이동한 화면의 앱바 제목을 확인한다</t>
        </is>
      </c>
      <c r="J305" s="10" t="inlineStr">
        <is>
          <t>`1-6-1` 불편신고 등록(`REPORT-01`)으로 이동하고, 누른 메뉴명과 도착 화면의 제목이 「불편신고」로 이어진다</t>
        </is>
      </c>
      <c r="K305" s="10" t="inlineStr"/>
      <c r="L305" s="10" t="inlineStr">
        <is>
          <t>UX 10-불편신고 2.3절 요소 1 · 1절 워크플로우</t>
        </is>
      </c>
      <c r="M305" s="10" t="inlineStr">
        <is>
          <t>화면 ID 미부여 — 부여 시 TC-ID 이관 대상</t>
        </is>
      </c>
      <c r="N305" s="10" t="inlineStr"/>
    </row>
    <row r="306">
      <c r="A306" s="5" t="n">
        <v>305</v>
      </c>
      <c r="B306" s="10" t="inlineStr">
        <is>
          <t>TC-1-6-03</t>
        </is>
      </c>
      <c r="C306" s="10" t="inlineStr">
        <is>
          <t>10-불편신고</t>
        </is>
      </c>
      <c r="D306" s="10" t="inlineStr">
        <is>
          <t>1-6</t>
        </is>
      </c>
      <c r="E306" s="10" t="inlineStr">
        <is>
          <t>FR-R6 · V-5</t>
        </is>
      </c>
      <c r="F306" s="5" t="inlineStr">
        <is>
          <t>기능</t>
        </is>
      </c>
      <c r="G306" s="5" t="inlineStr">
        <is>
          <t>미실행</t>
        </is>
      </c>
      <c r="H306" s="10" t="inlineStr">
        <is>
          <t>회원 로그인 상태 · `1-6` 진입</t>
        </is>
      </c>
      <c r="I306" s="10" t="inlineStr">
        <is>
          <t>1. 2행 「나의 불편신고 내역」을 누른다
2. 이동한 화면의 앱바 제목을 확인한다</t>
        </is>
      </c>
      <c r="J306" s="10" t="inlineStr">
        <is>
          <t>`1-6-2` 나의 불편신고 내역(`REPORT-02`)으로 이동하고 앱바 제목이 「나의 불편신고 내역」이다</t>
        </is>
      </c>
      <c r="K306" s="10" t="inlineStr"/>
      <c r="L306" s="10" t="inlineStr">
        <is>
          <t>UX 10-불편신고 2.3절 요소 2 · 4.1절 진입</t>
        </is>
      </c>
      <c r="M306" s="10" t="inlineStr">
        <is>
          <t>화면 ID 미부여 — 부여 시 TC-ID 이관 대상</t>
        </is>
      </c>
      <c r="N306" s="10" t="inlineStr"/>
    </row>
    <row r="307">
      <c r="A307" s="5" t="n">
        <v>306</v>
      </c>
      <c r="B307" s="10" t="inlineStr">
        <is>
          <t>TC-1-6-04</t>
        </is>
      </c>
      <c r="C307" s="10" t="inlineStr">
        <is>
          <t>10-불편신고</t>
        </is>
      </c>
      <c r="D307" s="10" t="inlineStr">
        <is>
          <t>1-6</t>
        </is>
      </c>
      <c r="E307" s="10" t="inlineStr">
        <is>
          <t>SC-08 · V-6</t>
        </is>
      </c>
      <c r="F307" s="5" t="inlineStr">
        <is>
          <t>기능</t>
        </is>
      </c>
      <c r="G307" s="12" t="inlineStr">
        <is>
          <t>보류</t>
        </is>
      </c>
      <c r="H307" s="10" t="inlineStr">
        <is>
          <t>비회원 상태 · 홈에서 「불편신고」 메뉴 선택</t>
        </is>
      </c>
      <c r="I307" s="10" t="inlineStr">
        <is>
          <t>1. 비회원으로 `1-6`에 진입한다
2. 표출되는 팝업의 본문 문자열을 확인한다</t>
        </is>
      </c>
      <c r="J307" s="10" t="inlineStr">
        <is>
          <t>사양이 갈린다 — UX 10-불편신고 2.3절은 본문을 「로그인이 필요한 서비스입니다.」로 두고, 2.4절이 가리키는 01-로그인-회원가입 6.3절 치환 표는 「불편신고는 로그인 후 이용 가능합니다.」로 둔다. 어느 문안이 정본인지 정해지기 전에는 합·불합을 가를 수 없다</t>
        </is>
      </c>
      <c r="K307" s="10" t="inlineStr"/>
      <c r="L307" s="10" t="inlineStr">
        <is>
          <t>UX 10-불편신고 2.3절 요소 3 · 2.4절 예외 ↔ 01-로그인-회원가입 6.3절 기능명 치환 표</t>
        </is>
      </c>
      <c r="M307" s="10" t="inlineStr">
        <is>
          <t>화면 ID 미부여 — 부여 시 TC-ID 이관 대상. 문안 목록은 `U-60` 재훑기 대상이다</t>
        </is>
      </c>
      <c r="N307" s="10" t="inlineStr"/>
    </row>
    <row r="308">
      <c r="A308" s="5" t="n">
        <v>307</v>
      </c>
      <c r="B308" s="10" t="inlineStr">
        <is>
          <t>TC-1-6-05</t>
        </is>
      </c>
      <c r="C308" s="10" t="inlineStr">
        <is>
          <t>10-불편신고</t>
        </is>
      </c>
      <c r="D308" s="10" t="inlineStr">
        <is>
          <t>1-6</t>
        </is>
      </c>
      <c r="E308" s="10" t="inlineStr">
        <is>
          <t>FR-R6 · V-6</t>
        </is>
      </c>
      <c r="F308" s="5" t="inlineStr">
        <is>
          <t>기능</t>
        </is>
      </c>
      <c r="G308" s="5" t="inlineStr">
        <is>
          <t>미실행</t>
        </is>
      </c>
      <c r="H308" s="10" t="inlineStr">
        <is>
          <t>비회원 상태 · `1-6` 진입</t>
        </is>
      </c>
      <c r="I308" s="10" t="inlineStr">
        <is>
          <t>1. 2행 「나의 불편신고 내역」을 누른다
2. 표출되는 차단 다이얼로그의 본문과 버튼을 확인한다</t>
        </is>
      </c>
      <c r="J308" s="10" t="inlineStr">
        <is>
          <t>「신고 내역은 로그인 후 이용 가능합니다.」 1행과 [닫기]·[로그인] 버튼 2개가 표시되고 `1-6-2`로 이동하지 않는다</t>
        </is>
      </c>
      <c r="K308" s="10" t="inlineStr"/>
      <c r="L308" s="10" t="inlineStr">
        <is>
          <t>UX 10-불편신고 2.4절 · 01-로그인-회원가입 6.3절 치환 표</t>
        </is>
      </c>
      <c r="M308" s="10" t="inlineStr">
        <is>
          <t>화면 ID 미부여 — 부여 시 TC-ID 이관 대상</t>
        </is>
      </c>
      <c r="N308" s="10" t="inlineStr"/>
    </row>
    <row r="309">
      <c r="A309" s="5" t="n">
        <v>308</v>
      </c>
      <c r="B309" s="10" t="inlineStr">
        <is>
          <t>TC-1-6-06</t>
        </is>
      </c>
      <c r="C309" s="10" t="inlineStr">
        <is>
          <t>10-불편신고</t>
        </is>
      </c>
      <c r="D309" s="10" t="inlineStr">
        <is>
          <t>1-6</t>
        </is>
      </c>
      <c r="E309" s="10" t="inlineStr">
        <is>
          <t>NFR-04 · AC-05</t>
        </is>
      </c>
      <c r="F309" s="5" t="inlineStr">
        <is>
          <t>접근성</t>
        </is>
      </c>
      <c r="G309" s="5" t="inlineStr">
        <is>
          <t>미실행</t>
        </is>
      </c>
      <c r="H309" s="10" t="inlineStr">
        <is>
          <t>비회원 상태 · TalkBack(VoiceOver) 켬 · `1-6` 진입해 로그인 팝업 표출</t>
        </is>
      </c>
      <c r="I309" s="10" t="inlineStr">
        <is>
          <t>1. 팝업이 뜬 직후 낭독되는 첫 대상을 듣는다
2. 스와이프로 포커스를 끝까지 이동시키며 낭독 대상을 센다</t>
        </is>
      </c>
      <c r="J309" s="10" t="inlineStr">
        <is>
          <t>포커스가 팝업으로 옮겨져 본문부터 낭독되고, 딤된 배경의 리스트 2행은 포커스 순서에 나타나지 않는다</t>
        </is>
      </c>
      <c r="K309" s="10" t="inlineStr"/>
      <c r="L309" s="10" t="inlineStr">
        <is>
          <t>UX 10-불편신고 2.3절 요소 3</t>
        </is>
      </c>
      <c r="M309" s="10" t="inlineStr">
        <is>
          <t>화면 ID 미부여 — 부여 시 TC-ID 이관 대상</t>
        </is>
      </c>
      <c r="N309" s="10" t="inlineStr"/>
    </row>
    <row r="310">
      <c r="A310" s="5" t="n">
        <v>309</v>
      </c>
      <c r="B310" s="10" t="inlineStr">
        <is>
          <t>TC-1-6-07</t>
        </is>
      </c>
      <c r="C310" s="10" t="inlineStr">
        <is>
          <t>10-불편신고</t>
        </is>
      </c>
      <c r="D310" s="10" t="inlineStr">
        <is>
          <t>1-6</t>
        </is>
      </c>
      <c r="E310" s="10" t="inlineStr">
        <is>
          <t>AC-05 · NFR-05</t>
        </is>
      </c>
      <c r="F310" s="5" t="inlineStr">
        <is>
          <t>접근성</t>
        </is>
      </c>
      <c r="G310" s="5" t="inlineStr">
        <is>
          <t>미실행</t>
        </is>
      </c>
      <c r="H310" s="10" t="inlineStr">
        <is>
          <t>회원 로그인 상태 · TalkBack 켬 · `1-6` 진입</t>
        </is>
      </c>
      <c r="I310" s="10" t="inlineStr">
        <is>
          <t>1. 리스트 1행에 포커스를 두고 낭독을 듣는다
2. 2행으로 포커스를 옮겨 낭독을 듣는다</t>
        </is>
      </c>
      <c r="J310" s="10" t="inlineStr">
        <is>
          <t>각각 「불편신고, 버튼」 · 「나의 불편신고 내역, 버튼」으로 역할까지 낭독된다</t>
        </is>
      </c>
      <c r="K310" s="10" t="inlineStr"/>
      <c r="L310" s="10" t="inlineStr">
        <is>
          <t>UX 10-불편신고 2.3절 요소 1·2 낭독 라벨</t>
        </is>
      </c>
      <c r="M310" s="10" t="inlineStr">
        <is>
          <t>화면 ID 미부여 — 부여 시 TC-ID 이관 대상</t>
        </is>
      </c>
      <c r="N310" s="10" t="inlineStr"/>
    </row>
    <row r="311">
      <c r="A311" s="5" t="n">
        <v>310</v>
      </c>
      <c r="B311" s="10" t="inlineStr">
        <is>
          <t>TC-REPORT-01-01</t>
        </is>
      </c>
      <c r="C311" s="10" t="inlineStr">
        <is>
          <t>10-불편신고</t>
        </is>
      </c>
      <c r="D311" s="10" t="inlineStr">
        <is>
          <t>REPORT-01</t>
        </is>
      </c>
      <c r="E311" s="10" t="inlineStr">
        <is>
          <t>SC-08 · V-1</t>
        </is>
      </c>
      <c r="F311" s="5" t="inlineStr">
        <is>
          <t>기능</t>
        </is>
      </c>
      <c r="G311" s="5" t="inlineStr">
        <is>
          <t>미실행</t>
        </is>
      </c>
      <c r="H311" s="10" t="inlineStr">
        <is>
          <t>회원 로그인 상태 · `1-6`에서 「불편신고」 선택</t>
        </is>
      </c>
      <c r="I311" s="10" t="inlineStr">
        <is>
          <t>1. 등록 폼을 위에서 아래로 훑으며 요소 순서를 기록한다</t>
        </is>
      </c>
      <c r="J311" s="10" t="inlineStr">
        <is>
          <t>안내 문구 → 위치(지도·주소) → 신고 유형 → 설명 → 사진 첨부 → 하단 [신고하기] 순으로 배치된다</t>
        </is>
      </c>
      <c r="K311" s="10" t="inlineStr"/>
      <c r="L311" s="10" t="inlineStr">
        <is>
          <t>UX 10-불편신고 3.2절 화면 구성 · 3.4절 시각 레이어 배치</t>
        </is>
      </c>
      <c r="M311" s="10" t="inlineStr"/>
      <c r="N311" s="10" t="inlineStr"/>
    </row>
    <row r="312">
      <c r="A312" s="5" t="n">
        <v>311</v>
      </c>
      <c r="B312" s="10" t="inlineStr">
        <is>
          <t>TC-REPORT-01-02</t>
        </is>
      </c>
      <c r="C312" s="10" t="inlineStr">
        <is>
          <t>10-불편신고</t>
        </is>
      </c>
      <c r="D312" s="10" t="inlineStr">
        <is>
          <t>REPORT-01</t>
        </is>
      </c>
      <c r="E312" s="10" t="inlineStr">
        <is>
          <t>SC-08 · NFR-05</t>
        </is>
      </c>
      <c r="F312" s="5" t="inlineStr">
        <is>
          <t>기능</t>
        </is>
      </c>
      <c r="G312" s="5" t="inlineStr">
        <is>
          <t>미실행</t>
        </is>
      </c>
      <c r="H312" s="10" t="inlineStr">
        <is>
          <t>회원 로그인 상태 · 등록 폼 진입</t>
        </is>
      </c>
      <c r="I312" s="10" t="inlineStr">
        <is>
          <t>1. 폼 최상단 안내 문구의 전문을 확인한다
2. 다른 화면으로 나갔다 재진입해 문구가 여전히 표출되는지 확인한다</t>
        </is>
      </c>
      <c r="J312" s="10" t="inlineStr">
        <is>
          <t>「교통약자 통행 이용 불편 지점을 신고하여 이용자가 함께 만들어가는 교통약자 서비스입니다.」가 상시 표출되고, 최초 1회 팝업이나 닫기 컨트롤이 없다</t>
        </is>
      </c>
      <c r="K312" s="10" t="inlineStr"/>
      <c r="L312" s="10" t="inlineStr">
        <is>
          <t>UX 10-불편신고 3.3절 요소 0</t>
        </is>
      </c>
      <c r="M312" s="10" t="inlineStr"/>
      <c r="N312" s="10" t="inlineStr"/>
    </row>
    <row r="313">
      <c r="A313" s="5" t="n">
        <v>312</v>
      </c>
      <c r="B313" s="10" t="inlineStr">
        <is>
          <t>TC-REPORT-01-03</t>
        </is>
      </c>
      <c r="C313" s="10" t="inlineStr">
        <is>
          <t>10-불편신고</t>
        </is>
      </c>
      <c r="D313" s="10" t="inlineStr">
        <is>
          <t>REPORT-01</t>
        </is>
      </c>
      <c r="E313" s="10" t="inlineStr">
        <is>
          <t>SC-08</t>
        </is>
      </c>
      <c r="F313" s="5" t="inlineStr">
        <is>
          <t>기능</t>
        </is>
      </c>
      <c r="G313" s="5" t="inlineStr">
        <is>
          <t>미실행</t>
        </is>
      </c>
      <c r="H313" s="10" t="inlineStr">
        <is>
          <t>회원 로그인 상태 · 등록 폼 진입</t>
        </is>
      </c>
      <c r="I313" s="10" t="inlineStr">
        <is>
          <t>1. 신고 유형 영역의 선택지 개수와 라벨을 확인한다
2. 각 라벨에 병기된 판정 기준 문자열을 확인한다
3. 한 선택지를 고른 뒤 다른 선택지를 고른다</t>
        </is>
      </c>
      <c r="J313" s="10" t="inlineStr">
        <is>
          <t>선택지는 단차·경사·보도폭 3종이고 「기타」가 없다. 각각 높이 2cm 이상 · 경사도 1/8 이상 · 보도폭 1.2m 이하가 라벨에 병기되며, 라디오 단일 선택이라 뒤에 고른 1건만 선택 상태로 남는다</t>
        </is>
      </c>
      <c r="K313" s="10" t="inlineStr"/>
      <c r="L313" s="10" t="inlineStr">
        <is>
          <t>UX 10-불편신고 3.3절 요소 2·2-1·2-2·2-3</t>
        </is>
      </c>
      <c r="M313" s="10" t="inlineStr">
        <is>
          <t>LBS Tech 카테고리 정리안 수령 시 3종·판정 기준이 재편될 수 있다(UX 3.6절)</t>
        </is>
      </c>
      <c r="N313" s="10" t="inlineStr"/>
    </row>
    <row r="314">
      <c r="A314" s="5" t="n">
        <v>313</v>
      </c>
      <c r="B314" s="10" t="inlineStr">
        <is>
          <t>TC-REPORT-01-04</t>
        </is>
      </c>
      <c r="C314" s="10" t="inlineStr">
        <is>
          <t>10-불편신고</t>
        </is>
      </c>
      <c r="D314" s="10" t="inlineStr">
        <is>
          <t>REPORT-01</t>
        </is>
      </c>
      <c r="E314" s="10" t="inlineStr">
        <is>
          <t>SC-08 · FR-R6</t>
        </is>
      </c>
      <c r="F314" s="5" t="inlineStr">
        <is>
          <t>기능</t>
        </is>
      </c>
      <c r="G314" s="12" t="inlineStr">
        <is>
          <t>보류</t>
        </is>
      </c>
      <c r="H314" s="10" t="inlineStr">
        <is>
          <t>회원 로그인 상태 · 등록 폼 진입</t>
        </is>
      </c>
      <c r="I314" s="10" t="inlineStr">
        <is>
          <t>1. 등록 폼에 위험도 입력 요소가 있는지 확인한다
2. 등록 폼에 접근 방향 입력 요소가 있는지 확인한다</t>
        </is>
      </c>
      <c r="J314" s="10" t="inlineStr">
        <is>
          <t>요건과 화면 사양이 정면으로 갈린다 — PRD `SC-08`·`FR-R6`은 신고 등록 시 유형·위험도·접근 방향 입력을 요구하는데, UX 3.3절 주석과 3.6절은 위험도·접근 방향을 제공하지 않는다고 못박고 `RFP SFR-008` 미이행으로 발주처 합의 안건화를 남겨 두었다</t>
        </is>
      </c>
      <c r="K314" s="10" t="inlineStr"/>
      <c r="L314" s="10" t="inlineStr">
        <is>
          <t>PRD 2부 7.4 SC-08 · PRD 1부 1.9 FR-R6 ↔ UX 10-불편신고 3.3절 주석 · 3.6절 `U-74`</t>
        </is>
      </c>
      <c r="M314" s="10" t="inlineStr">
        <is>
          <t>미해소 지점 — 발주처 합의 전까지 합·불합 판정 기준이 없다. 합의 결과에 따라 기능 TC 2건(위험도 입력 · 접근 방향 입력)으로 분기하거나 대상외로 닫는다</t>
        </is>
      </c>
      <c r="N314" s="10" t="inlineStr"/>
    </row>
    <row r="315">
      <c r="A315" s="5" t="n">
        <v>314</v>
      </c>
      <c r="B315" s="10" t="inlineStr">
        <is>
          <t>TC-REPORT-01-05</t>
        </is>
      </c>
      <c r="C315" s="10" t="inlineStr">
        <is>
          <t>10-불편신고</t>
        </is>
      </c>
      <c r="D315" s="10" t="inlineStr">
        <is>
          <t>REPORT-01</t>
        </is>
      </c>
      <c r="E315" s="10" t="inlineStr">
        <is>
          <t>SC-08 · V-6</t>
        </is>
      </c>
      <c r="F315" s="5" t="inlineStr">
        <is>
          <t>기능</t>
        </is>
      </c>
      <c r="G315" s="5" t="inlineStr">
        <is>
          <t>미실행</t>
        </is>
      </c>
      <c r="H315" s="10" t="inlineStr">
        <is>
          <t>회원 로그인 상태 · 위치 권한 허용 · 등록 폼 진입 직후</t>
        </is>
      </c>
      <c r="I315" s="10" t="inlineStr">
        <is>
          <t>1. 진입 직후 주소 자리의 문자열을 확인한다
2. 측정이 끝난 뒤 주소 자리를 다시 확인한다</t>
        </is>
      </c>
      <c r="J315" s="10" t="inlineStr">
        <is>
          <t>측정 중에는 「위치를 확인하는 중입니다.」가 표시되고, 확정되면 현위치의 주소 1줄로 갱신된다. 측정 중에 빈 칸이나 직전 주소가 남아 있지 않다</t>
        </is>
      </c>
      <c r="K315" s="10" t="inlineStr"/>
      <c r="L315" s="10" t="inlineStr">
        <is>
          <t>UX 10-불편신고 3.3절 요소 `0-1` ⓐ · 3.3.1절 ⓔ</t>
        </is>
      </c>
      <c r="M315" s="10" t="inlineStr"/>
      <c r="N315" s="10" t="inlineStr"/>
    </row>
    <row r="316">
      <c r="A316" s="5" t="n">
        <v>315</v>
      </c>
      <c r="B316" s="10" t="inlineStr">
        <is>
          <t>TC-REPORT-01-06</t>
        </is>
      </c>
      <c r="C316" s="10" t="inlineStr">
        <is>
          <t>10-불편신고</t>
        </is>
      </c>
      <c r="D316" s="10" t="inlineStr">
        <is>
          <t>REPORT-01</t>
        </is>
      </c>
      <c r="E316" s="10" t="inlineStr">
        <is>
          <t>SC-08</t>
        </is>
      </c>
      <c r="F316" s="5" t="inlineStr">
        <is>
          <t>기능</t>
        </is>
      </c>
      <c r="G316" s="5" t="inlineStr">
        <is>
          <t>미실행</t>
        </is>
      </c>
      <c r="H316" s="10" t="inlineStr">
        <is>
          <t>회원 로그인 상태 · 등록 폼에서 위치가 확정된 상태</t>
        </is>
      </c>
      <c r="I316" s="10" t="inlineStr">
        <is>
          <t>1. 폼의 지도 영역을 누른다
2. 제목과 중앙 핀을 확인한 뒤 지도를 밀어 다른 지점으로 옮긴다
3. [이 위치로 지정]을 누른다</t>
        </is>
      </c>
      <c r="J316" s="10" t="inlineStr">
        <is>
          <t>제목 「위치 선택」 상태로 전환되고 핀은 화면 중앙에 고정된 채 지도가 움직인다. [이 위치로 지정] 후 폼으로 복귀하며 핀 아래 좌표와 주소가 폼에 반영된다</t>
        </is>
      </c>
      <c r="K316" s="10" t="inlineStr"/>
      <c r="L316" s="10" t="inlineStr">
        <is>
          <t>UX 10-불편신고 3.3.1절 진입·이탈 · ⓑ · ⓕ</t>
        </is>
      </c>
      <c r="M316" s="10" t="inlineStr">
        <is>
          <t>「지도 지정 상태」는 `REPORT-01`의 상태이며 별도 화면 ID가 없다(UX 3.3.1절)</t>
        </is>
      </c>
      <c r="N316" s="10" t="inlineStr"/>
    </row>
    <row r="317">
      <c r="A317" s="5" t="n">
        <v>316</v>
      </c>
      <c r="B317" s="10" t="inlineStr">
        <is>
          <t>TC-REPORT-01-07</t>
        </is>
      </c>
      <c r="C317" s="10" t="inlineStr">
        <is>
          <t>10-불편신고</t>
        </is>
      </c>
      <c r="D317" s="10" t="inlineStr">
        <is>
          <t>REPORT-01</t>
        </is>
      </c>
      <c r="E317" s="10" t="inlineStr">
        <is>
          <t>V-10 · NFR-02</t>
        </is>
      </c>
      <c r="F317" s="5" t="inlineStr">
        <is>
          <t>접근성</t>
        </is>
      </c>
      <c r="G317" s="5" t="inlineStr">
        <is>
          <t>미실행</t>
        </is>
      </c>
      <c r="H317" s="10" t="inlineStr">
        <is>
          <t>「지도 지정 상태」 진입 · 단일 포인터만 사용</t>
        </is>
      </c>
      <c r="I317" s="10" t="inlineStr">
        <is>
          <t>1. 지도 표면의 한 지점을 한 손가락으로 누른다
2. [＋]·[－] 버튼을 각각 누른다
3. 두 손가락 회전으로 방위를 틀어 「정북 복원」을 표출시킨 뒤 그 버튼을 누른다</t>
        </is>
      </c>
      <c r="J317" s="10" t="inlineStr">
        <is>
          <t>탭한 지점으로 핀이 이동하며 지도가 그 지점을 중앙에 두고, [＋]·[－]로 배율이 바뀌며, 「정북 복원」을 누르면 방위 0°·기울기 0°로 복원되고 그 컨트롤이 사라진다 — 핀치·회전 제스처 없이 전부 성립한다</t>
        </is>
      </c>
      <c r="K317" s="10" t="inlineStr"/>
      <c r="L317" s="10" t="inlineStr">
        <is>
          <t>UX 10-불편신고 3.3.1절 ⓒ·ⓓ·ⓗ · PRD 2부 V-10</t>
        </is>
      </c>
      <c r="M317" s="10" t="inlineStr">
        <is>
          <t>「정북 복원」이 사라질 때의 초점 이관·표출 알림은 `U-99` 잔여와 같은 축이라 이 TC의 판정 대상이 아니다</t>
        </is>
      </c>
      <c r="N317" s="10" t="inlineStr"/>
    </row>
    <row r="318">
      <c r="A318" s="5" t="n">
        <v>317</v>
      </c>
      <c r="B318" s="10" t="inlineStr">
        <is>
          <t>TC-REPORT-01-08</t>
        </is>
      </c>
      <c r="C318" s="10" t="inlineStr">
        <is>
          <t>10-불편신고</t>
        </is>
      </c>
      <c r="D318" s="10" t="inlineStr">
        <is>
          <t>REPORT-01</t>
        </is>
      </c>
      <c r="E318" s="10" t="inlineStr">
        <is>
          <t>V-6 · V-4</t>
        </is>
      </c>
      <c r="F318" s="5" t="inlineStr">
        <is>
          <t>기능</t>
        </is>
      </c>
      <c r="G318" s="5" t="inlineStr">
        <is>
          <t>미실행</t>
        </is>
      </c>
      <c r="H318" s="10" t="inlineStr">
        <is>
          <t>「지도 지정 상태」 진입</t>
        </is>
      </c>
      <c r="I318" s="10" t="inlineStr">
        <is>
          <t>1. 지도를 밀어 이동하는 동안 주소 자리의 문자열을 확인한다
2. 관성 감속이 끝난 뒤 주소 자리를 다시 확인한다</t>
        </is>
      </c>
      <c r="J318" s="10" t="inlineStr">
        <is>
          <t>이동 중에는 「위치를 확인하는 중입니다.」가 표시되고(직전 주소를 그대로 두거나 비워 두지 않는다), 멈춘 뒤 1회만 지번 풀주소 (도로명 축약형) 형식으로 갱신된다</t>
        </is>
      </c>
      <c r="K318" s="10" t="inlineStr"/>
      <c r="L318" s="10" t="inlineStr">
        <is>
          <t>UX 10-불편신고 3.3.1절 ⓔ · 3.3.2절 주소 표기 형식</t>
        </is>
      </c>
      <c r="M318" s="10" t="inlineStr">
        <is>
          <t>역지오코딩이 임의 좌표에 무엇을 돌려주는지는 미실측이다(UX 3.6절) — 형식 판정만 수행한다</t>
        </is>
      </c>
      <c r="N318" s="10" t="inlineStr"/>
    </row>
    <row r="319">
      <c r="A319" s="5" t="n">
        <v>318</v>
      </c>
      <c r="B319" s="10" t="inlineStr">
        <is>
          <t>TC-REPORT-01-09</t>
        </is>
      </c>
      <c r="C319" s="10" t="inlineStr">
        <is>
          <t>10-불편신고</t>
        </is>
      </c>
      <c r="D319" s="10" t="inlineStr">
        <is>
          <t>REPORT-01</t>
        </is>
      </c>
      <c r="E319" s="10" t="inlineStr">
        <is>
          <t>SC-08 · NFR-05</t>
        </is>
      </c>
      <c r="F319" s="5" t="inlineStr">
        <is>
          <t>기능</t>
        </is>
      </c>
      <c r="G319" s="5" t="inlineStr">
        <is>
          <t>미실행</t>
        </is>
      </c>
      <c r="H319" s="10" t="inlineStr">
        <is>
          <t>회원 로그인 상태 · 등록 폼 진입 · 설명 입력란에 아무것도 입력하지 않은 상태</t>
        </is>
      </c>
      <c r="I319" s="10" t="inlineStr">
        <is>
          <t>1. 설명 입력 영역의 라벨·보조 설명문·placeholder를 각각 확인한다
2. 입력란에 한 글자를 입력한 뒤 라벨과 보조 설명문이 남아 있는지 확인한다</t>
        </is>
      </c>
      <c r="J319" s="10" t="inlineStr">
        <is>
          <t>라벨 「상세 내용 입력」과 보조 설명문 「자세한 위치를 함께 적어 주시면 확인에 도움이 됩니다.」가 상시 표출되고, placeholder 「내용을 적어주세요. (예시: 보도폭이 좁아 휠체어 이용이 어렵습니다.)」는 입력 시작 후 사라져도 앞의 둘은 남는다</t>
        </is>
      </c>
      <c r="K319" s="10" t="inlineStr"/>
      <c r="L319" s="10" t="inlineStr">
        <is>
          <t>UX 10-불편신고 3.3절 요소 5</t>
        </is>
      </c>
      <c r="M319" s="10" t="inlineStr">
        <is>
          <t>설명의 필수 여부는 아로 PM 의견(선택형 최소 입력)과 상충해 재검토 대상이다(UX 3.6절) — 이 TC는 표기 요소만 판정한다</t>
        </is>
      </c>
      <c r="N319" s="10" t="inlineStr"/>
    </row>
    <row r="320">
      <c r="A320" s="5" t="n">
        <v>319</v>
      </c>
      <c r="B320" s="10" t="inlineStr">
        <is>
          <t>TC-REPORT-01-10</t>
        </is>
      </c>
      <c r="C320" s="10" t="inlineStr">
        <is>
          <t>10-불편신고</t>
        </is>
      </c>
      <c r="D320" s="10" t="inlineStr">
        <is>
          <t>REPORT-01</t>
        </is>
      </c>
      <c r="E320" s="10" t="inlineStr">
        <is>
          <t>SC-08 · V-9</t>
        </is>
      </c>
      <c r="F320" s="5" t="inlineStr">
        <is>
          <t>기능</t>
        </is>
      </c>
      <c r="G320" s="5" t="inlineStr">
        <is>
          <t>미실행</t>
        </is>
      </c>
      <c r="H320" s="10" t="inlineStr">
        <is>
          <t>회원 로그인 상태 · 등록 폼 진입</t>
        </is>
      </c>
      <c r="I320" s="10" t="inlineStr">
        <is>
          <t>1. 「＋ 사진 첨부」를 누른다
2. 올라온 시트의 제목과 항목 순서를 확인한다
3. 배경 막을 탭하고 아래로 스와이프해 본다</t>
        </is>
      </c>
      <c r="J320" s="10" t="inlineStr">
        <is>
          <t>제목 「사진 첨부」와 2행(① 사진 촬영 → ② 앨범에서 선택)이 표시되고, 배경 막 탭·스와이프로는 닫히지 않으며 [닫기] 버튼으로만 닫힌다</t>
        </is>
      </c>
      <c r="K320" s="10" t="inlineStr"/>
      <c r="L320" s="10" t="inlineStr">
        <is>
          <t>UX 10-불편신고 3.3.3절 · 3.5절 예외</t>
        </is>
      </c>
      <c r="M320" s="10" t="inlineStr">
        <is>
          <t>`modal` variant는 디자인 미신설 상태이며 이 화면이 두 번째 사용처다(UX 3.3.3절)</t>
        </is>
      </c>
      <c r="N320" s="10" t="inlineStr"/>
    </row>
    <row r="321">
      <c r="A321" s="5" t="n">
        <v>320</v>
      </c>
      <c r="B321" s="10" t="inlineStr">
        <is>
          <t>TC-REPORT-01-11</t>
        </is>
      </c>
      <c r="C321" s="10" t="inlineStr">
        <is>
          <t>10-불편신고</t>
        </is>
      </c>
      <c r="D321" s="10" t="inlineStr">
        <is>
          <t>REPORT-01</t>
        </is>
      </c>
      <c r="E321" s="10" t="inlineStr">
        <is>
          <t>SC-08 · V-6</t>
        </is>
      </c>
      <c r="F321" s="5" t="inlineStr">
        <is>
          <t>기능</t>
        </is>
      </c>
      <c r="G321" s="5" t="inlineStr">
        <is>
          <t>미실행</t>
        </is>
      </c>
      <c r="H321" s="10" t="inlineStr">
        <is>
          <t>회원 로그인 상태 · 등록 폼에서 사진 2장을 첨부한 상태</t>
        </is>
      </c>
      <c r="I321" s="10" t="inlineStr">
        <is>
          <t>1. 사진 1장을 더 첨부해 3장을 만든다
2. 「＋ 사진 첨부」 버튼의 표출 여부를 확인한다
3. 썸네일 1장의 [삭제]를 누른다</t>
        </is>
      </c>
      <c r="J321" s="10" t="inlineStr">
        <is>
          <t>3장 도달 시 「＋ 사진 첨부」가 미노출되고(비활성 표출이 아니다), 삭제는 확인 팝업 없이 즉시 처리되며 토스트 「사진이 삭제되었습니다.」가 뜨고 남은 썸네일이 앞으로 당겨지며 버튼이 다시 노출된다</t>
        </is>
      </c>
      <c r="K321" s="10" t="inlineStr"/>
      <c r="L321" s="10" t="inlineStr">
        <is>
          <t>UX 10-불편신고 3.3.3절 첨부 후 상태 · 삭제</t>
        </is>
      </c>
      <c r="M321" s="10" t="inlineStr">
        <is>
          <t>삭제 되돌리기(Undo) 제공 여부는 즐겨찾기 ④와 같은 축으로 미확정이다(UX 3.6절)</t>
        </is>
      </c>
      <c r="N321" s="10" t="inlineStr"/>
    </row>
    <row r="322">
      <c r="A322" s="5" t="n">
        <v>321</v>
      </c>
      <c r="B322" s="10" t="inlineStr">
        <is>
          <t>TC-REPORT-01-12</t>
        </is>
      </c>
      <c r="C322" s="10" t="inlineStr">
        <is>
          <t>10-불편신고</t>
        </is>
      </c>
      <c r="D322" s="10" t="inlineStr">
        <is>
          <t>REPORT-01</t>
        </is>
      </c>
      <c r="E322" s="10" t="inlineStr">
        <is>
          <t>V-6 · NFR-04</t>
        </is>
      </c>
      <c r="F322" s="5" t="inlineStr">
        <is>
          <t>기능</t>
        </is>
      </c>
      <c r="G322" s="5" t="inlineStr">
        <is>
          <t>미실행</t>
        </is>
      </c>
      <c r="H322" s="10" t="inlineStr">
        <is>
          <t>카메라 권한을 거부한 상태 · 사진 첨부 시트 표출</t>
        </is>
      </c>
      <c r="I322" s="10" t="inlineStr">
        <is>
          <t>1. 「사진 촬영」을 선택한다
2. 표출되는 알림의 위치와 문안을 확인한다
3. 초점이 어디로 갔는지 확인한다</t>
        </is>
      </c>
      <c r="J322" s="10" t="inlineStr">
        <is>
          <t>시트가 닫히지 않고 시트 안에서 「카메라 권한이 없어 촬영할 수 없습니다. 앨범에서 선택하거나, 설정에서 권한을 허용해 주세요.」가 한국어로 알려지며 초점이 「앨범에서 선택」으로 옮겨진다. 토스트로 알리지 않는다</t>
        </is>
      </c>
      <c r="K322" s="10" t="inlineStr"/>
      <c r="L322" s="10" t="inlineStr">
        <is>
          <t>UX 10-불편신고 3.3.3절 권한 · 3.5절 예외</t>
        </is>
      </c>
      <c r="M322" s="10" t="inlineStr">
        <is>
          <t>영구 거부 시 OS 설정을 열어 줄지는 미확정이다(UX 3.6절)</t>
        </is>
      </c>
      <c r="N322" s="10" t="inlineStr"/>
    </row>
    <row r="323">
      <c r="A323" s="5" t="n">
        <v>322</v>
      </c>
      <c r="B323" s="10" t="inlineStr">
        <is>
          <t>TC-REPORT-01-13</t>
        </is>
      </c>
      <c r="C323" s="10" t="inlineStr">
        <is>
          <t>10-불편신고</t>
        </is>
      </c>
      <c r="D323" s="10" t="inlineStr">
        <is>
          <t>REPORT-01</t>
        </is>
      </c>
      <c r="E323" s="10" t="inlineStr">
        <is>
          <t>SC-08 · V-6</t>
        </is>
      </c>
      <c r="F323" s="5" t="inlineStr">
        <is>
          <t>기능</t>
        </is>
      </c>
      <c r="G323" s="5" t="inlineStr">
        <is>
          <t>미실행</t>
        </is>
      </c>
      <c r="H323" s="10" t="inlineStr">
        <is>
          <t>회원 로그인 상태 · 등록 폼 진입 · 유형 미선택 · 설명 미입력</t>
        </is>
      </c>
      <c r="I323" s="10" t="inlineStr">
        <is>
          <t>1. [신고하기]의 활성 여부와 비활성 문안을 확인한다
2. 신고 유형만 1건 고른 뒤 문안을 다시 확인한다
3. 설명을 1자 입력한 뒤 활성 여부를 확인한다</t>
        </is>
      </c>
      <c r="J323" s="10" t="inlineStr">
        <is>
          <t>둘 다 비었을 때 「신고 사항을 선택하고 내용을 적어주세요.」, 유형만 고른 뒤 「내용을 적어주세요.」가 표시되고, 유형 1건 ＋ 설명 1자가 채워지면 활성된다. 사진 첨부는 활성 조건이 아니다</t>
        </is>
      </c>
      <c r="K323" s="10" t="inlineStr"/>
      <c r="L323" s="10" t="inlineStr">
        <is>
          <t>UX 10-불편신고 3.3절 요소 6</t>
        </is>
      </c>
      <c r="M323" s="10" t="inlineStr"/>
      <c r="N323" s="10" t="inlineStr"/>
    </row>
    <row r="324">
      <c r="A324" s="5" t="n">
        <v>323</v>
      </c>
      <c r="B324" s="10" t="inlineStr">
        <is>
          <t>TC-REPORT-01-14</t>
        </is>
      </c>
      <c r="C324" s="10" t="inlineStr">
        <is>
          <t>10-불편신고</t>
        </is>
      </c>
      <c r="D324" s="10" t="inlineStr">
        <is>
          <t>REPORT-01</t>
        </is>
      </c>
      <c r="E324" s="10" t="inlineStr">
        <is>
          <t>V-6 · AC-05</t>
        </is>
      </c>
      <c r="F324" s="5" t="inlineStr">
        <is>
          <t>접근성</t>
        </is>
      </c>
      <c r="G324" s="5" t="inlineStr">
        <is>
          <t>미실행</t>
        </is>
      </c>
      <c r="H324" s="10" t="inlineStr">
        <is>
          <t>TalkBack 켬 · 활성 조건을 채운 등록 폼 · 전송 지연을 만들 수 있는 저속 회선</t>
        </is>
      </c>
      <c r="I324" s="10" t="inlineStr">
        <is>
          <t>1. [신고하기]를 누른다
2. 누른 직후 화면 표시와 낭독을 확인한다
3. [신고하기]를 연속으로 다시 누른다</t>
        </is>
      </c>
      <c r="J324" s="10" t="inlineStr">
        <is>
          <t>누른 즉시 비활성되고 「전송 중입니다.」가 aria-live로 낭독되며 비활성 낭독이 「신고하기, 버튼, 사용할 수 없음. 전송 중입니다.」로 이유를 담는다. 연타해도 중복 전송되지 않는다</t>
        </is>
      </c>
      <c r="K324" s="10" t="inlineStr"/>
      <c r="L324" s="10" t="inlineStr">
        <is>
          <t>UX 10-불편신고 3.3.4절 전송 중 · 3.3절 요소 6 낭독</t>
        </is>
      </c>
      <c r="M324" s="10" t="inlineStr"/>
      <c r="N324" s="10" t="inlineStr"/>
    </row>
    <row r="325">
      <c r="A325" s="5" t="n">
        <v>324</v>
      </c>
      <c r="B325" s="10" t="inlineStr">
        <is>
          <t>TC-REPORT-01-15</t>
        </is>
      </c>
      <c r="C325" s="10" t="inlineStr">
        <is>
          <t>10-불편신고</t>
        </is>
      </c>
      <c r="D325" s="10" t="inlineStr">
        <is>
          <t>REPORT-01</t>
        </is>
      </c>
      <c r="E325" s="10" t="inlineStr">
        <is>
          <t>V-6 · SC-08</t>
        </is>
      </c>
      <c r="F325" s="5" t="inlineStr">
        <is>
          <t>기능</t>
        </is>
      </c>
      <c r="G325" s="5" t="inlineStr">
        <is>
          <t>미실행</t>
        </is>
      </c>
      <c r="H325" s="10" t="inlineStr">
        <is>
          <t>유형·설명·사진 3장을 채운 등록 폼 · 전송 도중 통신을 끊을 수 있는 환경</t>
        </is>
      </c>
      <c r="I325" s="10" t="inlineStr">
        <is>
          <t>1. [신고하기]를 누르고 전송 중에 통신을 끊는다
2. 표시되는 문안을 확인한다
3. 폼의 유형·설명·사진이 남아 있는지 확인하고 [신고하기]를 다시 누른다</t>
        </is>
      </c>
      <c r="J325" s="10" t="inlineStr">
        <is>
          <t>「신고가 전송되지 않았습니다. 다시 시도해 주세요.」가 표시되고 유형·설명·사진 3장이 그대로 남으며, 같은 [신고하기]가 재시도 경로가 된다. 사진 일부만 올라간 절반 등록 건이 생기지 않는다</t>
        </is>
      </c>
      <c r="K325" s="10" t="inlineStr"/>
      <c r="L325" s="10" t="inlineStr">
        <is>
          <t>UX 10-불편신고 3.3.4절 실패 · 3.5절 예외</t>
        </is>
      </c>
      <c r="M325" s="10" t="inlineStr"/>
      <c r="N325" s="10" t="inlineStr"/>
    </row>
    <row r="326">
      <c r="A326" s="5" t="n">
        <v>325</v>
      </c>
      <c r="B326" s="10" t="inlineStr">
        <is>
          <t>TC-REPORT-01-16</t>
        </is>
      </c>
      <c r="C326" s="10" t="inlineStr">
        <is>
          <t>10-불편신고</t>
        </is>
      </c>
      <c r="D326" s="10" t="inlineStr">
        <is>
          <t>REPORT-01</t>
        </is>
      </c>
      <c r="E326" s="10" t="inlineStr">
        <is>
          <t>NFR-08 · V-6</t>
        </is>
      </c>
      <c r="F326" s="5" t="inlineStr">
        <is>
          <t>비기능</t>
        </is>
      </c>
      <c r="G326" s="12" t="inlineStr">
        <is>
          <t>보류</t>
        </is>
      </c>
      <c r="H326" s="10" t="inlineStr">
        <is>
          <t>등록 폼에서 [신고하기]를 눌러 전송 중인 상태</t>
        </is>
      </c>
      <c r="I326" s="10" t="inlineStr">
        <is>
          <t>1. 전송이 실패로 판정될 때까지의 시간을 측정한다
2. 그 시간 제한을 연장하거나 해제할 수단이 화면에 있는지 확인한다</t>
        </is>
      </c>
      <c r="J326" s="10" t="inlineStr">
        <is>
          <t>타임아웃 값과 진행 표시 형태(퍼센트 ↔ 무한 스피너)가 UX 3.6절에서 미확정이라 `NFR-08`의 연장·해제 수단 요구를 이 화면에 적용할 기준이 없다</t>
        </is>
      </c>
      <c r="K326" s="10" t="inlineStr"/>
      <c r="L326" s="10" t="inlineStr">
        <is>
          <t>UX 10-불편신고 3.3.4절 주석 · 3.6절 미확정 · PRD 1부 NFR-08</t>
        </is>
      </c>
      <c r="M326" s="10" t="inlineStr">
        <is>
          <t>값을 추측으로 만들지 않는다(UX 규칙 6-2) — 디자인·개발 확정 후 비기능 TC로 전환한다</t>
        </is>
      </c>
      <c r="N326" s="10" t="inlineStr"/>
    </row>
    <row r="327">
      <c r="A327" s="5" t="n">
        <v>326</v>
      </c>
      <c r="B327" s="10" t="inlineStr">
        <is>
          <t>TC-REPORT-01-17</t>
        </is>
      </c>
      <c r="C327" s="10" t="inlineStr">
        <is>
          <t>10-불편신고</t>
        </is>
      </c>
      <c r="D327" s="10" t="inlineStr">
        <is>
          <t>REPORT-01</t>
        </is>
      </c>
      <c r="E327" s="10" t="inlineStr">
        <is>
          <t>AC-05 · V-1</t>
        </is>
      </c>
      <c r="F327" s="5" t="inlineStr">
        <is>
          <t>접근성</t>
        </is>
      </c>
      <c r="G327" s="5" t="inlineStr">
        <is>
          <t>미실행</t>
        </is>
      </c>
      <c r="H327" s="10" t="inlineStr">
        <is>
          <t>전맹(S2) 유형 계정 · TalkBack 켬 · 등록 폼 진입</t>
        </is>
      </c>
      <c r="I327" s="10" t="inlineStr">
        <is>
          <t>1. 폼 최상단에서 스와이프로 끝까지 포커스를 이동시키며 낭독 대상 순서를 기록한다</t>
        </is>
      </c>
      <c r="J327" s="10" t="inlineStr">
        <is>
          <t>제목 → 안내 문구 전문 → 위치(주소) → 신고 유형(현재 선택값·필수 명시) → 설명(라벨 → 보조 설명문 → 예시·필수 명시) → 사진 첨부(선택 항목 명시) → [신고하기](활성 조건 포함) 7단계 순으로 낭독된다</t>
        </is>
      </c>
      <c r="K327" s="10" t="inlineStr"/>
      <c r="L327" s="10" t="inlineStr">
        <is>
          <t>UX 10-불편신고 3.4절 음성(S2) 낭독 순서</t>
        </is>
      </c>
      <c r="M327" s="10" t="inlineStr"/>
      <c r="N327" s="10" t="inlineStr"/>
    </row>
    <row r="328">
      <c r="A328" s="5" t="n">
        <v>327</v>
      </c>
      <c r="B328" s="10" t="inlineStr">
        <is>
          <t>TC-REPORT-01-18</t>
        </is>
      </c>
      <c r="C328" s="10" t="inlineStr">
        <is>
          <t>10-불편신고</t>
        </is>
      </c>
      <c r="D328" s="10" t="inlineStr">
        <is>
          <t>REPORT-01</t>
        </is>
      </c>
      <c r="E328" s="10" t="inlineStr">
        <is>
          <t>V-9 · AC-05</t>
        </is>
      </c>
      <c r="F328" s="5" t="inlineStr">
        <is>
          <t>접근성</t>
        </is>
      </c>
      <c r="G328" s="12" t="inlineStr">
        <is>
          <t>보류</t>
        </is>
      </c>
      <c r="H328" s="10" t="inlineStr">
        <is>
          <t>전맹(S2) 유형 계정 · TalkBack 켬 · 등록 폼 진입</t>
        </is>
      </c>
      <c r="I328" s="10" t="inlineStr">
        <is>
          <t>1. 폼의 지도 영역에 포커스가 멈추는지 확인한다
2. 사진 첨부 시트에서 「사진 촬영」을 선택해 촬영이 성립하는지 확인한다</t>
        </is>
      </c>
      <c r="J328" s="10" t="inlineStr">
        <is>
          <t>S2 성립성이 미해소다 — PRD `V-9`가 `SC-08` 신고를 기획 판단 대기로 남겨 두었고, UX는 「지도 지정 상태」 미제공(진입 경로 없음)과 사진 촬영 대체 수단 미제공을 각각 명시하면서도 GPS 자동 측정이 틀렸을 때 전맹이 정정할 수단은 미확정으로 둔다. 합·불합을 가를 기준이 없다</t>
        </is>
      </c>
      <c r="K328" s="10" t="inlineStr"/>
      <c r="L328" s="10" t="inlineStr">
        <is>
          <t>UX 10-불편신고 3.3.1절 Dual-Path 비시각 레이어 · 3.4절 · 3.6절 · PRD 2부 V-9</t>
        </is>
      </c>
      <c r="M328" s="10" t="inlineStr">
        <is>
          <t>미해소 2건 — ① 전맹의 사진 촬영 성립성(`U-16`, 대체 수단 미제공 확정이나 `V-9` 판정 미종결) ② GPS 자동 측정값이 부정확할 때의 정정 수단(UX 3.3절 `0-1`·3.6절). 폼의 지도 영역을 초점 대상에서 뺄지도 미확정이다</t>
        </is>
      </c>
      <c r="N328" s="10" t="inlineStr"/>
    </row>
    <row r="329">
      <c r="A329" s="5" t="n">
        <v>328</v>
      </c>
      <c r="B329" s="10" t="inlineStr">
        <is>
          <t>TC-REPORT-01-19</t>
        </is>
      </c>
      <c r="C329" s="10" t="inlineStr">
        <is>
          <t>10-불편신고</t>
        </is>
      </c>
      <c r="D329" s="10" t="inlineStr">
        <is>
          <t>REPORT-01</t>
        </is>
      </c>
      <c r="E329" s="10" t="inlineStr">
        <is>
          <t>AC-06 · T-4 · NFR-02 · S-1</t>
        </is>
      </c>
      <c r="F329" s="5" t="inlineStr">
        <is>
          <t>비기능</t>
        </is>
      </c>
      <c r="G329" s="5" t="inlineStr">
        <is>
          <t>미실행</t>
        </is>
      </c>
      <c r="H329" s="10" t="inlineStr">
        <is>
          <t>OS 글자 크기를 200%로 설정 · 등록 폼 진입 · 사진 첨부 시트 표출</t>
        </is>
      </c>
      <c r="I329" s="10" t="inlineStr">
        <is>
          <t>1. 폼 전 요소의 문자열이 잘리거나 겹치는지 확인한다
2. 사진 첨부 시트를 내부 스크롤해 [닫기] 버튼 행에 도달할 수 있는지 확인한다
3. 라디오 3종과 [신고하기]의 히트 영역을 측정한다</t>
        </is>
      </c>
      <c r="J329" s="10" t="inlineStr">
        <is>
          <t>200%에서 레이아웃이 깨지지 않고, 시트의 [닫기] 버튼 행이 스크롤 밖에 고정돼 항상 도달 가능하며, 라디오·버튼 히트 영역이 사각 44×44pt 이상이다</t>
        </is>
      </c>
      <c r="K329" s="10" t="inlineStr"/>
      <c r="L329" s="10" t="inlineStr">
        <is>
          <t>UX 10-불편신고 3.2절 · 3.3.3절 200% 초과 · PRD 2부 T-4·S-1</t>
        </is>
      </c>
      <c r="M329" s="10" t="inlineStr"/>
      <c r="N329" s="10" t="inlineStr"/>
    </row>
    <row r="330">
      <c r="A330" s="5" t="n">
        <v>329</v>
      </c>
      <c r="B330" s="10" t="inlineStr">
        <is>
          <t>TC-REPORT-02-01</t>
        </is>
      </c>
      <c r="C330" s="10" t="inlineStr">
        <is>
          <t>10-불편신고</t>
        </is>
      </c>
      <c r="D330" s="10" t="inlineStr">
        <is>
          <t>REPORT-02</t>
        </is>
      </c>
      <c r="E330" s="10" t="inlineStr">
        <is>
          <t>FR-R6 · SC-08</t>
        </is>
      </c>
      <c r="F330" s="5" t="inlineStr">
        <is>
          <t>기능</t>
        </is>
      </c>
      <c r="G330" s="5" t="inlineStr">
        <is>
          <t>미실행</t>
        </is>
      </c>
      <c r="H330" s="10" t="inlineStr">
        <is>
          <t>회원 로그인 상태 · 등록한 신고가 3건 이상 존재 · `1-6-2` 진입</t>
        </is>
      </c>
      <c r="I330" s="10" t="inlineStr">
        <is>
          <t>1. 목록 1행의 구성 요소를 확인한다
2. 각 행의 접수 상태 문자열을 확인한다</t>
        </is>
      </c>
      <c r="J330" s="10" t="inlineStr">
        <is>
          <t>각 행이 신고 내용 요약 · 등록 일자 · 접수 상태로 구성되고, 상태 문자열은 접수됨 / 처리중 / 처리완료 중 하나다</t>
        </is>
      </c>
      <c r="K330" s="10" t="inlineStr"/>
      <c r="L330" s="10" t="inlineStr">
        <is>
          <t>UX 10-불편신고 4.2절 화면 구성 · 4.3절 요소 1</t>
        </is>
      </c>
      <c r="M330" s="10" t="inlineStr"/>
      <c r="N330" s="10" t="inlineStr"/>
    </row>
    <row r="331">
      <c r="A331" s="5" t="n">
        <v>330</v>
      </c>
      <c r="B331" s="10" t="inlineStr">
        <is>
          <t>TC-REPORT-02-02</t>
        </is>
      </c>
      <c r="C331" s="10" t="inlineStr">
        <is>
          <t>10-불편신고</t>
        </is>
      </c>
      <c r="D331" s="10" t="inlineStr">
        <is>
          <t>REPORT-02</t>
        </is>
      </c>
      <c r="E331" s="10" t="inlineStr">
        <is>
          <t>V-3 · NFR-05</t>
        </is>
      </c>
      <c r="F331" s="5" t="inlineStr">
        <is>
          <t>접근성</t>
        </is>
      </c>
      <c r="G331" s="5" t="inlineStr">
        <is>
          <t>미실행</t>
        </is>
      </c>
      <c r="H331" s="10" t="inlineStr">
        <is>
          <t>회원 로그인 상태 · 상태가 서로 다른 신고 3건 · `1-6-2` 진입</t>
        </is>
      </c>
      <c r="I331" s="10" t="inlineStr">
        <is>
          <t>1. 회색조(그레이스케일) 모드로 전환한다
2. 세 행의 접수 상태를 구분할 수 있는지 확인한다</t>
        </is>
      </c>
      <c r="J331" s="10" t="inlineStr">
        <is>
          <t>색을 제거해도 상태 문자열(접수됨/처리중/처리완료)로 세 행이 구분된다 — 배지 색 단독으로 구분하지 않는다</t>
        </is>
      </c>
      <c r="K331" s="10" t="inlineStr"/>
      <c r="L331" s="10" t="inlineStr">
        <is>
          <t>UX 10-불편신고 4.3절 요소 1 · PRD 2부 V-3</t>
        </is>
      </c>
      <c r="M331" s="10" t="inlineStr"/>
      <c r="N331" s="10" t="inlineStr"/>
    </row>
    <row r="332">
      <c r="A332" s="5" t="n">
        <v>331</v>
      </c>
      <c r="B332" s="10" t="inlineStr">
        <is>
          <t>TC-REPORT-02-03</t>
        </is>
      </c>
      <c r="C332" s="10" t="inlineStr">
        <is>
          <t>10-불편신고</t>
        </is>
      </c>
      <c r="D332" s="10" t="inlineStr">
        <is>
          <t>REPORT-02</t>
        </is>
      </c>
      <c r="E332" s="10" t="inlineStr">
        <is>
          <t>AC-05 · V-3</t>
        </is>
      </c>
      <c r="F332" s="5" t="inlineStr">
        <is>
          <t>접근성</t>
        </is>
      </c>
      <c r="G332" s="5" t="inlineStr">
        <is>
          <t>미실행</t>
        </is>
      </c>
      <c r="H332" s="10" t="inlineStr">
        <is>
          <t>TalkBack 켬 · 회원 로그인 상태 · `1-6-2` 진입</t>
        </is>
      </c>
      <c r="I332" s="10" t="inlineStr">
        <is>
          <t>1. 목록 1행에 포커스를 두고 낭독을 듣는다</t>
        </is>
      </c>
      <c r="J332" s="10" t="inlineStr">
        <is>
          <t>「불편신고, 26.01.03, 접수됨, 버튼」 형태로 내용·일자·상태·역할이 모두 낭독되고, 상태가 색이 아니라 문자열로 전달된다</t>
        </is>
      </c>
      <c r="K332" s="10" t="inlineStr"/>
      <c r="L332" s="10" t="inlineStr">
        <is>
          <t>UX 10-불편신고 4.3절 요소 1 낭독 라벨</t>
        </is>
      </c>
      <c r="M332" s="10" t="inlineStr"/>
      <c r="N332" s="10" t="inlineStr"/>
    </row>
    <row r="333">
      <c r="A333" s="5" t="n">
        <v>332</v>
      </c>
      <c r="B333" s="10" t="inlineStr">
        <is>
          <t>TC-REPORT-02-04</t>
        </is>
      </c>
      <c r="C333" s="10" t="inlineStr">
        <is>
          <t>10-불편신고</t>
        </is>
      </c>
      <c r="D333" s="10" t="inlineStr">
        <is>
          <t>REPORT-02</t>
        </is>
      </c>
      <c r="E333" s="10" t="inlineStr">
        <is>
          <t>E-3 · FR-R6</t>
        </is>
      </c>
      <c r="F333" s="5" t="inlineStr">
        <is>
          <t>기능</t>
        </is>
      </c>
      <c r="G333" s="5" t="inlineStr">
        <is>
          <t>미실행</t>
        </is>
      </c>
      <c r="H333" s="10" t="inlineStr">
        <is>
          <t>회원 로그인 상태 · 처리중 상태의 신고 1건 · `1-6-2` 진입</t>
        </is>
      </c>
      <c r="I333" s="10" t="inlineStr">
        <is>
          <t>1. 목록에서 해당 항목을 선택한다
2. 상세의 구성 요소를 위에서 아래로 기록한다</t>
        </is>
      </c>
      <c r="J333" s="10" t="inlineStr">
        <is>
          <t>신고 상세로 전환되며 신고 사진 → 상세 내용 → 접수 상태 → 처리 결과(관리자 코멘트) → [추가 증빙 제출] 순으로 표시된다</t>
        </is>
      </c>
      <c r="K333" s="10" t="inlineStr"/>
      <c r="L333" s="10" t="inlineStr">
        <is>
          <t>UX 10-불편신고 4.2절 · 4.3절 요소 3·4 · PRD 1부 4.6 E-3</t>
        </is>
      </c>
      <c r="M333" s="10" t="inlineStr"/>
      <c r="N333" s="10" t="inlineStr"/>
    </row>
    <row r="334">
      <c r="A334" s="5" t="n">
        <v>333</v>
      </c>
      <c r="B334" s="10" t="inlineStr">
        <is>
          <t>TC-REPORT-02-05</t>
        </is>
      </c>
      <c r="C334" s="10" t="inlineStr">
        <is>
          <t>10-불편신고</t>
        </is>
      </c>
      <c r="D334" s="10" t="inlineStr">
        <is>
          <t>REPORT-02</t>
        </is>
      </c>
      <c r="E334" s="10" t="inlineStr">
        <is>
          <t>E-3</t>
        </is>
      </c>
      <c r="F334" s="5" t="inlineStr">
        <is>
          <t>기능</t>
        </is>
      </c>
      <c r="G334" s="5" t="inlineStr">
        <is>
          <t>미실행</t>
        </is>
      </c>
      <c r="H334" s="10" t="inlineStr">
        <is>
          <t>회원 로그인 상태 · 신고 상세 진입</t>
        </is>
      </c>
      <c r="I334" s="10" t="inlineStr">
        <is>
          <t>1. 상세 하단의 [추가 증빙 제출]을 누른다</t>
        </is>
      </c>
      <c r="J334" s="10" t="inlineStr">
        <is>
          <t>신고자가 사진 등 추가 증빙을 제출하는 경로가 열린다 — 조회 전용으로 막히지 않는다</t>
        </is>
      </c>
      <c r="K334" s="10" t="inlineStr"/>
      <c r="L334" s="10" t="inlineStr">
        <is>
          <t>UX 10-불편신고 4.3절 요소 4 · PRD 1부 4.6 E-3</t>
        </is>
      </c>
      <c r="M334" s="10" t="inlineStr">
        <is>
          <t>PRD E-3이 `feature-report` 「등록만」 기술을 v0.5에서 폐기했으므로 조회 전용 구현은 불합격이다</t>
        </is>
      </c>
      <c r="N334" s="10" t="inlineStr"/>
    </row>
    <row r="335">
      <c r="A335" s="5" t="n">
        <v>334</v>
      </c>
      <c r="B335" s="10" t="inlineStr">
        <is>
          <t>TC-REPORT-02-06</t>
        </is>
      </c>
      <c r="C335" s="10" t="inlineStr">
        <is>
          <t>10-불편신고</t>
        </is>
      </c>
      <c r="D335" s="10" t="inlineStr">
        <is>
          <t>REPORT-02</t>
        </is>
      </c>
      <c r="E335" s="10" t="inlineStr">
        <is>
          <t>AC-05 · V-1</t>
        </is>
      </c>
      <c r="F335" s="5" t="inlineStr">
        <is>
          <t>접근성</t>
        </is>
      </c>
      <c r="G335" s="5" t="inlineStr">
        <is>
          <t>미실행</t>
        </is>
      </c>
      <c r="H335" s="10" t="inlineStr">
        <is>
          <t>전맹(S2) 유형 계정 · TalkBack 켬 · 신고 상세 진입</t>
        </is>
      </c>
      <c r="I335" s="10" t="inlineStr">
        <is>
          <t>1. 상세 최상단에서 스와이프로 끝까지 포커스를 이동시키며 낭독 순서를 기록한다</t>
        </is>
      </c>
      <c r="J335" s="10" t="inlineStr">
        <is>
          <t>신고 사진 → 상세 내용 → 접수 상태 → 처리 결과 코멘트 → [추가 증빙 제출] 5단계 순으로 낭독된다</t>
        </is>
      </c>
      <c r="K335" s="10" t="inlineStr"/>
      <c r="L335" s="10" t="inlineStr">
        <is>
          <t>UX 10-불편신고 4.4절 음성(S2) 낭독 순서</t>
        </is>
      </c>
      <c r="M335" s="10" t="inlineStr"/>
      <c r="N335" s="10" t="inlineStr"/>
    </row>
    <row r="336">
      <c r="A336" s="5" t="n">
        <v>335</v>
      </c>
      <c r="B336" s="10" t="inlineStr">
        <is>
          <t>TC-REPORT-02-07</t>
        </is>
      </c>
      <c r="C336" s="10" t="inlineStr">
        <is>
          <t>10-불편신고</t>
        </is>
      </c>
      <c r="D336" s="10" t="inlineStr">
        <is>
          <t>REPORT-02</t>
        </is>
      </c>
      <c r="E336" s="10" t="inlineStr">
        <is>
          <t>NFR-05</t>
        </is>
      </c>
      <c r="F336" s="5" t="inlineStr">
        <is>
          <t>접근성</t>
        </is>
      </c>
      <c r="G336" s="12" t="inlineStr">
        <is>
          <t>보류</t>
        </is>
      </c>
      <c r="H336" s="10" t="inlineStr">
        <is>
          <t>TalkBack 켬 · 사진이 첨부된 신고 상세 진입</t>
        </is>
      </c>
      <c r="I336" s="10" t="inlineStr">
        <is>
          <t>1. 상세 상단의 신고 사진에 포커스를 두고 낭독을 듣는다</t>
        </is>
      </c>
      <c r="J336" s="10" t="inlineStr">
        <is>
          <t>신고 사진의 대체 텍스트로 무엇을 읽을지가 UX 4.3절·4.7절에서 미확정이라 `NFR-05`의 「의미 있는 대체 텍스트」를 판정할 기준이 없다</t>
        </is>
      </c>
      <c r="K336" s="10" t="inlineStr"/>
      <c r="L336" s="10" t="inlineStr">
        <is>
          <t>UX 10-불편신고 4.3절 요소 2 · 4.7절 미확정</t>
        </is>
      </c>
      <c r="M336" s="10" t="inlineStr">
        <is>
          <t>등록 화면의 썸네일 대체 텍스트(UX 3.3.3절 S2 낭독 ①)와 같은 축이다 — 기획 확정 후 두 자리를 함께 판정한다</t>
        </is>
      </c>
      <c r="N336" s="10" t="inlineStr"/>
    </row>
    <row r="337">
      <c r="A337" s="5" t="n">
        <v>336</v>
      </c>
      <c r="B337" s="10" t="inlineStr">
        <is>
          <t>TC-REPORT-02-08</t>
        </is>
      </c>
      <c r="C337" s="10" t="inlineStr">
        <is>
          <t>10-불편신고</t>
        </is>
      </c>
      <c r="D337" s="10" t="inlineStr">
        <is>
          <t>REPORT-02</t>
        </is>
      </c>
      <c r="E337" s="10" t="inlineStr">
        <is>
          <t>FR-R6 · V-3</t>
        </is>
      </c>
      <c r="F337" s="5" t="inlineStr">
        <is>
          <t>기능</t>
        </is>
      </c>
      <c r="G337" s="12" t="inlineStr">
        <is>
          <t>보류</t>
        </is>
      </c>
      <c r="H337" s="10" t="inlineStr">
        <is>
          <t>회원 로그인 상태 · 서로 다른 처리 단계의 신고 다수 · `1-6-2` 진입</t>
        </is>
      </c>
      <c r="I337" s="10" t="inlineStr">
        <is>
          <t>1. 목록에 나타나는 상태 문자열의 종류를 전수 수집한다
2. PRD 4.6의 상태 값 규격과 대조한다</t>
        </is>
      </c>
      <c r="J337" s="10" t="inlineStr">
        <is>
          <t>사양이 갈린다 — UX 4.3절은 접수됨/처리중/처리완료 3종을 두고, PRD 4.6은 상태 9종 세분화를 요건으로 둔다. 3종과 9종의 관계가 정리되지 않아 어떤 값 집합을 기대값으로 삼을지 정할 수 없다</t>
        </is>
      </c>
      <c r="K337" s="10" t="inlineStr"/>
      <c r="L337" s="10" t="inlineStr">
        <is>
          <t>UX 10-불편신고 4.3절 상태 문자열 3종 · 4.7절 `U-73` ↔ PRD 1부 4.6 `Report`</t>
        </is>
      </c>
      <c r="M337" s="10" t="inlineStr">
        <is>
          <t>`U-73`(`U-18` 연결) — 서버·PM 소관. 값 규격 확정 후 기능 TC로 전환한다</t>
        </is>
      </c>
      <c r="N337" s="10" t="inlineStr"/>
    </row>
    <row r="338">
      <c r="A338" s="5" t="n">
        <v>337</v>
      </c>
      <c r="B338" s="10" t="inlineStr">
        <is>
          <t>TC-REPORT-02-09</t>
        </is>
      </c>
      <c r="C338" s="10" t="inlineStr">
        <is>
          <t>10-불편신고</t>
        </is>
      </c>
      <c r="D338" s="10" t="inlineStr">
        <is>
          <t>REPORT-02</t>
        </is>
      </c>
      <c r="E338" s="10" t="inlineStr">
        <is>
          <t>V-6 · V-4</t>
        </is>
      </c>
      <c r="F338" s="5" t="inlineStr">
        <is>
          <t>기능</t>
        </is>
      </c>
      <c r="G338" s="12" t="inlineStr">
        <is>
          <t>보류</t>
        </is>
      </c>
      <c r="H338" s="10" t="inlineStr">
        <is>
          <t>신고 이력이 0건인 회원 계정 · `1-6-2` 진입</t>
        </is>
      </c>
      <c r="I338" s="10" t="inlineStr">
        <is>
          <t>1. 목록 영역에 표시되는 내용을 확인한다
2. 처리중 상태 신고의 상세에서 처리 결과 영역을 확인한다</t>
        </is>
      </c>
      <c r="J338" s="10" t="inlineStr">
        <is>
          <t>빈 상태 문안과 처리 결과 코멘트가 없을 때의 결과 영역 처리가 UX 4.6절에서 모두 미확정이라, 무엇이 표시돼야 하는지 기대값을 정할 수 없다</t>
        </is>
      </c>
      <c r="K338" s="10" t="inlineStr"/>
      <c r="L338" s="10" t="inlineStr">
        <is>
          <t>UX 10-불편신고 4.6절 예외 케이스</t>
        </is>
      </c>
      <c r="M338" s="10" t="inlineStr">
        <is>
          <t>빈 화면을 침묵으로 두면 `V-6`·`V-4` 위반이 되므로 판정 자체는 필요하다 — 기획 문안 확정 후 기능 TC 2건으로 분리한다</t>
        </is>
      </c>
      <c r="N338" s="10" t="inlineStr"/>
    </row>
    <row r="339">
      <c r="A339" s="5" t="n">
        <v>338</v>
      </c>
      <c r="B339" s="10" t="inlineStr">
        <is>
          <t>TC-REPORT-02-10</t>
        </is>
      </c>
      <c r="C339" s="10" t="inlineStr">
        <is>
          <t>10-불편신고</t>
        </is>
      </c>
      <c r="D339" s="10" t="inlineStr">
        <is>
          <t>REPORT-02</t>
        </is>
      </c>
      <c r="E339" s="10" t="inlineStr">
        <is>
          <t>FR-A3 · E-4</t>
        </is>
      </c>
      <c r="F339" s="5" t="inlineStr">
        <is>
          <t>기능</t>
        </is>
      </c>
      <c r="G339" s="12" t="inlineStr">
        <is>
          <t>보류</t>
        </is>
      </c>
      <c r="H339" s="10" t="inlineStr">
        <is>
          <t>회원 로그인 상태 · 신고 1건을 접수 완료까지 진행</t>
        </is>
      </c>
      <c r="I339" s="10" t="inlineStr">
        <is>
          <t>1. 신고 접수 완료 후 `3-2` 내 마일리지의 총액·내역 변화를 확인한다</t>
        </is>
      </c>
      <c r="J339" s="10" t="inlineStr">
        <is>
          <t>연계 방식·데이터 형식이 티머니GO 개발팀과 협의 대상으로 남아 있고 적립 시점·기준도 UX 4.5절·4.7절에서 미확정이라, 어떤 시점에 얼마가 조회되어야 하는지 기대값을 정할 수 없다</t>
        </is>
      </c>
      <c r="K339" s="10" t="inlineStr"/>
      <c r="L339" s="10" t="inlineStr">
        <is>
          <t>UX 10-불편신고 4.5절 마일리지 연계 · PRD 1부 1.8 FR-A3 · 4.6 E-4</t>
        </is>
      </c>
      <c r="M339" s="10" t="inlineStr">
        <is>
          <t>지급 로직은 아이나비 구현 범위 밖이다(`E-4`) — 이 TC는 적립 결과가 조회 화면에 드러나는지만 판정 대상으로 남긴다</t>
        </is>
      </c>
      <c r="N339" s="10" t="inlineStr"/>
    </row>
    <row r="340">
      <c r="A340" s="5" t="n">
        <v>339</v>
      </c>
      <c r="B340" s="10" t="inlineStr">
        <is>
          <t>TC-REPORT-02-11</t>
        </is>
      </c>
      <c r="C340" s="10" t="inlineStr">
        <is>
          <t>10-불편신고</t>
        </is>
      </c>
      <c r="D340" s="10" t="inlineStr">
        <is>
          <t>REPORT-02</t>
        </is>
      </c>
      <c r="E340" s="10" t="inlineStr">
        <is>
          <t>V-6 · NFR-04</t>
        </is>
      </c>
      <c r="F340" s="5" t="inlineStr">
        <is>
          <t>기능</t>
        </is>
      </c>
      <c r="G340" s="5" t="inlineStr">
        <is>
          <t>미실행</t>
        </is>
      </c>
      <c r="H340" s="10" t="inlineStr">
        <is>
          <t>비회원 상태 · `1-6-2` 진입 시도</t>
        </is>
      </c>
      <c r="I340" s="10" t="inlineStr">
        <is>
          <t>1. 비회원으로 「나의 불편신고 내역」 진입을 시도한다
2. 표출된 다이얼로그에서 [닫기]를 누른다</t>
        </is>
      </c>
      <c r="J340" s="10" t="inlineStr">
        <is>
          <t>「신고 내역은 로그인 후 이용 가능합니다.」 차단 다이얼로그가 뜨고, 닫으면 원래 눌렀던 항목으로 포커스가 복귀한다</t>
        </is>
      </c>
      <c r="K340" s="10" t="inlineStr"/>
      <c r="L340" s="10" t="inlineStr">
        <is>
          <t>UX 10-불편신고 4.6절 예외 · 01-로그인-회원가입 6.3절 치환 표</t>
        </is>
      </c>
      <c r="M340" s="10" t="inlineStr"/>
      <c r="N340" s="10" t="inlineStr"/>
    </row>
    <row r="341">
      <c r="A341" s="5" t="n">
        <v>340</v>
      </c>
      <c r="B341" s="10" t="inlineStr">
        <is>
          <t>TC-REPORT-02-12</t>
        </is>
      </c>
      <c r="C341" s="10" t="inlineStr">
        <is>
          <t>10-불편신고</t>
        </is>
      </c>
      <c r="D341" s="10" t="inlineStr">
        <is>
          <t>REPORT-02</t>
        </is>
      </c>
      <c r="E341" s="10" t="inlineStr">
        <is>
          <t>AC-06 · T-4 · NFR-02 · S-2</t>
        </is>
      </c>
      <c r="F341" s="5" t="inlineStr">
        <is>
          <t>비기능</t>
        </is>
      </c>
      <c r="G341" s="5" t="inlineStr">
        <is>
          <t>미실행</t>
        </is>
      </c>
      <c r="H341" s="10" t="inlineStr">
        <is>
          <t>OS 글자 크기를 200%로 설정 · 신고 3건 이상 · `1-6-2` 진입</t>
        </is>
      </c>
      <c r="I341" s="10" t="inlineStr">
        <is>
          <t>1. 목록 행의 요약·일자·상태가 잘리거나 겹치는지 확인한다
2. 행 간 간격과 [추가 증빙 제출] 버튼의 히트 영역을 측정한다</t>
        </is>
      </c>
      <c r="J341" s="10" t="inlineStr">
        <is>
          <t>200%에서 세 요소가 잘리지 않고, 인접 행 간격 8px 이상 · 버튼 히트 영역 사각 44×44pt 이상이다</t>
        </is>
      </c>
      <c r="K341" s="10" t="inlineStr"/>
      <c r="L341" s="10" t="inlineStr">
        <is>
          <t>UX 10-불편신고 4.2절 · PRD 1부 NFR-02 · PRD 2부 T-4·S-2</t>
        </is>
      </c>
      <c r="M341" s="10" t="inlineStr"/>
      <c r="N341" s="10" t="inlineStr"/>
    </row>
    <row r="342">
      <c r="A342" s="5" t="n">
        <v>341</v>
      </c>
      <c r="B342" s="10" t="inlineStr">
        <is>
          <t>TC-MY-01-01</t>
        </is>
      </c>
      <c r="C342" s="10" t="inlineStr">
        <is>
          <t>11-마이페이지</t>
        </is>
      </c>
      <c r="D342" s="10" t="inlineStr">
        <is>
          <t>MY-01</t>
        </is>
      </c>
      <c r="E342" s="10" t="inlineStr">
        <is>
          <t>V-1</t>
        </is>
      </c>
      <c r="F342" s="5" t="inlineStr">
        <is>
          <t>기능</t>
        </is>
      </c>
      <c r="G342" s="5" t="inlineStr">
        <is>
          <t>미실행</t>
        </is>
      </c>
      <c r="H342" s="10" t="inlineStr">
        <is>
          <t>회원 로그인 상태 · 하단 Nav 「마이페이지」로 진입</t>
        </is>
      </c>
      <c r="I342" s="10" t="inlineStr">
        <is>
          <t>1. 화면을 위에서 아래로 훑으며 블록 순서를 기록한다
2. 각 블록의 항목 문자열을 확인한다</t>
        </is>
      </c>
      <c r="J342" s="10" t="inlineStr">
        <is>
          <t>닉네임 인사 줄 → 유형 값＋[유형변경] → 글자 크기 세그먼트 → 카드 2개(내 마일리지·즐겨찾기) → 묶음 A(공지사항·이용약관 및 정책) → 묶음 B(로그아웃·회원탈퇴) 순으로 배치된다. 1depth라 뒤로가기가 없다</t>
        </is>
      </c>
      <c r="K342" s="10" t="inlineStr"/>
      <c r="L342" s="10" t="inlineStr">
        <is>
          <t>UX 11-마이페이지 2.2절 신 레이아웃 · 2.9절 요소 ①~⑥</t>
        </is>
      </c>
      <c r="M342" s="10" t="inlineStr">
        <is>
          <t>묶음 A·B의 시각적 구분 방법과 카드/그룹 컴포넌트 규격(`U-108`)은 디자인 미확정이라 판정 대상이 아니다</t>
        </is>
      </c>
      <c r="N342" s="10" t="inlineStr"/>
    </row>
    <row r="343">
      <c r="A343" s="5" t="n">
        <v>342</v>
      </c>
      <c r="B343" s="10" t="inlineStr">
        <is>
          <t>TC-MY-01-02</t>
        </is>
      </c>
      <c r="C343" s="10" t="inlineStr">
        <is>
          <t>11-마이페이지</t>
        </is>
      </c>
      <c r="D343" s="10" t="inlineStr">
        <is>
          <t>MY-01</t>
        </is>
      </c>
      <c r="E343" s="10" t="inlineStr">
        <is>
          <t>V-11</t>
        </is>
      </c>
      <c r="F343" s="5" t="inlineStr">
        <is>
          <t>기능</t>
        </is>
      </c>
      <c r="G343" s="5" t="inlineStr">
        <is>
          <t>미실행</t>
        </is>
      </c>
      <c r="H343" s="10" t="inlineStr">
        <is>
          <t>회원 로그인 상태 · 마이페이지 진입</t>
        </is>
      </c>
      <c r="I343" s="10" t="inlineStr">
        <is>
          <t>1. 유형 값이 표시된 행의 본문 영역(값 문자열)을 누른다
2. 행 우측의 [유형변경] 버튼을 누른다</t>
        </is>
      </c>
      <c r="J343" s="10" t="inlineStr">
        <is>
          <t>행 본문을 눌러서는 아무 일도 일어나지 않고, [유형변경] 버튼을 눌렀을 때만 `3-1` 팝업이 뜬다. 화면 이동은 없고 현재 유형 값이 행에 인라인으로 표시돼 있다</t>
        </is>
      </c>
      <c r="K343" s="10" t="inlineStr"/>
      <c r="L343" s="10" t="inlineStr">
        <is>
          <t>UX 11-마이페이지 2.9절 요소 ② · 3.1절 진입</t>
        </is>
      </c>
      <c r="M343" s="10" t="inlineStr">
        <is>
          <t>[유형변경] 버튼의 터치 타겟 값은 디자인 소관이라 TC-MY-01-19가 측정한다</t>
        </is>
      </c>
      <c r="N343" s="10" t="inlineStr"/>
    </row>
    <row r="344">
      <c r="A344" s="5" t="n">
        <v>343</v>
      </c>
      <c r="B344" s="10" t="inlineStr">
        <is>
          <t>TC-MY-01-03</t>
        </is>
      </c>
      <c r="C344" s="10" t="inlineStr">
        <is>
          <t>11-마이페이지</t>
        </is>
      </c>
      <c r="D344" s="10" t="inlineStr">
        <is>
          <t>MY-01</t>
        </is>
      </c>
      <c r="E344" s="10" t="inlineStr">
        <is>
          <t>FR-R2 · T-6</t>
        </is>
      </c>
      <c r="F344" s="5" t="inlineStr">
        <is>
          <t>기능</t>
        </is>
      </c>
      <c r="G344" s="5" t="inlineStr">
        <is>
          <t>미실행</t>
        </is>
      </c>
      <c r="H344" s="10" t="inlineStr">
        <is>
          <t>회원 로그인 상태 · 마이페이지 진입 · 현재 단이 「기본」</t>
        </is>
      </c>
      <c r="I344" s="10" t="inlineStr">
        <is>
          <t>1. 글자 크기 항목의 컨트롤 형태와 단 개수를 확인한다
2. 「더 크게」를 누른다
3. 화면 이동이 일어나는지 확인한다</t>
        </is>
      </c>
      <c r="J344" s="10" t="inlineStr">
        <is>
          <t>항목명 「글자 크기」 아래 2분할 세그먼트로 「기본」·「더 크게」 두 단이 한자리에 함께 보이고, 누르면 그 자리에서 앱 글자 크기가 바뀐다. 3단 이상이나 연속 슬라이더가 아니며 하위 화면으로 이동하지 않는다</t>
        </is>
      </c>
      <c r="K344" s="10" t="inlineStr"/>
      <c r="L344" s="10" t="inlineStr">
        <is>
          <t>UX 11-마이페이지 4.1절 · 2.9절 요소 ③</t>
        </is>
      </c>
      <c r="M344" s="10" t="inlineStr"/>
      <c r="N344" s="10" t="inlineStr"/>
    </row>
    <row r="345">
      <c r="A345" s="5" t="n">
        <v>344</v>
      </c>
      <c r="B345" s="10" t="inlineStr">
        <is>
          <t>TC-MY-01-04</t>
        </is>
      </c>
      <c r="C345" s="10" t="inlineStr">
        <is>
          <t>11-마이페이지</t>
        </is>
      </c>
      <c r="D345" s="10" t="inlineStr">
        <is>
          <t>MY-01</t>
        </is>
      </c>
      <c r="E345" s="10" t="inlineStr">
        <is>
          <t>T-6 · T-4 · AC-06</t>
        </is>
      </c>
      <c r="F345" s="5" t="inlineStr">
        <is>
          <t>비기능</t>
        </is>
      </c>
      <c r="G345" s="5" t="inlineStr">
        <is>
          <t>미실행</t>
        </is>
      </c>
      <c r="H345" s="10" t="inlineStr">
        <is>
          <t>회원 로그인 상태 · OS 글자 크기를 100%와 200%로 각각 설정할 수 있는 단말</t>
        </is>
      </c>
      <c r="I345" s="10" t="inlineStr">
        <is>
          <t>1. OS 배율 100%에서 앱 단을 「기본」→「더 크게」로 바꾸며 본문 유효 크기를 측정한다
2. OS 배율 200%로 올린 뒤 같은 두 단에서 다시 측정한다</t>
        </is>
      </c>
      <c r="J345" s="10" t="inlineStr">
        <is>
          <t>유효 크기 = 계열 토큰 값 × 시스템 배율로 나온다 — 앱은 계열(기본↔확대)만 전환하고 OS 배율을 대체하거나 무시하지 않는다. 200%에서 앱 단을 바꿔도 시스템 배율분이 그대로 곱해져 있다</t>
        </is>
      </c>
      <c r="K345" s="10" t="inlineStr"/>
      <c r="L345" s="10" t="inlineStr">
        <is>
          <t>UX 11-마이페이지 4.1절 OS 배율과의 관계 · PRD 2부 7.3 T-6</t>
        </is>
      </c>
      <c r="M345" s="10" t="inlineStr">
        <is>
          <t>계열 토큰 값 자체는 Claude Design 정본과 대조한다 — 이 TC는 합성 규칙만 판정한다</t>
        </is>
      </c>
      <c r="N345" s="10" t="inlineStr"/>
    </row>
    <row r="346">
      <c r="A346" s="5" t="n">
        <v>345</v>
      </c>
      <c r="B346" s="10" t="inlineStr">
        <is>
          <t>TC-MY-01-05</t>
        </is>
      </c>
      <c r="C346" s="10" t="inlineStr">
        <is>
          <t>11-마이페이지</t>
        </is>
      </c>
      <c r="D346" s="10" t="inlineStr">
        <is>
          <t>MY-01</t>
        </is>
      </c>
      <c r="E346" s="10" t="inlineStr">
        <is>
          <t>V-6 · AC-05</t>
        </is>
      </c>
      <c r="F346" s="5" t="inlineStr">
        <is>
          <t>접근성</t>
        </is>
      </c>
      <c r="G346" s="5" t="inlineStr">
        <is>
          <t>미실행</t>
        </is>
      </c>
      <c r="H346" s="10" t="inlineStr">
        <is>
          <t>저시력(S1 확장) 유형 계정 · TalkBack 켬 · 마이페이지 진입</t>
        </is>
      </c>
      <c r="I346" s="10" t="inlineStr">
        <is>
          <t>1. 글자 크기 세그먼트에서 「더 크게」를 누른다
2. 누른 직후의 낭독을 듣는다
3. 각 단에 포커스를 두고 현재 단이 어떻게 들리는지 확인한다</t>
        </is>
      </c>
      <c r="J346" s="10" t="inlineStr">
        <is>
          <t>값이 바뀌면 aria-live로 결과가 낭독돼 침묵하지 않고, 현재 단이 「더 크게, 선택됨」처럼 선택 상태로 들린다</t>
        </is>
      </c>
      <c r="K346" s="10" t="inlineStr"/>
      <c r="L346" s="10" t="inlineStr">
        <is>
          <t>UX 11-마이페이지 4.2절 비시각 레이어</t>
        </is>
      </c>
      <c r="M346" s="10" t="inlineStr">
        <is>
          <t>낭독 라벨 문안은 UX 4.2절에서 (案) 표시 상태다(2.8.5절) — 이 TC는 결과 알림과 선택 상태 전달 여부만 판정한다</t>
        </is>
      </c>
      <c r="N346" s="10" t="inlineStr"/>
    </row>
    <row r="347">
      <c r="A347" s="5" t="n">
        <v>346</v>
      </c>
      <c r="B347" s="10" t="inlineStr">
        <is>
          <t>TC-MY-01-06</t>
        </is>
      </c>
      <c r="C347" s="10" t="inlineStr">
        <is>
          <t>11-마이페이지</t>
        </is>
      </c>
      <c r="D347" s="10" t="inlineStr">
        <is>
          <t>MY-01</t>
        </is>
      </c>
      <c r="E347" s="10" t="inlineStr">
        <is>
          <t>MB-1 · FR-R2</t>
        </is>
      </c>
      <c r="F347" s="5" t="inlineStr">
        <is>
          <t>비기능</t>
        </is>
      </c>
      <c r="G347" s="5" t="inlineStr">
        <is>
          <t>미실행</t>
        </is>
      </c>
      <c r="H347" s="10" t="inlineStr">
        <is>
          <t>회원 로그인 상태 · 마이페이지에서 글자 크기를 「더 크게」로 변경</t>
        </is>
      </c>
      <c r="I347" s="10" t="inlineStr">
        <is>
          <t>1. 홈·길안내·불편신고 등 다른 화면으로 이동해 본문 크기를 확인한다
2. 각 화면에 글자 크기를 따로 조절하는 컨트롤이 있는지 확인한다</t>
        </is>
      </c>
      <c r="J347" s="10" t="inlineStr">
        <is>
          <t>마이페이지의 한 지점에서 바꾼 값이 전 화면에 반영되고, 화면별로 폰트 배율을 따로 조절하는 우회 컨트롤이 존재하지 않는다</t>
        </is>
      </c>
      <c r="K347" s="10" t="inlineStr"/>
      <c r="L347" s="10" t="inlineStr">
        <is>
          <t>PRD 2부 5절 MB-1 · UX 11-마이페이지 4.1절 「어디」</t>
        </is>
      </c>
      <c r="M347" s="10" t="inlineStr">
        <is>
          <t>폰트 배율·안내 레벨·진동 패턴 중 이 화면이 갖는 것은 폰트 배율 하나다 — 나머지 두 축의 설정 지점은 TC-MY-01-16·17 참조</t>
        </is>
      </c>
      <c r="N347" s="10" t="inlineStr"/>
    </row>
    <row r="348">
      <c r="A348" s="5" t="n">
        <v>347</v>
      </c>
      <c r="B348" s="10" t="inlineStr">
        <is>
          <t>TC-MY-01-07</t>
        </is>
      </c>
      <c r="C348" s="10" t="inlineStr">
        <is>
          <t>11-마이페이지</t>
        </is>
      </c>
      <c r="D348" s="10" t="inlineStr">
        <is>
          <t>MY-01</t>
        </is>
      </c>
      <c r="E348" s="10" t="inlineStr">
        <is>
          <t>V-5</t>
        </is>
      </c>
      <c r="F348" s="5" t="inlineStr">
        <is>
          <t>기능</t>
        </is>
      </c>
      <c r="G348" s="5" t="inlineStr">
        <is>
          <t>미실행</t>
        </is>
      </c>
      <c r="H348" s="10" t="inlineStr">
        <is>
          <t>회원 로그인 상태 · 마이페이지 진입</t>
        </is>
      </c>
      <c r="I348" s="10" t="inlineStr">
        <is>
          <t>1. 카드 2개를 좌·우 순서대로 누르고 각각 도착 화면의 제목을 확인한 뒤 복귀한다
2. 묶음 A의 2행을 위부터 누르고 각각 도착 화면의 제목을 확인한다</t>
        </is>
      </c>
      <c r="J348" s="10" t="inlineStr">
        <is>
          <t>좌 「내 마일리지」→`3-2`, 우 「즐겨찾기」→`3-3`, 「공지사항」→`3-4`, 「이용약관 및 정책」→`3-5`로 이동하고 눌렀던 항목명이 도착 화면에서 그대로 이어진다. 중간 메뉴를 경유하지 않는다</t>
        </is>
      </c>
      <c r="K348" s="10" t="inlineStr"/>
      <c r="L348" s="10" t="inlineStr">
        <is>
          <t>UX 11-마이페이지 2.9절 요소 ④·⑤ · 2.3절 단계 번호 대조표</t>
        </is>
      </c>
      <c r="M348" s="10" t="inlineStr"/>
      <c r="N348" s="10" t="inlineStr"/>
    </row>
    <row r="349">
      <c r="A349" s="5" t="n">
        <v>348</v>
      </c>
      <c r="B349" s="10" t="inlineStr">
        <is>
          <t>TC-MY-01-08</t>
        </is>
      </c>
      <c r="C349" s="10" t="inlineStr">
        <is>
          <t>11-마이페이지</t>
        </is>
      </c>
      <c r="D349" s="10" t="inlineStr">
        <is>
          <t>MY-01</t>
        </is>
      </c>
      <c r="E349" s="10" t="inlineStr">
        <is>
          <t>V-1</t>
        </is>
      </c>
      <c r="F349" s="5" t="inlineStr">
        <is>
          <t>기능</t>
        </is>
      </c>
      <c r="G349" s="5" t="inlineStr">
        <is>
          <t>미실행</t>
        </is>
      </c>
      <c r="H349" s="10" t="inlineStr">
        <is>
          <t>비회원 상태 · 하단 Nav 「마이페이지」로 진입</t>
        </is>
      </c>
      <c r="I349" s="10" t="inlineStr">
        <is>
          <t>1. 화면 전체의 항목을 훑어 표출·미표출을 기록한다
2. 닉네임 줄에 수정 아이콘·메뉴가 있는지 확인한다</t>
        </is>
      </c>
      <c r="J349" s="10" t="inlineStr">
        <is>
          <t>비회원도 마이페이지에 들어오며 닉네임(자동 부여값)·글자 크기·유형 변경·카드 2개·묶음 A는 표출되고, 묶음 B(로그아웃·회원탈퇴)와 닉네임 수정 컨트롤은 컨트롤 자체가 없다. 닉네임 아래·글자 크기 위에 「로그인 / 회원가입」 행이 1개 추가된다</t>
        </is>
      </c>
      <c r="K349" s="10" t="inlineStr"/>
      <c r="L349" s="10" t="inlineStr">
        <is>
          <t>UX 11-마이페이지 2.5절 비회원 표출 규칙</t>
        </is>
      </c>
      <c r="M349" s="10" t="inlineStr">
        <is>
          <t>「미노출」과 「보이되 차단」을 섞지 않는다 — 눌렀을 때 막는 방식이면 불합격이다</t>
        </is>
      </c>
      <c r="N349" s="10" t="inlineStr"/>
    </row>
    <row r="350">
      <c r="A350" s="5" t="n">
        <v>349</v>
      </c>
      <c r="B350" s="10" t="inlineStr">
        <is>
          <t>TC-MY-01-09</t>
        </is>
      </c>
      <c r="C350" s="10" t="inlineStr">
        <is>
          <t>11-마이페이지</t>
        </is>
      </c>
      <c r="D350" s="10" t="inlineStr">
        <is>
          <t>MY-01</t>
        </is>
      </c>
      <c r="E350" s="10" t="inlineStr">
        <is>
          <t>NFR-04 · AC-05</t>
        </is>
      </c>
      <c r="F350" s="5" t="inlineStr">
        <is>
          <t>접근성</t>
        </is>
      </c>
      <c r="G350" s="5" t="inlineStr">
        <is>
          <t>미실행</t>
        </is>
      </c>
      <c r="H350" s="10" t="inlineStr">
        <is>
          <t>비회원 상태 · 전맹(S2) 유형 · TalkBack 켬 · 마이페이지 진입</t>
        </is>
      </c>
      <c r="I350" s="10" t="inlineStr">
        <is>
          <t>1. 스와이프로 처음부터 끝까지 포커스를 이동시키며 낭독 대상을 모두 기록한다
2. 같은 절차를 회원 계정으로 반복해 항목 수를 비교한다</t>
        </is>
      </c>
      <c r="J350" s="10" t="inlineStr">
        <is>
          <t>비회원에서는 로그아웃·회원탈퇴·닉네임 수정이 포커스 순서에 아예 나타나지 않고 「로그인 / 회원가입」 1개가 추가돼, 회원 대비 묶음 B 2개가 빠지고 1개가 는다</t>
        </is>
      </c>
      <c r="K350" s="10" t="inlineStr"/>
      <c r="L350" s="10" t="inlineStr">
        <is>
          <t>UX 11-마이페이지 2.8.2절 낭독 항목 수</t>
        </is>
      </c>
      <c r="M350" s="10" t="inlineStr">
        <is>
          <t>낭독 라벨 문안은 UX 2.8.2절에서 (案) 상태다 — 항목 수와 포커스 포함 여부만 판정한다</t>
        </is>
      </c>
      <c r="N350" s="10" t="inlineStr"/>
    </row>
    <row r="351">
      <c r="A351" s="5" t="n">
        <v>350</v>
      </c>
      <c r="B351" s="10" t="inlineStr">
        <is>
          <t>TC-MY-01-10</t>
        </is>
      </c>
      <c r="C351" s="10" t="inlineStr">
        <is>
          <t>11-마이페이지</t>
        </is>
      </c>
      <c r="D351" s="10" t="inlineStr">
        <is>
          <t>MY-01</t>
        </is>
      </c>
      <c r="E351" s="10" t="inlineStr">
        <is>
          <t>V-6 · NFR-04</t>
        </is>
      </c>
      <c r="F351" s="5" t="inlineStr">
        <is>
          <t>기능</t>
        </is>
      </c>
      <c r="G351" s="5" t="inlineStr">
        <is>
          <t>미실행</t>
        </is>
      </c>
      <c r="H351" s="10" t="inlineStr">
        <is>
          <t>비회원 상태 · 마이페이지 진입</t>
        </is>
      </c>
      <c r="I351" s="10" t="inlineStr">
        <is>
          <t>1. 「내 마일리지」 카드를 누른다
2. 표출된 차단 다이얼로그의 문구를 확인하고 [닫기]를 누른다</t>
        </is>
      </c>
      <c r="J351" s="10" t="inlineStr">
        <is>
          <t>「마일리지는 로그인 후 이용 가능합니다.」가 표시되고 `3-2`로 이동하지 않으며, 닫으면 눌렀던 카드로 포커스가 복귀한다. 무음으로 아무 일도 일어나지 않는 상태가 아니다</t>
        </is>
      </c>
      <c r="K351" s="10" t="inlineStr"/>
      <c r="L351" s="10" t="inlineStr">
        <is>
          <t>UX 11-마이페이지 2.5절 · 2.8.4절 예외 · 01-로그인-회원가입 6.3절 치환 표</t>
        </is>
      </c>
      <c r="M351" s="10" t="inlineStr"/>
      <c r="N351" s="10" t="inlineStr"/>
    </row>
    <row r="352">
      <c r="A352" s="5" t="n">
        <v>351</v>
      </c>
      <c r="B352" s="10" t="inlineStr">
        <is>
          <t>TC-MY-01-11</t>
        </is>
      </c>
      <c r="C352" s="10" t="inlineStr">
        <is>
          <t>11-마이페이지</t>
        </is>
      </c>
      <c r="D352" s="10" t="inlineStr">
        <is>
          <t>MY-01</t>
        </is>
      </c>
      <c r="E352" s="10" t="inlineStr">
        <is>
          <t>AC-05 · T-6</t>
        </is>
      </c>
      <c r="F352" s="5" t="inlineStr">
        <is>
          <t>접근성</t>
        </is>
      </c>
      <c r="G352" s="5" t="inlineStr">
        <is>
          <t>미실행</t>
        </is>
      </c>
      <c r="H352" s="10" t="inlineStr">
        <is>
          <t>전맹(S2) 유형 계정 · TalkBack 켬 · 마이페이지 진입</t>
        </is>
      </c>
      <c r="I352" s="10" t="inlineStr">
        <is>
          <t>1. 화면에 글자 크기 항목·세그먼트가 표출되는지 확인한다
2. 스와이프로 전 항목을 훑어 글자 크기가 포커스 순서에 있는지 확인한다</t>
        </is>
      </c>
      <c r="J352" s="10" t="inlineStr">
        <is>
          <t>전맹 스킨에서는 글자 크기 항목과 2분할 세그먼트가 표출되지 않고 포커스 순서·낭독 대상에도 없다. 나머지 골격(닉네임 줄·유형 행·카드 2개·묶음 A/B)은 S1과 같다</t>
        </is>
      </c>
      <c r="K352" s="10" t="inlineStr"/>
      <c r="L352" s="10" t="inlineStr">
        <is>
          <t>UX 11-마이페이지 2.8절 골격의 예외 · 2.8.3절</t>
        </is>
      </c>
      <c r="M352" s="10" t="inlineStr">
        <is>
          <t>크기 축이 없다는 것이 확대 불가를 뜻하지 않는다 — 시스템 배율은 그대로 곱해진다(TC-MY-01-04)</t>
        </is>
      </c>
      <c r="N352" s="10" t="inlineStr"/>
    </row>
    <row r="353">
      <c r="A353" s="5" t="n">
        <v>352</v>
      </c>
      <c r="B353" s="10" t="inlineStr">
        <is>
          <t>TC-MY-01-12</t>
        </is>
      </c>
      <c r="C353" s="10" t="inlineStr">
        <is>
          <t>11-마이페이지</t>
        </is>
      </c>
      <c r="D353" s="10" t="inlineStr">
        <is>
          <t>MY-01</t>
        </is>
      </c>
      <c r="E353" s="10" t="inlineStr">
        <is>
          <t>AC-05 · V-1</t>
        </is>
      </c>
      <c r="F353" s="5" t="inlineStr">
        <is>
          <t>접근성</t>
        </is>
      </c>
      <c r="G353" s="5" t="inlineStr">
        <is>
          <t>미실행</t>
        </is>
      </c>
      <c r="H353" s="10" t="inlineStr">
        <is>
          <t>전맹(S2) 유형의 회원 계정 · TalkBack 켬 · 마이페이지 진입</t>
        </is>
      </c>
      <c r="I353" s="10" t="inlineStr">
        <is>
          <t>1. 화면 최상단에서 스와이프로 끝까지 포커스를 이동시키며 낭독 순서를 기록한다</t>
        </is>
      </c>
      <c r="J353" s="10" t="inlineStr">
        <is>
          <t>제목 「마이페이지」 → 닉네임 인사 → 교통약자 유형 값 → [유형변경] 버튼 → 카드 2개 → 묶음 A → 묶음 B 순으로 낭독되고, 값이 빈 항목도 건너뛰지 않는다</t>
        </is>
      </c>
      <c r="K353" s="10" t="inlineStr"/>
      <c r="L353" s="10" t="inlineStr">
        <is>
          <t>UX 11-마이페이지 2.6절 음성(S2) 낭독 순서</t>
        </is>
      </c>
      <c r="M353" s="10" t="inlineStr">
        <is>
          <t>1회 낭독 항목 수 상한(끊는 지점)은 UX 2.8.5절 미확정이라 판정 대상이 아니다</t>
        </is>
      </c>
      <c r="N353" s="10" t="inlineStr"/>
    </row>
    <row r="354">
      <c r="A354" s="5" t="n">
        <v>353</v>
      </c>
      <c r="B354" s="10" t="inlineStr">
        <is>
          <t>TC-MY-01-13</t>
        </is>
      </c>
      <c r="C354" s="10" t="inlineStr">
        <is>
          <t>11-마이페이지</t>
        </is>
      </c>
      <c r="D354" s="10" t="inlineStr">
        <is>
          <t>MY-01</t>
        </is>
      </c>
      <c r="E354" s="10" t="inlineStr">
        <is>
          <t>V-6</t>
        </is>
      </c>
      <c r="F354" s="5" t="inlineStr">
        <is>
          <t>기능</t>
        </is>
      </c>
      <c r="G354" s="5" t="inlineStr">
        <is>
          <t>미실행</t>
        </is>
      </c>
      <c r="H354" s="10" t="inlineStr">
        <is>
          <t>회원 로그인 상태 · 마이페이지 진입</t>
        </is>
      </c>
      <c r="I354" s="10" t="inlineStr">
        <is>
          <t>1. 묶음 B의 「로그아웃」 행을 1회 누른다
2. 확인 팝업이 뜨는지 확인한다
3. 이동한 화면과 토스트를 확인한다</t>
        </is>
      </c>
      <c r="J354" s="10" t="inlineStr">
        <is>
          <t>확인 팝업 없이 즉시 처리돼 `0-1` 로그인 화면으로 이동하고 토스트 「로그아웃 되었습니다.」가 표시된다. 로그아웃한 채 마이페이지·홈에 머무는 화면 상태가 생기지 않는다</t>
        </is>
      </c>
      <c r="K354" s="10" t="inlineStr"/>
      <c r="L354" s="10" t="inlineStr">
        <is>
          <t>UX 11-마이페이지 6절 로그아웃 · 2.9절 요소 ⑥</t>
        </is>
      </c>
      <c r="M354" s="10" t="inlineStr">
        <is>
          <t>확인 팝업이 없어 오탭 처리는 UX 6절 예외에서 미확정이다 — 이 TC는 확정된 즉시 처리 동선만 판정한다</t>
        </is>
      </c>
      <c r="N354" s="10" t="inlineStr"/>
    </row>
    <row r="355">
      <c r="A355" s="5" t="n">
        <v>354</v>
      </c>
      <c r="B355" s="10" t="inlineStr">
        <is>
          <t>TC-MY-01-14</t>
        </is>
      </c>
      <c r="C355" s="10" t="inlineStr">
        <is>
          <t>11-마이페이지</t>
        </is>
      </c>
      <c r="D355" s="10" t="inlineStr">
        <is>
          <t>MY-01</t>
        </is>
      </c>
      <c r="E355" s="10" t="inlineStr">
        <is>
          <t>AC-05 · NFR-04</t>
        </is>
      </c>
      <c r="F355" s="5" t="inlineStr">
        <is>
          <t>접근성</t>
        </is>
      </c>
      <c r="G355" s="12" t="inlineStr">
        <is>
          <t>보류</t>
        </is>
      </c>
      <c r="H355" s="10" t="inlineStr">
        <is>
          <t>전맹(S2) 유형의 회원 계정 · TalkBack 켬 · 로그아웃 직후</t>
        </is>
      </c>
      <c r="I355" s="10" t="inlineStr">
        <is>
          <t>1. 로그아웃 후 토스트 낭독을 듣는다
2. 낭독이 끝난 뒤 포커스가 어느 요소에 있는지 확인한다</t>
        </is>
      </c>
      <c r="J355" s="10" t="inlineStr">
        <is>
          <t>토스트 낭독은 요구되지만 포커스 이동 지점이 UX 6절에서 미확정이다 — 「로그인 화면의 첫 항목」이라는 서술만 있고 그 첫 항목이 무엇인지 정해지지 않아 합·불합을 가를 수 없다</t>
        </is>
      </c>
      <c r="K355" s="10" t="inlineStr"/>
      <c r="L355" s="10" t="inlineStr">
        <is>
          <t>UX 11-마이페이지 6절 Dual-Path 비시각 레이어 · 2.8.4절</t>
        </is>
      </c>
      <c r="M355" s="10" t="inlineStr">
        <is>
          <t>화면이 바뀐 사실을 낭독으로만 알 수 있는 자리라 판정 자체는 필요하다 — 기획이 포커스 지점을 확정하면 접근성 TC로 전환한다</t>
        </is>
      </c>
      <c r="N355" s="10" t="inlineStr"/>
    </row>
    <row r="356">
      <c r="A356" s="5" t="n">
        <v>355</v>
      </c>
      <c r="B356" s="10" t="inlineStr">
        <is>
          <t>TC-MY-01-15</t>
        </is>
      </c>
      <c r="C356" s="10" t="inlineStr">
        <is>
          <t>11-마이페이지</t>
        </is>
      </c>
      <c r="D356" s="10" t="inlineStr">
        <is>
          <t>MY-01</t>
        </is>
      </c>
      <c r="E356" s="10" t="inlineStr">
        <is>
          <t>SS-3 · V-6</t>
        </is>
      </c>
      <c r="F356" s="5" t="inlineStr">
        <is>
          <t>시나리오</t>
        </is>
      </c>
      <c r="G356" s="5" t="inlineStr">
        <is>
          <t>미실행</t>
        </is>
      </c>
      <c r="H356" s="10" t="inlineStr">
        <is>
          <t>같은 계정으로 단말 A가 로그인해 마이페이지를 쓰고 있는 상태 · 단말 B 준비</t>
        </is>
      </c>
      <c r="I356" s="10" t="inlineStr">
        <is>
          <t>1. 단말 B에서 같은 계정으로 로그인한다
2. 단말 A의 앱을 완전히 종료했다가 다시 실행한다
3. 단말 A의 마이페이지 상태를 확인한다</t>
        </is>
      </c>
      <c r="J356" s="10" t="inlineStr">
        <is>
          <t>단말 A는 다음 앱 실행 시 로그아웃되고, 그 사실이 사용자에게 드러난다 — 로그인된 것처럼 보이면서 회원 전용 항목만 조용히 실패하는 상태가 되지 않는다</t>
        </is>
      </c>
      <c r="K356" s="10" t="inlineStr"/>
      <c r="L356" s="10" t="inlineStr">
        <is>
          <t>PRD 2부 6절 SS-3(후속 로그인이 이긴다 · SS-2에서 도출)</t>
        </is>
      </c>
      <c r="M356" s="10" t="inlineStr">
        <is>
          <t>UX 11-마이페이지에 이 흐름의 화면 서술이 없어 판정 근거는 PRD `SS-3`이다. 화면 귀속은 로그아웃 맥락(`3-6`)으로 잡았다</t>
        </is>
      </c>
      <c r="N356" s="10" t="inlineStr"/>
    </row>
    <row r="357">
      <c r="A357" s="5" t="n">
        <v>356</v>
      </c>
      <c r="B357" s="10" t="inlineStr">
        <is>
          <t>TC-MY-01-16</t>
        </is>
      </c>
      <c r="C357" s="10" t="inlineStr">
        <is>
          <t>11-마이페이지</t>
        </is>
      </c>
      <c r="D357" s="10" t="inlineStr">
        <is>
          <t>MY-01</t>
        </is>
      </c>
      <c r="E357" s="10" t="inlineStr">
        <is>
          <t>H-2 · MB-1</t>
        </is>
      </c>
      <c r="F357" s="5" t="inlineStr">
        <is>
          <t>기능</t>
        </is>
      </c>
      <c r="G357" s="12" t="inlineStr">
        <is>
          <t>보류</t>
        </is>
      </c>
      <c r="H357" s="10" t="inlineStr">
        <is>
          <t>회원 로그인 상태 · 마이페이지 진입</t>
        </is>
      </c>
      <c r="I357" s="10" t="inlineStr">
        <is>
          <t>1. 진동 사용 여부·강도를 설정하는 항목이 마이페이지에 있는지 확인한다</t>
        </is>
      </c>
      <c r="J357" s="10" t="inlineStr">
        <is>
          <t>PRD `H-2`는 사용자가 진동 사용 여부와 강도를 설정하고 그 값이 `AccessibilityProfile`로 서버 계정에 저장될 것을 요구하는데, UX 11-마이페이지의 재편 레이아웃(6블록)에 진동 설정 항목이 없고 다른 화면으로의 위임처도 적혀 있지 않다. 어느 화면에서 판정할지가 정해지지 않았다</t>
        </is>
      </c>
      <c r="K357" s="10" t="inlineStr"/>
      <c r="L357" s="10" t="inlineStr">
        <is>
          <t>PRD 2부 6.8 H-2 · UX 11-마이페이지 2.2절 신 레이아웃 · 2.7절 미확정</t>
        </is>
      </c>
      <c r="M357" s="10" t="inlineStr">
        <is>
          <t>미해소 지점 — 접근성 설정의 전역 강제 지점은 하나여야 하므로(`MB-1`) 설정 UI의 자리가 정해지기 전에는 우회 구현 여부도 판정할 수 없다</t>
        </is>
      </c>
      <c r="N357" s="10" t="inlineStr"/>
    </row>
    <row r="358">
      <c r="A358" s="5" t="n">
        <v>357</v>
      </c>
      <c r="B358" s="10" t="inlineStr">
        <is>
          <t>TC-MY-01-17</t>
        </is>
      </c>
      <c r="C358" s="10" t="inlineStr">
        <is>
          <t>11-마이페이지</t>
        </is>
      </c>
      <c r="D358" s="10" t="inlineStr">
        <is>
          <t>MY-01</t>
        </is>
      </c>
      <c r="E358" s="10" t="inlineStr">
        <is>
          <t>L-8 · V-12 · L-5</t>
        </is>
      </c>
      <c r="F358" s="5" t="inlineStr">
        <is>
          <t>기능</t>
        </is>
      </c>
      <c r="G358" s="12" t="inlineStr">
        <is>
          <t>보류</t>
        </is>
      </c>
      <c r="H358" s="10" t="inlineStr">
        <is>
          <t>회원 로그인 상태 · 마이페이지 진입</t>
        </is>
      </c>
      <c r="I358" s="10" t="inlineStr">
        <is>
          <t>1. 앱 안에서 UI 언어를 바꾸는 진입점이 마이페이지에 있는지 확인한다
2. 있다면 언어를 바꾼 뒤 앱을 재실행해 선택이 유지되는지 확인한다</t>
        </is>
      </c>
      <c r="J358" s="10" t="inlineStr">
        <is>
          <t>PRD `V-12`·`L-8`은 앱 안에 언어를 바꾸는 진입점이 존재하고 선택 결과가 `AccessibilityProfile.uiLanguage`로 서버 계정에 저장돼 재진입 시 유지될 것을 요구하는데, UX 11-마이페이지 2.7절 `U-17`이 「다국어 UI 언어 설정 화면이 없다」로 남아 있어 사양에 진입점이 실재하지 않는다</t>
        </is>
      </c>
      <c r="K358" s="10" t="inlineStr"/>
      <c r="L358" s="10" t="inlineStr">
        <is>
          <t>PRD 2부 7.9 L-5·L-8 · 7.4 V-12 · UX 11-마이페이지 2.7절 `U-17`</t>
        </is>
      </c>
      <c r="M358" s="10" t="inlineStr">
        <is>
          <t>미해소 지점 — 어느 화면에 둘지는 기획 소관이고 `MY` 영역이 후보다. 진입점이 신설되면 기능 TC(진입점 존재)·시나리오 TC(재진입 유지) 2건으로 분리한다</t>
        </is>
      </c>
      <c r="N358" s="10" t="inlineStr"/>
    </row>
    <row r="359">
      <c r="A359" s="5" t="n">
        <v>358</v>
      </c>
      <c r="B359" s="10" t="inlineStr">
        <is>
          <t>TC-MY-01-18</t>
        </is>
      </c>
      <c r="C359" s="10" t="inlineStr">
        <is>
          <t>11-마이페이지</t>
        </is>
      </c>
      <c r="D359" s="10" t="inlineStr">
        <is>
          <t>MY-01</t>
        </is>
      </c>
      <c r="E359" s="10" t="inlineStr">
        <is>
          <t>NFR-08</t>
        </is>
      </c>
      <c r="F359" s="11" t="inlineStr">
        <is>
          <t>대상외</t>
        </is>
      </c>
      <c r="G359" s="5" t="inlineStr">
        <is>
          <t>미실행</t>
        </is>
      </c>
      <c r="H359" s="10" t="inlineStr">
        <is>
          <t>회원 로그인 상태 · 마이페이지 진입</t>
        </is>
      </c>
      <c r="I359" s="10" t="inlineStr">
        <is>
          <t>1. 화면과 하위 흐름에 시간 제한이 걸린 동작이 있는지 확인한다</t>
        </is>
      </c>
      <c r="J359" s="10" t="inlineStr">
        <is>
          <t>시간 제한 동작이 없어 `NFR-08` 판정 대상이 아니다</t>
        </is>
      </c>
      <c r="K359" s="10" t="inlineStr"/>
      <c r="L359" s="10" t="inlineStr">
        <is>
          <t>PRD 1부 NFR-08 · UX 11-마이페이지 2.2절·6절·7.2절</t>
        </is>
      </c>
      <c r="M359" s="10" t="inlineStr">
        <is>
          <t>시간 제한이 붙는 동작이 신설되면 이 판정을 다시 본다 — 불편신고 전송 타임아웃은 `REPORT-01` 소관이다</t>
        </is>
      </c>
      <c r="N359" s="10" t="inlineStr">
        <is>
          <t>UX 11-마이페이지가 담는 `3-0`·`3-6`·`3-7` 흐름에 시간 제한이 걸린 동작이 사양에 없다 — 로그아웃은 즉시 처리, 회원탈퇴는 확인 팝업 1단이며 제한 시간·자동 종료·세션 만료 카운트다운을 두는 요소가 정의돼 있지 않다. 연장·해제 수단을 요구할 대상 자체가 없다</t>
        </is>
      </c>
    </row>
    <row r="360">
      <c r="A360" s="5" t="n">
        <v>359</v>
      </c>
      <c r="B360" s="10" t="inlineStr">
        <is>
          <t>TC-MY-01-19</t>
        </is>
      </c>
      <c r="C360" s="10" t="inlineStr">
        <is>
          <t>11-마이페이지</t>
        </is>
      </c>
      <c r="D360" s="10" t="inlineStr">
        <is>
          <t>MY-01</t>
        </is>
      </c>
      <c r="E360" s="10" t="inlineStr">
        <is>
          <t>AC-06 · T-4 · NFR-02 · S-1 · S-2</t>
        </is>
      </c>
      <c r="F360" s="5" t="inlineStr">
        <is>
          <t>비기능</t>
        </is>
      </c>
      <c r="G360" s="5" t="inlineStr">
        <is>
          <t>미실행</t>
        </is>
      </c>
      <c r="H360" s="10" t="inlineStr">
        <is>
          <t>OS 글자 크기를 200%로 설정 · 앱 단을 「더 크게」로 설정 · 마이페이지 진입</t>
        </is>
      </c>
      <c r="I360" s="10" t="inlineStr">
        <is>
          <t>1. 6블록의 문자열이 잘리거나 겹치는지 확인하고 가로 스크롤 발생 여부를 본다
2. 글자 크기 세그먼트의 두 단을 그 상태에서 눌러 「기본」으로 되돌린다
3. [유형변경] 버튼·세그먼트 두 단·리스트 행의 히트 영역과 인접 간격을 측정한다</t>
        </is>
      </c>
      <c r="J360" s="10" t="inlineStr">
        <is>
          <t>200%에서 레이아웃이 깨지지 않고, 확대 상태에서도 세그먼트 자신이 조작 가능해 되돌릴 수 있으며, 각 히트 영역이 사각 44×44pt 이상 · 인접 간격 8px 이상이다</t>
        </is>
      </c>
      <c r="K360" s="10" t="inlineStr"/>
      <c r="L360" s="10" t="inlineStr">
        <is>
          <t>UX 11-마이페이지 2.2절 · 4.2절 시각 레이어 · PRD 1부 NFR-02 · PRD 2부 T-4·S-1·S-2</t>
        </is>
      </c>
      <c r="M360" s="10" t="inlineStr">
        <is>
          <t>확대를 켜야 하는 사용자가 확대 상태에서 되돌릴 수 없으면 불합격이다(UX 4.2절)</t>
        </is>
      </c>
      <c r="N360" s="10" t="inlineStr"/>
    </row>
    <row r="361">
      <c r="A361" s="5" t="n">
        <v>360</v>
      </c>
      <c r="B361" s="10" t="inlineStr">
        <is>
          <t>TC-AUTH-04-51</t>
        </is>
      </c>
      <c r="C361" s="10" t="inlineStr">
        <is>
          <t>11-마이페이지</t>
        </is>
      </c>
      <c r="D361" s="10" t="inlineStr">
        <is>
          <t>AUTH-04</t>
        </is>
      </c>
      <c r="E361" s="10" t="inlineStr">
        <is>
          <t>V-11 · V-5</t>
        </is>
      </c>
      <c r="F361" s="5" t="inlineStr">
        <is>
          <t>기능</t>
        </is>
      </c>
      <c r="G361" s="5" t="inlineStr">
        <is>
          <t>미실행</t>
        </is>
      </c>
      <c r="H361" s="10" t="inlineStr">
        <is>
          <t>회원 로그인 상태 · 마이페이지에서 [유형변경]을 눌러 팝업 표출</t>
        </is>
      </c>
      <c r="I361" s="10" t="inlineStr">
        <is>
          <t>1. 팝업의 선택지 개수와 라벨 문자열을 확인한다
2. 「나중에 선택」에 해당하는 항목이 있는지 확인한다
3. 마이페이지 행에 인라인 표시된 현재 유형 값과 팝업 선택지 라벨을 대조한다</t>
        </is>
      </c>
      <c r="J361" s="10" t="inlineStr">
        <is>
          <t>선택지는 휠체어•유모차 / 노약자•임산부 / 저시력 – 화면을 볼 수 있어요. / 전맹 – 화면을 볼 수 없어요. 4종으로 최초 선택과 같고 「나중에 선택」이 없다. 행의 유형 값 표기가 팝업 라벨과 같은 말로 이어진다</t>
        </is>
      </c>
      <c r="K361" s="10" t="inlineStr"/>
      <c r="L361" s="10" t="inlineStr">
        <is>
          <t>UX 11-마이페이지 3.1절 선택지 · 01-로그인-회원가입 3.2절 라벨 정본</t>
        </is>
      </c>
      <c r="M361" s="10" t="inlineStr">
        <is>
          <t>재선택 경로는 이 팝업 하나이며 전맹이 반드시 포함돼야 한다(PRD 1.3 · `V-11`)</t>
        </is>
      </c>
      <c r="N361" s="10" t="inlineStr"/>
    </row>
    <row r="362">
      <c r="A362" s="5" t="n">
        <v>361</v>
      </c>
      <c r="B362" s="10" t="inlineStr">
        <is>
          <t>TC-AUTH-04-52</t>
        </is>
      </c>
      <c r="C362" s="10" t="inlineStr">
        <is>
          <t>11-마이페이지</t>
        </is>
      </c>
      <c r="D362" s="10" t="inlineStr">
        <is>
          <t>AUTH-04</t>
        </is>
      </c>
      <c r="E362" s="10" t="inlineStr">
        <is>
          <t>NFR-04 · V-11</t>
        </is>
      </c>
      <c r="F362" s="5" t="inlineStr">
        <is>
          <t>기능</t>
        </is>
      </c>
      <c r="G362" s="5" t="inlineStr">
        <is>
          <t>미실행</t>
        </is>
      </c>
      <c r="H362" s="10" t="inlineStr">
        <is>
          <t>회원 로그인 상태 · 유형 변경 팝업 표출 · 아무것도 선택하지 않은 상태</t>
        </is>
      </c>
      <c r="I362" s="10" t="inlineStr">
        <is>
          <t>1. [선택] 버튼의 활성 여부를 확인한다
2. 선택지 1개를 고른 뒤 [선택] 활성 여부를 다시 확인한다
3. [취소]를 눌러 팝업을 닫고 마이페이지의 유형 값을 확인한다</t>
        </is>
      </c>
      <c r="J362" s="10" t="inlineStr">
        <is>
          <t>1개 이상 선택돼야 [선택]이 활성되고, [취소]는 값을 바꾸지 않고 팝업만 닫는다</t>
        </is>
      </c>
      <c r="K362" s="10" t="inlineStr"/>
      <c r="L362" s="10" t="inlineStr">
        <is>
          <t>UX 11-마이페이지 3.1절 버튼 · 3.3절 예외</t>
        </is>
      </c>
      <c r="M362" s="10" t="inlineStr"/>
      <c r="N362" s="10" t="inlineStr"/>
    </row>
    <row r="363">
      <c r="A363" s="5" t="n">
        <v>362</v>
      </c>
      <c r="B363" s="10" t="inlineStr">
        <is>
          <t>TC-AUTH-04-53</t>
        </is>
      </c>
      <c r="C363" s="10" t="inlineStr">
        <is>
          <t>11-마이페이지</t>
        </is>
      </c>
      <c r="D363" s="10" t="inlineStr">
        <is>
          <t>AUTH-04</t>
        </is>
      </c>
      <c r="E363" s="10" t="inlineStr">
        <is>
          <t>V-11 · V-6</t>
        </is>
      </c>
      <c r="F363" s="5" t="inlineStr">
        <is>
          <t>기능</t>
        </is>
      </c>
      <c r="G363" s="5" t="inlineStr">
        <is>
          <t>미실행</t>
        </is>
      </c>
      <c r="H363" s="10" t="inlineStr">
        <is>
          <t>회원 로그인 상태 · 현재 유형이 「휠체어•유모차」 · 유형 변경 팝업 표출</t>
        </is>
      </c>
      <c r="I363" s="10" t="inlineStr">
        <is>
          <t>1. 「노약자•임산부」를 고르고 [선택]을 누른다
2. 확인 팝업이 뜨는지 확인한다
3. 같은 방식으로 「저시력」으로 한 번 더 바꾼다</t>
        </is>
      </c>
      <c r="J363" s="10" t="inlineStr">
        <is>
          <t>S1 안에서의 변경(휠체어•유모차 ↔ 노약자•임산부 ↔ 저시력)은 확인 팝업 없이 즉시 반영되고 마이페이지 행의 유형 값이 바로 갱신된다</t>
        </is>
      </c>
      <c r="K363" s="10" t="inlineStr"/>
      <c r="L363" s="10" t="inlineStr">
        <is>
          <t>UX 11-마이페이지 3.2절 「걸리지 않는 경우」</t>
        </is>
      </c>
      <c r="M363" s="10" t="inlineStr">
        <is>
          <t>저시력은 크기 축이라 모드가 바뀌지 않는다 — 확인시킬 것이 없다는 것이 이 판정의 근거다</t>
        </is>
      </c>
      <c r="N363" s="10" t="inlineStr"/>
    </row>
    <row r="364">
      <c r="A364" s="5" t="n">
        <v>363</v>
      </c>
      <c r="B364" s="10" t="inlineStr">
        <is>
          <t>TC-AUTH-04-54</t>
        </is>
      </c>
      <c r="C364" s="10" t="inlineStr">
        <is>
          <t>11-마이페이지</t>
        </is>
      </c>
      <c r="D364" s="10" t="inlineStr">
        <is>
          <t>AUTH-04</t>
        </is>
      </c>
      <c r="E364" s="10" t="inlineStr">
        <is>
          <t>NFR-04 · V-11</t>
        </is>
      </c>
      <c r="F364" s="5" t="inlineStr">
        <is>
          <t>기능</t>
        </is>
      </c>
      <c r="G364" s="5" t="inlineStr">
        <is>
          <t>미실행</t>
        </is>
      </c>
      <c r="H364" s="10" t="inlineStr">
        <is>
          <t>회원 로그인 상태 · 현재 유형이 「휠체어•유모차」</t>
        </is>
      </c>
      <c r="I364" s="10" t="inlineStr">
        <is>
          <t>1. 유형 변경 팝업에서 「전맹」을 고르고 [선택]을 누른다
2. 확인 팝업의 단계 수와 버튼 배치를 확인하고 [바꾸기]를 누른다
3. 전맹 상태에서 다시 유형 변경 팝업을 열어 「휠체어•유모차」로 되돌린다</t>
        </is>
      </c>
      <c r="J364" s="10" t="inlineStr">
        <is>
          <t>S1 → 전맹과 전맹 → S1 양방향 모두 확인 팝업 1단을 거치고 2단 이상이 아니며, 버튼은 [취소] 좌 · [바꾸기] 우로 배치된다</t>
        </is>
      </c>
      <c r="K364" s="10" t="inlineStr"/>
      <c r="L364" s="10" t="inlineStr">
        <is>
          <t>UX 11-마이페이지 3.2절 단계 수 · 걸리는 방향</t>
        </is>
      </c>
      <c r="M364" s="10" t="inlineStr"/>
      <c r="N364" s="10" t="inlineStr"/>
    </row>
    <row r="365">
      <c r="A365" s="5" t="n">
        <v>364</v>
      </c>
      <c r="B365" s="10" t="inlineStr">
        <is>
          <t>TC-AUTH-04-55</t>
        </is>
      </c>
      <c r="C365" s="10" t="inlineStr">
        <is>
          <t>11-마이페이지</t>
        </is>
      </c>
      <c r="D365" s="10" t="inlineStr">
        <is>
          <t>AUTH-04</t>
        </is>
      </c>
      <c r="E365" s="10" t="inlineStr">
        <is>
          <t>V-3 · AC-05</t>
        </is>
      </c>
      <c r="F365" s="5" t="inlineStr">
        <is>
          <t>기능</t>
        </is>
      </c>
      <c r="G365" s="12" t="inlineStr">
        <is>
          <t>보류</t>
        </is>
      </c>
      <c r="H365" s="10" t="inlineStr">
        <is>
          <t>회원 로그인 상태 · S1 → 전맹 변경으로 확인 팝업 표출</t>
        </is>
      </c>
      <c r="I365" s="10" t="inlineStr">
        <is>
          <t>1. 확인 팝업의 제목 줄 유무를 확인한다
2. 본문 문안을 확인한다</t>
        </is>
      </c>
      <c r="J365" s="10" t="inlineStr">
        <is>
          <t>문안이 (案) 상태이고 제목 줄 유무가 파일 안에서 갈린다 — UX 7.2절 회원탈퇴 팝업은 제목이 있고 01-로그인-회원가입 7절 차단 다이얼로그는 제목을 두지 않는다. 확인 팝업이 어느 쪽 형태를 따르는지 정해지지 않아 합·불합을 가를 수 없다</t>
        </is>
      </c>
      <c r="K365" s="10" t="inlineStr"/>
      <c r="L365" s="10" t="inlineStr">
        <is>
          <t>UX 11-마이페이지 3.2절 문안(案) · 2.8.5절 미확정</t>
        </is>
      </c>
      <c r="M365" s="10" t="inlineStr">
        <is>
          <t>미해소 지점 2건 — ① 문안 (案) 담당자 확인 전 ② 팝업 제목 줄 유무. 「무엇이 바뀌는지를 문안에 담는다」는 요구 자체는 확정이라 문안 확정 후 기능 TC로 전환한다</t>
        </is>
      </c>
      <c r="N365" s="10" t="inlineStr"/>
    </row>
    <row r="366">
      <c r="A366" s="5" t="n">
        <v>365</v>
      </c>
      <c r="B366" s="10" t="inlineStr">
        <is>
          <t>TC-AUTH-04-56</t>
        </is>
      </c>
      <c r="C366" s="10" t="inlineStr">
        <is>
          <t>11-마이페이지</t>
        </is>
      </c>
      <c r="D366" s="10" t="inlineStr">
        <is>
          <t>AUTH-04 · MY-01</t>
        </is>
      </c>
      <c r="E366" s="10" t="inlineStr">
        <is>
          <t>V-6 · AC-05</t>
        </is>
      </c>
      <c r="F366" s="5" t="inlineStr">
        <is>
          <t>접근성</t>
        </is>
      </c>
      <c r="G366" s="5" t="inlineStr">
        <is>
          <t>미실행</t>
        </is>
      </c>
      <c r="H366" s="10" t="inlineStr">
        <is>
          <t>전맹(S2) 유형 계정 · TalkBack 켬 · 유형 변경 팝업에서 다른 유형 선택 완료</t>
        </is>
      </c>
      <c r="I366" s="10" t="inlineStr">
        <is>
          <t>1. 확인 팝업에서 [바꾸기]를 누른다
2. 직후의 낭독을 듣는다
3. 낭독이 끝난 뒤 포커스 위치를 확인한다</t>
        </is>
      </c>
      <c r="J366" s="10" t="inlineStr">
        <is>
          <t>바뀐 값이 aria-live로 낭독되고 포커스가 [유형변경] 버튼으로 복귀한다 — 화면 세트가 통째로 바뀌는 변경이 무음으로 처리되지 않는다</t>
        </is>
      </c>
      <c r="K366" s="10" t="inlineStr"/>
      <c r="L366" s="10" t="inlineStr">
        <is>
          <t>UX 11-마이페이지 2.8.3절 교통약자 유형 행</t>
        </is>
      </c>
      <c r="M366" s="10" t="inlineStr">
        <is>
          <t>낭독 문안은 UX 2.8.3절에서 (案) 상태다 — 알림 발생과 포커스 복귀 지점만 판정한다</t>
        </is>
      </c>
      <c r="N366" s="10" t="inlineStr"/>
    </row>
    <row r="367">
      <c r="A367" s="5" t="n">
        <v>366</v>
      </c>
      <c r="B367" s="10" t="inlineStr">
        <is>
          <t>TC-AUTH-04-57</t>
        </is>
      </c>
      <c r="C367" s="10" t="inlineStr">
        <is>
          <t>11-마이페이지</t>
        </is>
      </c>
      <c r="D367" s="10" t="inlineStr">
        <is>
          <t>AUTH-04</t>
        </is>
      </c>
      <c r="E367" s="10" t="inlineStr">
        <is>
          <t>NFR-04 · AC-05</t>
        </is>
      </c>
      <c r="F367" s="5" t="inlineStr">
        <is>
          <t>접근성</t>
        </is>
      </c>
      <c r="G367" s="5" t="inlineStr">
        <is>
          <t>미실행</t>
        </is>
      </c>
      <c r="H367" s="10" t="inlineStr">
        <is>
          <t>전맹(S2) 유형 계정 · TalkBack 켬 · 마이페이지에서 [유형변경] 누름</t>
        </is>
      </c>
      <c r="I367" s="10" t="inlineStr">
        <is>
          <t>1. 팝업이 열린 직후 낭독되는 첫 대상을 듣는다
2. 스와이프로 포커스를 끝까지 이동시켜 딤된 배경 요소가 포함되는지 확인한다</t>
        </is>
      </c>
      <c r="J367" s="10" t="inlineStr">
        <is>
          <t>포커스가 팝업으로 옮겨져 첫 줄부터 낭독되고, 진입 시 현재 선택값을 먼저 알리며, 딤된 배경 요소는 포커스 순서에서 제외된다</t>
        </is>
      </c>
      <c r="K367" s="10" t="inlineStr"/>
      <c r="L367" s="10" t="inlineStr">
        <is>
          <t>UX 11-마이페이지 2.6절 주석 · 3.2절 낭독 · 2.8.4절 예외</t>
        </is>
      </c>
      <c r="M367" s="10" t="inlineStr"/>
      <c r="N367" s="10" t="inlineStr"/>
    </row>
    <row r="368">
      <c r="A368" s="5" t="n">
        <v>367</v>
      </c>
      <c r="B368" s="10" t="inlineStr">
        <is>
          <t>TC-REPORT-03-01</t>
        </is>
      </c>
      <c r="C368" s="10" t="inlineStr">
        <is>
          <t>11-마이페이지</t>
        </is>
      </c>
      <c r="D368" s="10" t="inlineStr">
        <is>
          <t>REPORT-03</t>
        </is>
      </c>
      <c r="E368" s="10" t="inlineStr">
        <is>
          <t>FR-R5</t>
        </is>
      </c>
      <c r="F368" s="5" t="inlineStr">
        <is>
          <t>기능</t>
        </is>
      </c>
      <c r="G368" s="5" t="inlineStr">
        <is>
          <t>미실행</t>
        </is>
      </c>
      <c r="H368" s="10" t="inlineStr">
        <is>
          <t>회원 로그인 상태 · 마일리지 적립 이력이 있는 계정 · 마이페이지에서 「내 마일리지」 카드 선택</t>
        </is>
      </c>
      <c r="I368" s="10" t="inlineStr">
        <is>
          <t>1. 화면 상단 총액 블록의 라벨과 값을 확인한다</t>
        </is>
      </c>
      <c r="J368" s="10" t="inlineStr">
        <is>
          <t>라벨 「나의 총 마일리지」와 보유 총액 값이 함께 표시된다</t>
        </is>
      </c>
      <c r="K368" s="10" t="inlineStr"/>
      <c r="L368" s="10" t="inlineStr">
        <is>
          <t>UX 11-마이페이지 5.2절 요소 1 · PRD 1부 1.9 FR-R5</t>
        </is>
      </c>
      <c r="M368" s="10" t="inlineStr">
        <is>
          <t>`M` 단위의 정식 명칭은 UX 5.3절 미확정이다 — 이 TC는 라벨·값 표출만 판정한다</t>
        </is>
      </c>
      <c r="N368" s="10" t="inlineStr"/>
    </row>
    <row r="369">
      <c r="A369" s="5" t="n">
        <v>368</v>
      </c>
      <c r="B369" s="10" t="inlineStr">
        <is>
          <t>TC-REPORT-03-02</t>
        </is>
      </c>
      <c r="C369" s="10" t="inlineStr">
        <is>
          <t>11-마이페이지</t>
        </is>
      </c>
      <c r="D369" s="10" t="inlineStr">
        <is>
          <t>REPORT-03</t>
        </is>
      </c>
      <c r="E369" s="10" t="inlineStr">
        <is>
          <t>NFR-05 · AC-05</t>
        </is>
      </c>
      <c r="F369" s="5" t="inlineStr">
        <is>
          <t>접근성</t>
        </is>
      </c>
      <c r="G369" s="5" t="inlineStr">
        <is>
          <t>미실행</t>
        </is>
      </c>
      <c r="H369" s="10" t="inlineStr">
        <is>
          <t>TalkBack 켬 · 총액이 표시된 상태로 `3-2` 진입</t>
        </is>
      </c>
      <c r="I369" s="10" t="inlineStr">
        <is>
          <t>1. 총액 블록에 포커스를 두고 낭독을 듣는다</t>
        </is>
      </c>
      <c r="J369" s="10" t="inlineStr">
        <is>
          <t>단위가 별도 낭독용 문자열로 읽혀 「엠」으로 들리지 않는다 — 화면 표기 `254M`이 그대로 철자 낭독되면 불합격이다</t>
        </is>
      </c>
      <c r="K369" s="10" t="inlineStr"/>
      <c r="L369" s="10" t="inlineStr">
        <is>
          <t>UX 11-마이페이지 5.2절 요소 1 낭독</t>
        </is>
      </c>
      <c r="M369" s="10" t="inlineStr"/>
      <c r="N369" s="10" t="inlineStr"/>
    </row>
    <row r="370">
      <c r="A370" s="5" t="n">
        <v>369</v>
      </c>
      <c r="B370" s="10" t="inlineStr">
        <is>
          <t>TC-REPORT-03-03</t>
        </is>
      </c>
      <c r="C370" s="10" t="inlineStr">
        <is>
          <t>11-마이페이지</t>
        </is>
      </c>
      <c r="D370" s="10" t="inlineStr">
        <is>
          <t>REPORT-03</t>
        </is>
      </c>
      <c r="E370" s="10" t="inlineStr">
        <is>
          <t>FR-R5</t>
        </is>
      </c>
      <c r="F370" s="5" t="inlineStr">
        <is>
          <t>기능</t>
        </is>
      </c>
      <c r="G370" s="5" t="inlineStr">
        <is>
          <t>미실행</t>
        </is>
      </c>
      <c r="H370" s="10" t="inlineStr">
        <is>
          <t>회원 로그인 상태 · 적립·사용 내역이 모두 있는 계정 · `3-2` 진입</t>
        </is>
      </c>
      <c r="I370" s="10" t="inlineStr">
        <is>
          <t>1. 상세 내역 1행의 구성 요소를 확인한다
2. 적립 행과 사용 행을 각각 확인한다</t>
        </is>
      </c>
      <c r="J370" s="10" t="inlineStr">
        <is>
          <t>각 행이 획득 일자 · 신고 내용 · 포인트로 구성되고 적립/사용 구분이 함께 표시된다</t>
        </is>
      </c>
      <c r="K370" s="10" t="inlineStr"/>
      <c r="L370" s="10" t="inlineStr">
        <is>
          <t>UX 11-마이페이지 5.2절 요소 2</t>
        </is>
      </c>
      <c r="M370" s="10" t="inlineStr">
        <is>
          <t>사용처·사용 경로 화면은 UX 5.3절에서 미정이다 — 이 TC는 내역 표출 구성만 판정한다</t>
        </is>
      </c>
      <c r="N370" s="10" t="inlineStr"/>
    </row>
    <row r="371">
      <c r="A371" s="5" t="n">
        <v>370</v>
      </c>
      <c r="B371" s="10" t="inlineStr">
        <is>
          <t>TC-REPORT-03-04</t>
        </is>
      </c>
      <c r="C371" s="10" t="inlineStr">
        <is>
          <t>11-마이페이지</t>
        </is>
      </c>
      <c r="D371" s="10" t="inlineStr">
        <is>
          <t>REPORT-03</t>
        </is>
      </c>
      <c r="E371" s="10" t="inlineStr">
        <is>
          <t>V-3 · AC-05</t>
        </is>
      </c>
      <c r="F371" s="5" t="inlineStr">
        <is>
          <t>접근성</t>
        </is>
      </c>
      <c r="G371" s="5" t="inlineStr">
        <is>
          <t>미실행</t>
        </is>
      </c>
      <c r="H371" s="10" t="inlineStr">
        <is>
          <t>TalkBack 켬 · 적립·사용 내역이 섞여 있는 상태로 `3-2` 진입</t>
        </is>
      </c>
      <c r="I371" s="10" t="inlineStr">
        <is>
          <t>1. 회색조 모드로 전환해 적립 행과 사용 행을 구분할 수 있는지 확인한다
2. 각 행에 포커스를 두고 낭독을 듣는다</t>
        </is>
      </c>
      <c r="J371" s="10" t="inlineStr">
        <is>
          <t>색을 제거해도 부호·텍스트로 적립/사용이 구분되고, 낭독은 「불편신고, 26년 1월 3일, 20 마일리지 적립」 형태로 적립/사용을 말로 구분해 전달한다</t>
        </is>
      </c>
      <c r="K371" s="10" t="inlineStr"/>
      <c r="L371" s="10" t="inlineStr">
        <is>
          <t>UX 11-마이페이지 5.2절 요소 2 · PRD 2부 V-3</t>
        </is>
      </c>
      <c r="M371" s="10" t="inlineStr"/>
      <c r="N371" s="10" t="inlineStr"/>
    </row>
    <row r="372">
      <c r="A372" s="5" t="n">
        <v>371</v>
      </c>
      <c r="B372" s="10" t="inlineStr">
        <is>
          <t>TC-REPORT-03-05</t>
        </is>
      </c>
      <c r="C372" s="10" t="inlineStr">
        <is>
          <t>11-마이페이지</t>
        </is>
      </c>
      <c r="D372" s="10" t="inlineStr">
        <is>
          <t>REPORT-03</t>
        </is>
      </c>
      <c r="E372" s="10" t="inlineStr">
        <is>
          <t>FR-R5</t>
        </is>
      </c>
      <c r="F372" s="5" t="inlineStr">
        <is>
          <t>기능</t>
        </is>
      </c>
      <c r="G372" s="12" t="inlineStr">
        <is>
          <t>보류</t>
        </is>
      </c>
      <c r="H372" s="10" t="inlineStr">
        <is>
          <t>회원 로그인 상태 · 유효기간이 남은 마일리지가 있는 계정 · `3-2` 진입</t>
        </is>
      </c>
      <c r="I372" s="10" t="inlineStr">
        <is>
          <t>1. 각 마일리지 항목에 유효기간이 표시되는지 확인한다
2. 임박·만료 항목의 표기를 확인한다</t>
        </is>
      </c>
      <c r="J372" s="10" t="inlineStr">
        <is>
          <t>유효기간 표시는 필수 요건으로 확정돼 있으나 표기 위치·형식과 임박·만료 규칙이 UX 5.2·5.3절에서 모두 미확정이라 무엇이 어디에 보여야 하는지 기대값을 정할 수 없다</t>
        </is>
      </c>
      <c r="K372" s="10" t="inlineStr"/>
      <c r="L372" s="10" t="inlineStr">
        <is>
          <t>UX 11-마이페이지 5.2절 요소 3 · 5.3절 미확정 · PRD 1부 1.9 FR-R5</t>
        </is>
      </c>
      <c r="M372" s="10" t="inlineStr">
        <is>
          <t>미해소 지점 — 요건은 확정이고 형태만 미정이다. 형식 확정 후 기능 TC(표기)·접근성 TC(항목 낭독에 포함)로 분리한다</t>
        </is>
      </c>
      <c r="N372" s="10" t="inlineStr"/>
    </row>
    <row r="373">
      <c r="A373" s="5" t="n">
        <v>372</v>
      </c>
      <c r="B373" s="10" t="inlineStr">
        <is>
          <t>TC-REPORT-03-06</t>
        </is>
      </c>
      <c r="C373" s="10" t="inlineStr">
        <is>
          <t>11-마이페이지</t>
        </is>
      </c>
      <c r="D373" s="10" t="inlineStr">
        <is>
          <t>REPORT-03</t>
        </is>
      </c>
      <c r="E373" s="10" t="inlineStr">
        <is>
          <t>E-4 · E-5</t>
        </is>
      </c>
      <c r="F373" s="5" t="inlineStr">
        <is>
          <t>비기능</t>
        </is>
      </c>
      <c r="G373" s="5" t="inlineStr">
        <is>
          <t>미실행</t>
        </is>
      </c>
      <c r="H373" s="10" t="inlineStr">
        <is>
          <t>회원 로그인 상태 · `3-2` 진입</t>
        </is>
      </c>
      <c r="I373" s="10" t="inlineStr">
        <is>
          <t>1. 화면에 마일리지를 지급·차감하는 조작 요소가 있는지 확인한다
2. 서버가 돌려주는 유효기간 등 정책 파라미터를 바꿨을 때 앱 표시가 따라 바뀌는지 확인한다</t>
        </is>
      </c>
      <c r="J373" s="10" t="inlineStr">
        <is>
          <t>앱은 조회·표출만 하고 지급 로직을 구현하지 않으며, 유효기간 같은 정책 파라미터가 앱에 하드코딩돼 있지 않아 서버 값 변경이 그대로 반영된다. 지급 로직 미구현을 이유로 조회 화면 자체가 빠져 있으면 불합격이다</t>
        </is>
      </c>
      <c r="K373" s="10" t="inlineStr"/>
      <c r="L373" s="10" t="inlineStr">
        <is>
          <t>UX 11-마이페이지 5.2절 주석 · PRD 1부 4.6 E-4·E-5</t>
        </is>
      </c>
      <c r="M373" s="10" t="inlineStr">
        <is>
          <t>지급 주체는 티머니GO 연계다 — 경계를 지키되 조회 화면은 존재해야 한다(`E-4`)</t>
        </is>
      </c>
      <c r="N373" s="10" t="inlineStr"/>
    </row>
    <row r="374">
      <c r="A374" s="5" t="n">
        <v>373</v>
      </c>
      <c r="B374" s="10" t="inlineStr">
        <is>
          <t>TC-REPORT-03-07</t>
        </is>
      </c>
      <c r="C374" s="10" t="inlineStr">
        <is>
          <t>11-마이페이지</t>
        </is>
      </c>
      <c r="D374" s="10" t="inlineStr">
        <is>
          <t>REPORT-03</t>
        </is>
      </c>
      <c r="E374" s="10" t="inlineStr">
        <is>
          <t>V-6 · V-4</t>
        </is>
      </c>
      <c r="F374" s="5" t="inlineStr">
        <is>
          <t>기능</t>
        </is>
      </c>
      <c r="G374" s="12" t="inlineStr">
        <is>
          <t>보류</t>
        </is>
      </c>
      <c r="H374" s="10" t="inlineStr">
        <is>
          <t>적립 내역이 0건인 회원 계정 · 티머니GO 연계를 실패시킬 수 있는 환경</t>
        </is>
      </c>
      <c r="I374" s="10" t="inlineStr">
        <is>
          <t>1. 내역 0건 상태로 `3-2`에 진입해 표시 내용을 확인한다
2. 연계를 끊은 상태로 재진입해 총액 영역의 표시를 확인한다</t>
        </is>
      </c>
      <c r="J374" s="10" t="inlineStr">
        <is>
          <t>빈 상태 문안과 연계 실패 시 문안이 UX 5.3절에서 모두 미확정이라 기대값을 정할 수 없다 — 다만 총액을 0으로 표시하지 않고 조회 실패를 알려야 한다는 방향만 확정돼 있다</t>
        </is>
      </c>
      <c r="K374" s="10" t="inlineStr"/>
      <c r="L374" s="10" t="inlineStr">
        <is>
          <t>UX 11-마이페이지 5.3절 예외 케이스</t>
        </is>
      </c>
      <c r="M374" s="10" t="inlineStr">
        <is>
          <t>연계 실패를 0으로 그리면 사용자가 마일리지가 소멸한 것으로 읽는다 — 문안 확정 후 기능 TC 2건으로 분리한다</t>
        </is>
      </c>
      <c r="N374" s="10" t="inlineStr"/>
    </row>
    <row r="375">
      <c r="A375" s="5" t="n">
        <v>374</v>
      </c>
      <c r="B375" s="10" t="inlineStr">
        <is>
          <t>TC-MY-11-01</t>
        </is>
      </c>
      <c r="C375" s="10" t="inlineStr">
        <is>
          <t>11-마이페이지</t>
        </is>
      </c>
      <c r="D375" s="10" t="inlineStr">
        <is>
          <t>MY-11</t>
        </is>
      </c>
      <c r="E375" s="10" t="inlineStr">
        <is>
          <t>V-1 · V-5</t>
        </is>
      </c>
      <c r="F375" s="5" t="inlineStr">
        <is>
          <t>기능</t>
        </is>
      </c>
      <c r="G375" s="5" t="inlineStr">
        <is>
          <t>미실행</t>
        </is>
      </c>
      <c r="H375" s="10" t="inlineStr">
        <is>
          <t>회원 로그인 상태 · 마이페이지 진입</t>
        </is>
      </c>
      <c r="I375" s="10" t="inlineStr">
        <is>
          <t>1. 묶음 B에서 「회원탈퇴」 행의 위치를 확인하고 누른다
2. 비회원으로 재진입해 같은 행이 있는지 확인한다</t>
        </is>
      </c>
      <c r="J375" s="10" t="inlineStr">
        <is>
          <t>회원에게는 묶음 B의 「로그아웃」 아래 행으로 노출되고 누르면 확인 팝업의 제목 「회원 탈퇴」로 표기가 이어지며, 비회원에게는 행 자체가 없다</t>
        </is>
      </c>
      <c r="K375" s="10" t="inlineStr"/>
      <c r="L375" s="10" t="inlineStr">
        <is>
          <t>UX 11-마이페이지 7.1절 진입 · 2.5절 비회원 처리</t>
        </is>
      </c>
      <c r="M375" s="10" t="inlineStr"/>
      <c r="N375" s="10" t="inlineStr"/>
    </row>
    <row r="376">
      <c r="A376" s="5" t="n">
        <v>375</v>
      </c>
      <c r="B376" s="10" t="inlineStr">
        <is>
          <t>TC-MY-11-02</t>
        </is>
      </c>
      <c r="C376" s="10" t="inlineStr">
        <is>
          <t>11-마이페이지</t>
        </is>
      </c>
      <c r="D376" s="10" t="inlineStr">
        <is>
          <t>MY-11</t>
        </is>
      </c>
      <c r="E376" s="10" t="inlineStr">
        <is>
          <t>NFR-04</t>
        </is>
      </c>
      <c r="F376" s="5" t="inlineStr">
        <is>
          <t>기능</t>
        </is>
      </c>
      <c r="G376" s="5" t="inlineStr">
        <is>
          <t>미실행</t>
        </is>
      </c>
      <c r="H376" s="10" t="inlineStr">
        <is>
          <t>회원 로그인 상태 · 「회원탈퇴」 행 선택</t>
        </is>
      </c>
      <c r="I376" s="10" t="inlineStr">
        <is>
          <t>1. 표출된 팝업의 단계 수·본문 문안·버튼을 확인한다
2. [취소]를 눌러 어디로 돌아가는지 확인한다</t>
        </is>
      </c>
      <c r="J376" s="10" t="inlineStr">
        <is>
          <t>팝업 1단으로 「회원 탈퇴 시 계정이 즉시 삭제되며 다시 서비스를 이용하고 싶으신 경우 재가입 해주셔야 합니다. 회원 탈퇴 하시겠습니까?」와 [취소]·[회원탈퇴] 2버튼이 표시되고, [취소]는 `3-0`으로 복귀한다. 확인 팝업이 생략되지 않는다</t>
        </is>
      </c>
      <c r="K376" s="10" t="inlineStr"/>
      <c r="L376" s="10" t="inlineStr">
        <is>
          <t>UX 11-마이페이지 7.2절 확인 팝업 · 7.3절 시각 레이어</t>
        </is>
      </c>
      <c r="M376" s="10" t="inlineStr">
        <is>
          <t>오탭 방지는 행 위계가 아니라 이 확인 팝업이 진다(UX 7.3절)</t>
        </is>
      </c>
      <c r="N376" s="10" t="inlineStr"/>
    </row>
    <row r="377">
      <c r="A377" s="5" t="n">
        <v>376</v>
      </c>
      <c r="B377" s="10" t="inlineStr">
        <is>
          <t>TC-MY-11-03</t>
        </is>
      </c>
      <c r="C377" s="10" t="inlineStr">
        <is>
          <t>11-마이페이지</t>
        </is>
      </c>
      <c r="D377" s="10" t="inlineStr">
        <is>
          <t>MY-11</t>
        </is>
      </c>
      <c r="E377" s="10" t="inlineStr">
        <is>
          <t>V-6 · AC-05</t>
        </is>
      </c>
      <c r="F377" s="5" t="inlineStr">
        <is>
          <t>기능</t>
        </is>
      </c>
      <c r="G377" s="5" t="inlineStr">
        <is>
          <t>미실행</t>
        </is>
      </c>
      <c r="H377" s="10" t="inlineStr">
        <is>
          <t>회원 로그인 상태 · 회원탈퇴 확인 팝업 표출 · TalkBack 켬</t>
        </is>
      </c>
      <c r="I377" s="10" t="inlineStr">
        <is>
          <t>1. [회원탈퇴]를 누른다
2. 추가 확인 단계나 유예 안내가 있는지 확인한다
3. 이동한 화면과 토스트를 확인하고 낭독을 듣는다</t>
        </is>
      </c>
      <c r="J377" s="10" t="inlineStr">
        <is>
          <t>재확인·유예 없이 즉시 진행돼 `0-1` 로그인 화면으로 이동하고 토스트 「회원 탈퇴 되었습니다.」가 표시·낭독된다</t>
        </is>
      </c>
      <c r="K377" s="10" t="inlineStr"/>
      <c r="L377" s="10" t="inlineStr">
        <is>
          <t>UX 11-마이페이지 7.1절 이탈 · 7.2절 실행</t>
        </is>
      </c>
      <c r="M377" s="10" t="inlineStr"/>
      <c r="N377" s="10" t="inlineStr"/>
    </row>
    <row r="378">
      <c r="A378" s="5" t="n">
        <v>377</v>
      </c>
      <c r="B378" s="10" t="inlineStr">
        <is>
          <t>TC-MY-11-04</t>
        </is>
      </c>
      <c r="C378" s="10" t="inlineStr">
        <is>
          <t>11-마이페이지</t>
        </is>
      </c>
      <c r="D378" s="10" t="inlineStr">
        <is>
          <t>MY-11</t>
        </is>
      </c>
      <c r="E378" s="10" t="inlineStr">
        <is>
          <t>NFR-04 · AC-05 · V-3</t>
        </is>
      </c>
      <c r="F378" s="5" t="inlineStr">
        <is>
          <t>접근성</t>
        </is>
      </c>
      <c r="G378" s="5" t="inlineStr">
        <is>
          <t>미실행</t>
        </is>
      </c>
      <c r="H378" s="10" t="inlineStr">
        <is>
          <t>전맹(S2) 유형의 회원 계정 · TalkBack 켬 · 회원탈퇴 확인 팝업 표출</t>
        </is>
      </c>
      <c r="I378" s="10" t="inlineStr">
        <is>
          <t>1. 팝업이 열린 직후부터 스와이프로 낭독 순서를 기록한다
2. 회색조 모드에서 [회원탈퇴] 버튼을 [취소]와 구분할 수 있는지 확인한다</t>
        </is>
      </c>
      <c r="J378" s="10" t="inlineStr">
        <is>
          <t>제목 → 본문 3줄 → [취소] → [회원탈퇴] 순으로 낭독돼 파괴적 선택이 기본 초점이 되지 않고, [회원탈퇴]는 경고색에 더해 텍스트로도 구분돼 색을 제거해도 판별된다</t>
        </is>
      </c>
      <c r="K378" s="10" t="inlineStr"/>
      <c r="L378" s="10" t="inlineStr">
        <is>
          <t>UX 11-마이페이지 7.3절 Dual-Path</t>
        </is>
      </c>
      <c r="M378" s="10" t="inlineStr"/>
      <c r="N378" s="10" t="inlineStr"/>
    </row>
    <row r="379">
      <c r="A379" s="5" t="n">
        <v>378</v>
      </c>
      <c r="B379" s="10" t="inlineStr">
        <is>
          <t>TC-MY-11-05</t>
        </is>
      </c>
      <c r="C379" s="10" t="inlineStr">
        <is>
          <t>11-마이페이지</t>
        </is>
      </c>
      <c r="D379" s="10" t="inlineStr">
        <is>
          <t>MY-11</t>
        </is>
      </c>
      <c r="E379" s="10" t="inlineStr">
        <is>
          <t>V-6</t>
        </is>
      </c>
      <c r="F379" s="5" t="inlineStr">
        <is>
          <t>기능</t>
        </is>
      </c>
      <c r="G379" s="5" t="inlineStr">
        <is>
          <t>미실행</t>
        </is>
      </c>
      <c r="H379" s="10" t="inlineStr">
        <is>
          <t>회원 로그인 상태 · 탈퇴 요청 중 통신을 끊거나 서버 오류를 만들 수 있는 환경</t>
        </is>
      </c>
      <c r="I379" s="10" t="inlineStr">
        <is>
          <t>1. 통신을 끊은 상태로 [회원탈퇴]를 누르고 표시 문구를 확인한다
2. 서버 처리 실패를 유도한 뒤 계정으로 다시 로그인해 본다</t>
        </is>
      </c>
      <c r="J379" s="10" t="inlineStr">
        <is>
          <t>「요청됨」과 「완료됨」이 같은 문구로 뭉쳐지지 않고 완료 여부를 확정적으로 알리며, 실패 시 계정이 살아 있는 상태로 유지돼 다시 로그인된다 — 반쯤 지워진 상태가 생기지 않는다</t>
        </is>
      </c>
      <c r="K379" s="10" t="inlineStr"/>
      <c r="L379" s="10" t="inlineStr">
        <is>
          <t>UX 11-마이페이지 7.4절 예외 케이스</t>
        </is>
      </c>
      <c r="M379" s="10" t="inlineStr"/>
      <c r="N379" s="10" t="inlineStr"/>
    </row>
    <row r="380">
      <c r="A380" s="5" t="n">
        <v>379</v>
      </c>
      <c r="B380" s="10" t="inlineStr">
        <is>
          <t>TC-MY-11-06</t>
        </is>
      </c>
      <c r="C380" s="10" t="inlineStr">
        <is>
          <t>11-마이페이지</t>
        </is>
      </c>
      <c r="D380" s="10" t="inlineStr">
        <is>
          <t>MY-11</t>
        </is>
      </c>
      <c r="E380" s="10" t="inlineStr">
        <is>
          <t>NFR-05 · E-4</t>
        </is>
      </c>
      <c r="F380" s="5" t="inlineStr">
        <is>
          <t>접근성</t>
        </is>
      </c>
      <c r="G380" s="12" t="inlineStr">
        <is>
          <t>보류</t>
        </is>
      </c>
      <c r="H380" s="10" t="inlineStr">
        <is>
          <t>진행 중인 저상버스 예약과 미사용 마일리지 잔액이 있는 회원 계정 · 회원탈퇴 확인 팝업 표출</t>
        </is>
      </c>
      <c r="I380" s="10" t="inlineStr">
        <is>
          <t>1. 팝업 본문에 삭제 대상(접근성 프로필·즐겨찾기·예약·마일리지 등)이 이름으로 나열되는지 확인한다
2. [회원탈퇴] 진행 시 예약·마일리지 잔액이 어떻게 처리되는지 확인한다</t>
        </is>
      </c>
      <c r="J380" s="10" t="inlineStr">
        <is>
          <t>`NFR-05`가 요구하는 삭제 대상 나열이 현행 팝업 본문에 없고, 진행 중 예약과 미사용 마일리지 잔액의 처리 정책(`U-24`)도 미확정이라 무엇이 사라져야 하는지 기대값을 정할 수 없다</t>
        </is>
      </c>
      <c r="K380" s="10" t="inlineStr"/>
      <c r="L380" s="10" t="inlineStr">
        <is>
          <t>UX 11-마이페이지 7.3절 비시각 레이어 · 7.4절 · 7.5절 `U-24`</t>
        </is>
      </c>
      <c r="M380" s="10" t="inlineStr">
        <is>
          <t>미해소 지점 — 팝업 문구가 「즉시 삭제」라 유예 없음으로 읽히나 남는 것의 처리 방식이 정해지지 않았다(PM·서버 소관). 마일리지 지급 주체는 티머니GO다</t>
        </is>
      </c>
      <c r="N380" s="10" t="inlineStr"/>
    </row>
    <row r="381">
      <c r="A381" s="5" t="n">
        <v>380</v>
      </c>
      <c r="B381" s="10" t="inlineStr">
        <is>
          <t>TC-FAV-01-01</t>
        </is>
      </c>
      <c r="C381" s="10" t="inlineStr">
        <is>
          <t>12-즐겨찾기</t>
        </is>
      </c>
      <c r="D381" s="10" t="inlineStr">
        <is>
          <t>FAV-01</t>
        </is>
      </c>
      <c r="E381" s="10" t="inlineStr">
        <is>
          <t>FR-R11</t>
        </is>
      </c>
      <c r="F381" s="5" t="inlineStr">
        <is>
          <t>기능</t>
        </is>
      </c>
      <c r="G381" s="5" t="inlineStr">
        <is>
          <t>미실행</t>
        </is>
      </c>
      <c r="H381" s="10" t="inlineStr">
        <is>
          <t>회원 로그인 · 고정 슬롯 2건 등록 · 일반 즐겨찾기 3건 등록</t>
        </is>
      </c>
      <c r="I381" s="10" t="inlineStr">
        <is>
          <t>1. `3-0` 마이페이지의 「즐겨찾기」 카드를 누른다
2. 화면에 표출된 영역과 각 영역의 구성 요소를 적는다</t>
        </is>
      </c>
      <c r="J381" s="10" t="inlineStr">
        <is>
          <t>2영역으로 표출된다 — 고정 슬롯 영역이 3행 고정으로 먼저 오고, 그 아래 일반 목록 영역에 카운터와 최하단 [＋ 즐겨찾기 추가] 행이 있다. 상단 우측에 [편집] 토글이 있다</t>
        </is>
      </c>
      <c r="K381" s="10" t="inlineStr"/>
      <c r="L381" s="10" t="inlineStr">
        <is>
          <t>UX 12-즐겨찾기 1절·3절</t>
        </is>
      </c>
      <c r="M381" s="10" t="inlineStr"/>
      <c r="N381" s="10" t="inlineStr"/>
    </row>
    <row r="382">
      <c r="A382" s="5" t="n">
        <v>381</v>
      </c>
      <c r="B382" s="10" t="inlineStr">
        <is>
          <t>TC-FAV-01-02</t>
        </is>
      </c>
      <c r="C382" s="10" t="inlineStr">
        <is>
          <t>12-즐겨찾기</t>
        </is>
      </c>
      <c r="D382" s="10" t="inlineStr">
        <is>
          <t>FAV-01 · ROUTE-01</t>
        </is>
      </c>
      <c r="E382" s="10" t="inlineStr">
        <is>
          <t>FR-R11</t>
        </is>
      </c>
      <c r="F382" s="5" t="inlineStr">
        <is>
          <t>기능</t>
        </is>
      </c>
      <c r="G382" s="5" t="inlineStr">
        <is>
          <t>미실행</t>
        </is>
      </c>
      <c r="H382" s="10" t="inlineStr">
        <is>
          <t>일반 즐겨찾기에 「서울특별시청」이 등록된 상태</t>
        </is>
      </c>
      <c r="I382" s="10" t="inlineStr">
        <is>
          <t>1. 즐겨찾기 목록에서 「서울특별시청」을 선택한다
2. 이동한 화면과 경로 3지점의 설정 상태를 적는다</t>
        </is>
      </c>
      <c r="J382" s="10" t="inlineStr">
        <is>
          <t>`2-0` 길안내로 이동하며 선택 장소가 도착지로 설정된다. 출발지는 현재 위치로 잡히고 사용자에게 고르게 하지 않는다</t>
        </is>
      </c>
      <c r="K382" s="10" t="inlineStr"/>
      <c r="L382" s="10" t="inlineStr">
        <is>
          <t>UX 12-즐겨찾기 1절 이탈·2절</t>
        </is>
      </c>
      <c r="M382" s="10" t="inlineStr"/>
      <c r="N382" s="10" t="inlineStr"/>
    </row>
    <row r="383">
      <c r="A383" s="5" t="n">
        <v>382</v>
      </c>
      <c r="B383" s="10" t="inlineStr">
        <is>
          <t>TC-FAV-01-03</t>
        </is>
      </c>
      <c r="C383" s="10" t="inlineStr">
        <is>
          <t>12-즐겨찾기</t>
        </is>
      </c>
      <c r="D383" s="10" t="inlineStr">
        <is>
          <t>FAV-01</t>
        </is>
      </c>
      <c r="E383" s="10" t="inlineStr">
        <is>
          <t>FR-R11</t>
        </is>
      </c>
      <c r="F383" s="5" t="inlineStr">
        <is>
          <t>기능</t>
        </is>
      </c>
      <c r="G383" s="5" t="inlineStr">
        <is>
          <t>미실행</t>
        </is>
      </c>
      <c r="H383" s="10" t="inlineStr">
        <is>
          <t>경유지를 포함한 경로를 탐색한 직후 그 도착지를 즐겨찾기에 추가</t>
        </is>
      </c>
      <c r="I383" s="10" t="inlineStr">
        <is>
          <t>1. 경유지가 포함된 경로에서 도착지를 즐겨찾기에 추가한다
2. `3-3`으로 돌아와 방금 추가한 항목을 선택한다
3. 이동한 길안내 화면에서 경유지·교통수단·출발 시각이 복원되는지 확인한다</t>
        </is>
      </c>
      <c r="J383" s="10" t="inlineStr">
        <is>
          <t>즐겨찾기 항목은 장소 1건이라 경유지·교통수단·시각이 복원되지 않는다. 저장된 것은 장소 식별자와 표시명뿐이다</t>
        </is>
      </c>
      <c r="K383" s="10" t="inlineStr"/>
      <c r="L383" s="10" t="inlineStr">
        <is>
          <t>UX 12-즐겨찾기 2절</t>
        </is>
      </c>
      <c r="M383" s="10" t="inlineStr">
        <is>
          <t>8절 행 표시 규칙 때문에 지번·도로명 주소 2종을 함께 저장하는 것은 별개 항목이다</t>
        </is>
      </c>
      <c r="N383" s="10" t="inlineStr"/>
    </row>
    <row r="384">
      <c r="A384" s="5" t="n">
        <v>383</v>
      </c>
      <c r="B384" s="10" t="inlineStr">
        <is>
          <t>TC-FAV-01-04</t>
        </is>
      </c>
      <c r="C384" s="10" t="inlineStr">
        <is>
          <t>12-즐겨찾기</t>
        </is>
      </c>
      <c r="D384" s="10" t="inlineStr">
        <is>
          <t>FAV-01</t>
        </is>
      </c>
      <c r="E384" s="10" t="inlineStr">
        <is>
          <t>FR-R11 · V-3</t>
        </is>
      </c>
      <c r="F384" s="5" t="inlineStr">
        <is>
          <t>기능</t>
        </is>
      </c>
      <c r="G384" s="5" t="inlineStr">
        <is>
          <t>미실행</t>
        </is>
      </c>
      <c r="H384" s="10" t="inlineStr">
        <is>
          <t>고정 슬롯 중 1개 이상이 미등록 상태</t>
        </is>
      </c>
      <c r="I384" s="10" t="inlineStr">
        <is>
          <t>1. `3-3`에 진입해 고정 슬롯 영역의 행 수를 센다
2. 미등록 슬롯 행의 표시 문자열과 색 처리를 적는다</t>
        </is>
      </c>
      <c r="J384" s="10" t="inlineStr">
        <is>
          <t>미등록이어도 행이 사라지지 않고 3행이 유지되며, 「주소를 등록해 주세요.」 문자열이 표시된다. 미등록 상태가 회색 단독이 아니라 텍스트로 함께 전달된다</t>
        </is>
      </c>
      <c r="K384" s="10" t="inlineStr"/>
      <c r="L384" s="10" t="inlineStr">
        <is>
          <t>UX 12-즐겨찾기 3절 · PRD 2부-설계 V-3</t>
        </is>
      </c>
      <c r="M384" s="10" t="inlineStr"/>
      <c r="N384" s="10" t="inlineStr"/>
    </row>
    <row r="385">
      <c r="A385" s="5" t="n">
        <v>384</v>
      </c>
      <c r="B385" s="10" t="inlineStr">
        <is>
          <t>TC-FAV-01-05</t>
        </is>
      </c>
      <c r="C385" s="10" t="inlineStr">
        <is>
          <t>12-즐겨찾기</t>
        </is>
      </c>
      <c r="D385" s="10" t="inlineStr">
        <is>
          <t>FAV-01</t>
        </is>
      </c>
      <c r="E385" s="10" t="inlineStr">
        <is>
          <t>FR-R11</t>
        </is>
      </c>
      <c r="F385" s="5" t="inlineStr">
        <is>
          <t>기능</t>
        </is>
      </c>
      <c r="G385" s="5" t="inlineStr">
        <is>
          <t>미실행</t>
        </is>
      </c>
      <c r="H385" s="10" t="inlineStr">
        <is>
          <t>일반 즐겨찾기 9건 등록 상태</t>
        </is>
      </c>
      <c r="I385" s="10" t="inlineStr">
        <is>
          <t>1. 일반 목록 영역의 카운터 값을 적는다
2. 1건을 더 추가해 10건을 만든다
3. 최하단 [＋ 즐겨찾기 추가] 행의 표출 여부를 확인한다</t>
        </is>
      </c>
      <c r="J385" s="10" t="inlineStr">
        <is>
          <t>카운터가 9 / 10에서 10 / 10으로 바뀌고, 10건 도달 시 [＋ 즐겨찾기 추가] 버튼이 미노출된다. 상한은 버튼이 사라지기 전부터 카운터로 상시 노출된다</t>
        </is>
      </c>
      <c r="K385" s="10" t="inlineStr"/>
      <c r="L385" s="10" t="inlineStr">
        <is>
          <t>UX 12-즐겨찾기 3절·11절</t>
        </is>
      </c>
      <c r="M385" s="10" t="inlineStr"/>
      <c r="N385" s="10" t="inlineStr"/>
    </row>
    <row r="386">
      <c r="A386" s="5" t="n">
        <v>385</v>
      </c>
      <c r="B386" s="10" t="inlineStr">
        <is>
          <t>TC-FAV-01-06</t>
        </is>
      </c>
      <c r="C386" s="10" t="inlineStr">
        <is>
          <t>12-즐겨찾기</t>
        </is>
      </c>
      <c r="D386" s="10" t="inlineStr">
        <is>
          <t>FAV-01</t>
        </is>
      </c>
      <c r="E386" s="10" t="inlineStr">
        <is>
          <t>FR-R11</t>
        </is>
      </c>
      <c r="F386" s="5" t="inlineStr">
        <is>
          <t>기능</t>
        </is>
      </c>
      <c r="G386" s="5" t="inlineStr">
        <is>
          <t>미실행</t>
        </is>
      </c>
      <c r="H386" s="10" t="inlineStr">
        <is>
          <t>회원 로그인 · `3-3` 진입</t>
        </is>
      </c>
      <c r="I386" s="10" t="inlineStr">
        <is>
          <t>1. 고정 슬롯 영역의 슬롯 수와 1번 슬롯의 라벨을 적는다
2. 고정 슬롯을 추가하는 경로가 화면에 있는지 확인한다</t>
        </is>
      </c>
      <c r="J386" s="10" t="inlineStr">
        <is>
          <t>고정 슬롯은 3개(집 1 + 사용자 지정 2)로 고정되고 1번 라벨은 「집」으로 영구 고정이다. 슬롯을 늘리는 경로가 없다</t>
        </is>
      </c>
      <c r="K386" s="10" t="inlineStr"/>
      <c r="L386" s="10" t="inlineStr">
        <is>
          <t>UX 12-즐겨찾기 4절·11절</t>
        </is>
      </c>
      <c r="M386" s="10" t="inlineStr"/>
      <c r="N386" s="10" t="inlineStr"/>
    </row>
    <row r="387">
      <c r="A387" s="5" t="n">
        <v>386</v>
      </c>
      <c r="B387" s="10" t="inlineStr">
        <is>
          <t>TC-FAV-01-07</t>
        </is>
      </c>
      <c r="C387" s="10" t="inlineStr">
        <is>
          <t>12-즐겨찾기</t>
        </is>
      </c>
      <c r="D387" s="10" t="inlineStr">
        <is>
          <t>FAV-01</t>
        </is>
      </c>
      <c r="E387" s="10" t="inlineStr">
        <is>
          <t>FR-R11</t>
        </is>
      </c>
      <c r="F387" s="5" t="inlineStr">
        <is>
          <t>기능</t>
        </is>
      </c>
      <c r="G387" s="5" t="inlineStr">
        <is>
          <t>미실행</t>
        </is>
      </c>
      <c r="H387" s="10" t="inlineStr">
        <is>
          <t>「집」 등록 · 사용자 지정 슬롯 1건 등록 · 나머지 1건 미등록</t>
        </is>
      </c>
      <c r="I387" s="10" t="inlineStr">
        <is>
          <t>1. [편집]을 눌러 편집 모드로 들어간다
2. 세 슬롯 행 각각의 우측 버튼 종류와 왼쪽부터의 순서를 적는다
3. 편집 모드에서 행 자체를 탭해 본다</t>
        </is>
      </c>
      <c r="J387" s="10" t="inlineStr">
        <is>
          <t>등록된 사용자 지정 슬롯 행에만 [이름수정] → [삭제] 순으로 버튼이 붙고, 「집」 행과 미등록 빈 슬롯 행에는 [이름수정]이 없다. 행 탭은 반응하지 않는다</t>
        </is>
      </c>
      <c r="K387" s="10" t="inlineStr"/>
      <c r="L387" s="10" t="inlineStr">
        <is>
          <t>UX 12-즐겨찾기 7절·11절</t>
        </is>
      </c>
      <c r="M387" s="10" t="inlineStr">
        <is>
          <t>미등록 빈 슬롯 행의 [삭제] 처리(미노출/비활성)는 12절 ⑮로 열려 있다</t>
        </is>
      </c>
      <c r="N387" s="10" t="inlineStr"/>
    </row>
    <row r="388">
      <c r="A388" s="5" t="n">
        <v>387</v>
      </c>
      <c r="B388" s="10" t="inlineStr">
        <is>
          <t>TC-FAV-01-08</t>
        </is>
      </c>
      <c r="C388" s="10" t="inlineStr">
        <is>
          <t>12-즐겨찾기</t>
        </is>
      </c>
      <c r="D388" s="10" t="inlineStr">
        <is>
          <t>FAV-01</t>
        </is>
      </c>
      <c r="E388" s="10" t="inlineStr">
        <is>
          <t>FR-R11 · V-3</t>
        </is>
      </c>
      <c r="F388" s="5" t="inlineStr">
        <is>
          <t>기능</t>
        </is>
      </c>
      <c r="G388" s="5" t="inlineStr">
        <is>
          <t>미실행</t>
        </is>
      </c>
      <c r="H388" s="10" t="inlineStr">
        <is>
          <t>일반 즐겨찾기에 「서울특별시청」 등록</t>
        </is>
      </c>
      <c r="I388" s="10" t="inlineStr">
        <is>
          <t>1. 편집 모드에서 「서울특별시청」 행의 [삭제]를 누른다
2. 확인 팝업의 제목·본문·버튼 문자열을 적는다
3. [삭제] 버튼이 색 외에 무엇으로 구분되는지 확인한다</t>
        </is>
      </c>
      <c r="J388" s="10" t="inlineStr">
        <is>
          <t>제목 「즐겨찾기 삭제」와 장소명을 넣은 본문으로 대상이 특정되고, [취소]·[삭제] 2버튼이 뜬다. 파괴적 동작임이 경고색 단독이 아니라 버튼 문자열로도 전달된다</t>
        </is>
      </c>
      <c r="K388" s="10" t="inlineStr"/>
      <c r="L388" s="10" t="inlineStr">
        <is>
          <t>UX 12-즐겨찾기 9절 경로 ① · PRD 2부-설계 V-3</t>
        </is>
      </c>
      <c r="M388" s="10" t="inlineStr"/>
      <c r="N388" s="10" t="inlineStr"/>
    </row>
    <row r="389">
      <c r="A389" s="5" t="n">
        <v>388</v>
      </c>
      <c r="B389" s="10" t="inlineStr">
        <is>
          <t>TC-FAV-01-09</t>
        </is>
      </c>
      <c r="C389" s="10" t="inlineStr">
        <is>
          <t>12-즐겨찾기</t>
        </is>
      </c>
      <c r="D389" s="10" t="inlineStr">
        <is>
          <t>FAV-01 · SEARCH-02</t>
        </is>
      </c>
      <c r="E389" s="10" t="inlineStr">
        <is>
          <t>V-6</t>
        </is>
      </c>
      <c r="F389" s="5" t="inlineStr">
        <is>
          <t>기능</t>
        </is>
      </c>
      <c r="G389" s="5" t="inlineStr">
        <is>
          <t>미실행</t>
        </is>
      </c>
      <c r="H389" s="10" t="inlineStr">
        <is>
          <t>즐겨찾기 경로로 진입한 `2-2` 장소 상세(★ 상태)</t>
        </is>
      </c>
      <c r="I389" s="10" t="inlineStr">
        <is>
          <t>1. 장소 상세에서 ★를 누른다
2. 확인 팝업이 뜨는지 확인한다
3. 표출된 토스트 문구와 하단 버튼 라벨을 적는다</t>
        </is>
      </c>
      <c r="J389" s="10" t="inlineStr">
        <is>
          <t>확인 없이 즉시 해제되고 「즐겨찾기에서 해제되었습니다.」 토스트로 상태 변화가 드러난다. 하단 버튼은 같은 자리에서 라벨만 [즐겨찾기에 추가]로 바뀐다</t>
        </is>
      </c>
      <c r="K389" s="10" t="inlineStr"/>
      <c r="L389" s="10" t="inlineStr">
        <is>
          <t>UX 12-즐겨찾기 3절 토스트 3종·9절 경로 ②</t>
        </is>
      </c>
      <c r="M389" s="10" t="inlineStr">
        <is>
          <t>되돌리기(Undo) 제공 여부는 12절 ④로 열려 있다</t>
        </is>
      </c>
      <c r="N389" s="10" t="inlineStr"/>
    </row>
    <row r="390">
      <c r="A390" s="5" t="n">
        <v>389</v>
      </c>
      <c r="B390" s="10" t="inlineStr">
        <is>
          <t>TC-FAV-01-10</t>
        </is>
      </c>
      <c r="C390" s="10" t="inlineStr">
        <is>
          <t>12-즐겨찾기</t>
        </is>
      </c>
      <c r="D390" s="10" t="inlineStr">
        <is>
          <t>FAV-01</t>
        </is>
      </c>
      <c r="E390" s="10" t="inlineStr">
        <is>
          <t>FR-R11 · V-6</t>
        </is>
      </c>
      <c r="F390" s="5" t="inlineStr">
        <is>
          <t>기능</t>
        </is>
      </c>
      <c r="G390" s="5" t="inlineStr">
        <is>
          <t>미실행</t>
        </is>
      </c>
      <c r="H390" s="10" t="inlineStr">
        <is>
          <t>비회원으로 시작한 상태</t>
        </is>
      </c>
      <c r="I390" s="10" t="inlineStr">
        <is>
          <t>1. 하단 3탭에서 마이페이지로 이동한다
2. 표출된 안내와 진입 가능 여부를 적는다</t>
        </is>
      </c>
      <c r="J390" s="10" t="inlineStr">
        <is>
          <t>마이페이지 진입 시점에 로그인 필요 팝업으로 차단되어 `3-3`에 도달하지 않는다. 빈 즐겨찾기 화면을 보여 주고 조작 시점에 실패하는 방식이 아니다</t>
        </is>
      </c>
      <c r="K390" s="10" t="inlineStr"/>
      <c r="L390" s="10" t="inlineStr">
        <is>
          <t>UX 12-즐겨찾기 11절 비회원 진입 · `11-마이페이지` 2.4절</t>
        </is>
      </c>
      <c r="M390" s="10" t="inlineStr"/>
      <c r="N390" s="10" t="inlineStr"/>
    </row>
    <row r="391">
      <c r="A391" s="5" t="n">
        <v>390</v>
      </c>
      <c r="B391" s="10" t="inlineStr">
        <is>
          <t>TC-FAV-01-11</t>
        </is>
      </c>
      <c r="C391" s="10" t="inlineStr">
        <is>
          <t>12-즐겨찾기</t>
        </is>
      </c>
      <c r="D391" s="10" t="inlineStr">
        <is>
          <t>FAV-01</t>
        </is>
      </c>
      <c r="E391" s="10" t="inlineStr">
        <is>
          <t>FR-R11 · V-6</t>
        </is>
      </c>
      <c r="F391" s="5" t="inlineStr">
        <is>
          <t>기능</t>
        </is>
      </c>
      <c r="G391" s="5" t="inlineStr">
        <is>
          <t>미실행</t>
        </is>
      </c>
      <c r="H391" s="10" t="inlineStr">
        <is>
          <t>도로명·지번이 둘 다 없는 POI(버스정류장 또는 지하철 출구)를 즐겨찾기에 등록</t>
        </is>
      </c>
      <c r="I391" s="10" t="inlineStr">
        <is>
          <t>1. 장소 검색에서 「버스정류장」 필터로 정류장 1건을 골라 즐겨찾기에 추가한다
2. `3-3` 일반 목록에서 그 행의 1번째·2번째 줄 문자열을 적는다</t>
        </is>
      </c>
      <c r="J391" s="10" t="inlineStr">
        <is>
          <t>1번째 줄은 POI명, 2번째 줄은 동 단위 대표 주소가 풀 표기로 들어간다. 2번째 줄을 비워 1줄 행으로 만들지 않고 장소 종류 표기로 대체하지도 않는다</t>
        </is>
      </c>
      <c r="K391" s="10" t="inlineStr"/>
      <c r="L391" s="10" t="inlineStr">
        <is>
          <t>UX 12-즐겨찾기 8절·8.1절</t>
        </is>
      </c>
      <c r="M391" s="10" t="inlineStr">
        <is>
          <t>주소 부재로 등록을 거절하지 않는다 — 저장을 막는 것은 좌표 확보 실패뿐이다</t>
        </is>
      </c>
      <c r="N391" s="10" t="inlineStr"/>
    </row>
    <row r="392">
      <c r="A392" s="5" t="n">
        <v>391</v>
      </c>
      <c r="B392" s="10" t="inlineStr">
        <is>
          <t>TC-FAV-01-12</t>
        </is>
      </c>
      <c r="C392" s="10" t="inlineStr">
        <is>
          <t>12-즐겨찾기</t>
        </is>
      </c>
      <c r="D392" s="10" t="inlineStr">
        <is>
          <t>FAV-01</t>
        </is>
      </c>
      <c r="E392" s="10" t="inlineStr">
        <is>
          <t>V-1 · AC-05 · NFR-04</t>
        </is>
      </c>
      <c r="F392" s="5" t="inlineStr">
        <is>
          <t>접근성</t>
        </is>
      </c>
      <c r="G392" s="5" t="inlineStr">
        <is>
          <t>미실행</t>
        </is>
      </c>
      <c r="H392" s="10" t="inlineStr">
        <is>
          <t>TalkBack 켬 · 고정 슬롯 3행 · 일반 즐겨찾기 3건 등록</t>
        </is>
      </c>
      <c r="I392" s="10" t="inlineStr">
        <is>
          <t>1. 화면 진입 직후부터 오른쪽 스와이프로 끝까지 이동한다
2. 낭독된 요소를 순서대로 적는다
3. 카운터가 낭독되는지 확인한다</t>
        </is>
      </c>
      <c r="J392" s="10" t="inlineStr">
        <is>
          <t>고정 슬롯 섹션 제목 → 슬롯 3행 → 일반 목록 섹션 제목 → 카운터 → 일반 항목 → [＋ 즐겨찾기 추가] 순으로 낭독된다. 화면에만 있는 카운터가 낭독에서 빠지지 않는다</t>
        </is>
      </c>
      <c r="K392" s="10" t="inlineStr"/>
      <c r="L392" s="10" t="inlineStr">
        <is>
          <t>UX 12-즐겨찾기 10절 낭독 순서</t>
        </is>
      </c>
      <c r="M392" s="10" t="inlineStr"/>
      <c r="N392" s="10" t="inlineStr"/>
    </row>
    <row r="393">
      <c r="A393" s="5" t="n">
        <v>392</v>
      </c>
      <c r="B393" s="10" t="inlineStr">
        <is>
          <t>TC-FAV-01-13</t>
        </is>
      </c>
      <c r="C393" s="10" t="inlineStr">
        <is>
          <t>12-즐겨찾기</t>
        </is>
      </c>
      <c r="D393" s="10" t="inlineStr">
        <is>
          <t>FAV-01</t>
        </is>
      </c>
      <c r="E393" s="10" t="inlineStr">
        <is>
          <t>AC-05 · V-6</t>
        </is>
      </c>
      <c r="F393" s="5" t="inlineStr">
        <is>
          <t>접근성</t>
        </is>
      </c>
      <c r="G393" s="5" t="inlineStr">
        <is>
          <t>미실행</t>
        </is>
      </c>
      <c r="H393" s="10" t="inlineStr">
        <is>
          <t>TalkBack 켬 · 「집」 슬롯 미등록 상태</t>
        </is>
      </c>
      <c r="I393" s="10" t="inlineStr">
        <is>
          <t>1. 고정 슬롯 영역에서 미등록 「집」 행에 포커스를 둔다
2. 낭독 문구와 스와이프 횟수를 적는다</t>
        </is>
      </c>
      <c r="J393" s="10" t="inlineStr">
        <is>
          <t>「집, 주소를 등록해 주세요, 등록하려면 선택」이 한 항목으로 낭독된다. 슬롯명·상태·다음 행동이 별개 항목으로 쪼개지지 않는다</t>
        </is>
      </c>
      <c r="K393" s="10" t="inlineStr"/>
      <c r="L393" s="10" t="inlineStr">
        <is>
          <t>UX 12-즐겨찾기 10절</t>
        </is>
      </c>
      <c r="M393" s="10" t="inlineStr"/>
      <c r="N393" s="10" t="inlineStr"/>
    </row>
    <row r="394">
      <c r="A394" s="5" t="n">
        <v>393</v>
      </c>
      <c r="B394" s="10" t="inlineStr">
        <is>
          <t>TC-FAV-01-14</t>
        </is>
      </c>
      <c r="C394" s="10" t="inlineStr">
        <is>
          <t>12-즐겨찾기</t>
        </is>
      </c>
      <c r="D394" s="10" t="inlineStr">
        <is>
          <t>FAV-01</t>
        </is>
      </c>
      <c r="E394" s="10" t="inlineStr">
        <is>
          <t>AC-05 · V-6</t>
        </is>
      </c>
      <c r="F394" s="5" t="inlineStr">
        <is>
          <t>접근성</t>
        </is>
      </c>
      <c r="G394" s="5" t="inlineStr">
        <is>
          <t>미실행</t>
        </is>
      </c>
      <c r="H394" s="10" t="inlineStr">
        <is>
          <t>전맹 계정 · TalkBack 켬</t>
        </is>
      </c>
      <c r="I394" s="10" t="inlineStr">
        <is>
          <t>1. 일반 즐겨찾기를 1건 추가한다
2. 빈 슬롯에 프리셋을 골라 슬롯 지정을 완료한다
3. 장소 상세에서 ★를 눌러 해제한다
4. 각 시점에 낭독된 문구를 적는다</t>
        </is>
      </c>
      <c r="J394" s="10" t="inlineStr">
        <is>
          <t>「즐겨찾기에 추가되었습니다.」 · 「(슬롯명)으로 설정되었습니다.」 · 「즐겨찾기에서 해제되었습니다.」 3종이 모두 낭독된다. 화면에만 뜨고 침묵하는 토스트가 없다</t>
        </is>
      </c>
      <c r="K394" s="10" t="inlineStr"/>
      <c r="L394" s="10" t="inlineStr">
        <is>
          <t>UX 12-즐겨찾기 3절 토스트 3종</t>
        </is>
      </c>
      <c r="M394" s="10" t="inlineStr"/>
      <c r="N394" s="10" t="inlineStr"/>
    </row>
    <row r="395">
      <c r="A395" s="5" t="n">
        <v>394</v>
      </c>
      <c r="B395" s="10" t="inlineStr">
        <is>
          <t>TC-FAV-01-15</t>
        </is>
      </c>
      <c r="C395" s="10" t="inlineStr">
        <is>
          <t>12-즐겨찾기</t>
        </is>
      </c>
      <c r="D395" s="10" t="inlineStr">
        <is>
          <t>FAV-01</t>
        </is>
      </c>
      <c r="E395" s="10" t="inlineStr">
        <is>
          <t>NFR-05 · AC-05</t>
        </is>
      </c>
      <c r="F395" s="5" t="inlineStr">
        <is>
          <t>접근성</t>
        </is>
      </c>
      <c r="G395" s="5" t="inlineStr">
        <is>
          <t>미실행</t>
        </is>
      </c>
      <c r="H395" s="10" t="inlineStr">
        <is>
          <t>TalkBack 켬 · 사용자 지정 슬롯에 10자 라벨(예: 우리동네복지관 등 폭을 넘기는 값)을 등록</t>
        </is>
      </c>
      <c r="I395" s="10" t="inlineStr">
        <is>
          <t>1. `3-3` 목록 행에 보이는 라벨 표시 문자열을 적는다
2. 그 행에 포커스를 두고 낭독된 라벨을 적는다
3. 둘을 대조한다</t>
        </is>
      </c>
      <c r="J395" s="10" t="inlineStr">
        <is>
          <t>표시는 폭을 넘기면 뒤 말줄임으로 잘리지만 접근성 이름은 언제나 전문이다. 잘린 글자가 낭독에서 사라지지 않는다</t>
        </is>
      </c>
      <c r="K395" s="10" t="inlineStr"/>
      <c r="L395" s="10" t="inlineStr">
        <is>
          <t>UX 12-즐겨찾기 4.2절</t>
        </is>
      </c>
      <c r="M395" s="10" t="inlineStr"/>
      <c r="N395" s="10" t="inlineStr"/>
    </row>
    <row r="396">
      <c r="A396" s="5" t="n">
        <v>395</v>
      </c>
      <c r="B396" s="10" t="inlineStr">
        <is>
          <t>TC-FAV-01-16</t>
        </is>
      </c>
      <c r="C396" s="10" t="inlineStr">
        <is>
          <t>12-즐겨찾기</t>
        </is>
      </c>
      <c r="D396" s="10" t="inlineStr">
        <is>
          <t>FAV-01</t>
        </is>
      </c>
      <c r="E396" s="10" t="inlineStr">
        <is>
          <t>NFR-02 · S-1 · S-2</t>
        </is>
      </c>
      <c r="F396" s="5" t="inlineStr">
        <is>
          <t>접근성</t>
        </is>
      </c>
      <c r="G396" s="5" t="inlineStr">
        <is>
          <t>미실행</t>
        </is>
      </c>
      <c r="H396" s="10" t="inlineStr">
        <is>
          <t>편집 모드 · 등록된 사용자 지정 슬롯 행 표출 · 시스템 글자 크기 기본</t>
        </is>
      </c>
      <c r="I396" s="10" t="inlineStr">
        <is>
          <t>1. [이름수정]·[삭제] 각각의 히트 영역 가로·세로를 잰다
2. 두 버튼 사이 간격을 잰다
3. [편집] 토글과 [＋ 즐겨찾기 추가] 행도 같은 방식으로 잰다</t>
        </is>
      </c>
      <c r="J396" s="10" t="inlineStr">
        <is>
          <t>모든 컨트롤의 히트 영역이 44×44pt 이상이고 인접 간격이 8px 이상이다. radius와 무관하게 히트 영역은 사각으로 유지된다</t>
        </is>
      </c>
      <c r="K396" s="10" t="inlineStr"/>
      <c r="L396" s="10" t="inlineStr">
        <is>
          <t>UX 12-즐겨찾기 7절 · PRD 1부-요건 NFR-02 · 2부-설계 S-1·S-2</t>
        </is>
      </c>
      <c r="M396" s="10" t="inlineStr"/>
      <c r="N396" s="10" t="inlineStr"/>
    </row>
    <row r="397">
      <c r="A397" s="5" t="n">
        <v>396</v>
      </c>
      <c r="B397" s="10" t="inlineStr">
        <is>
          <t>TC-FAV-01-17</t>
        </is>
      </c>
      <c r="C397" s="10" t="inlineStr">
        <is>
          <t>12-즐겨찾기</t>
        </is>
      </c>
      <c r="D397" s="10" t="inlineStr">
        <is>
          <t>FAV-01</t>
        </is>
      </c>
      <c r="E397" s="10" t="inlineStr">
        <is>
          <t>NFR-03 · T-1 · T-2</t>
        </is>
      </c>
      <c r="F397" s="5" t="inlineStr">
        <is>
          <t>접근성</t>
        </is>
      </c>
      <c r="G397" s="5" t="inlineStr">
        <is>
          <t>미실행</t>
        </is>
      </c>
      <c r="H397" s="10" t="inlineStr">
        <is>
          <t>시스템 글자 크기 기본 · 고정 슬롯·일반 목록 모두 등록된 상태</t>
        </is>
      </c>
      <c r="I397" s="10" t="inlineStr">
        <is>
          <t>1. 슬롯 행의 라벨 줄과 주소 줄 글자 크기를 잰다
2. 두 줄의 줄간격과 카운터 글자 크기를 잰다
3. 본문·보조 라벨에 바인딩된 굵기를 확인한다</t>
        </is>
      </c>
      <c r="J397" s="10" t="inlineStr">
        <is>
          <t>라벨·주소·카운터가 모두 16px 이상이고 줄간격 150% 이상이며 Regular가 바인딩되지 않았다(하한 Medium). 값은 정본 토큰 값과 일치한다</t>
        </is>
      </c>
      <c r="K397" s="10" t="inlineStr"/>
      <c r="L397" s="10" t="inlineStr">
        <is>
          <t>UX 12-즐겨찾기 3절·8절 · PRD 1부-요건 NFR-03 · 2부-설계 T-1·T-2</t>
        </is>
      </c>
      <c r="M397" s="10" t="inlineStr"/>
      <c r="N397" s="10" t="inlineStr"/>
    </row>
    <row r="398">
      <c r="A398" s="5" t="n">
        <v>397</v>
      </c>
      <c r="B398" s="10" t="inlineStr">
        <is>
          <t>TC-FAV-01-18</t>
        </is>
      </c>
      <c r="C398" s="10" t="inlineStr">
        <is>
          <t>12-즐겨찾기</t>
        </is>
      </c>
      <c r="D398" s="10" t="inlineStr">
        <is>
          <t>FAV-01</t>
        </is>
      </c>
      <c r="E398" s="10" t="inlineStr">
        <is>
          <t>AC-06 · T-4 · S-4</t>
        </is>
      </c>
      <c r="F398" s="5" t="inlineStr">
        <is>
          <t>접근성</t>
        </is>
      </c>
      <c r="G398" s="12" t="inlineStr">
        <is>
          <t>보류</t>
        </is>
      </c>
      <c r="H398" s="10" t="inlineStr">
        <is>
          <t>시스템 글자 크기 200% · 편집 모드 · 버튼 2종이 붙는 사용자 지정 슬롯 행</t>
        </is>
      </c>
      <c r="I398" s="10" t="inlineStr">
        <is>
          <t>1. 글자 크기를 200%로 올린 뒤 편집 모드로 들어간다
2. 한 행에 [이름수정]·[삭제]가 어떻게 배치되는지 적는다
3. 두 버튼의 터치 타겟이 유지되는지 잰다</t>
        </is>
      </c>
      <c r="J398" s="10" t="inlineStr">
        <is>
          <t>판정 불가 — 한 행에 버튼 2종이 들어갈 때의 200% 배치(가로 유지인지 줄바꿈인지)와 터치 타겟 확보 방식이 정해져 있지 않다(12절 ⑭, 디자인 소관). 확정 후 기대결과를 채운다</t>
        </is>
      </c>
      <c r="K398" s="10" t="inlineStr"/>
      <c r="L398" s="10" t="inlineStr">
        <is>
          <t>UX 12-즐겨찾기 12절 ⑭</t>
        </is>
      </c>
      <c r="M398" s="10" t="inlineStr">
        <is>
          <t>섹션 위계가 간격 단독이 아닌지(S-4)도 이 배치 확정 뒤에 함께 판정한다</t>
        </is>
      </c>
      <c r="N398" s="10" t="inlineStr"/>
    </row>
    <row r="399">
      <c r="A399" s="5" t="n">
        <v>398</v>
      </c>
      <c r="B399" s="10" t="inlineStr">
        <is>
          <t>TC-FAV-01-19</t>
        </is>
      </c>
      <c r="C399" s="10" t="inlineStr">
        <is>
          <t>12-즐겨찾기</t>
        </is>
      </c>
      <c r="D399" s="10" t="inlineStr">
        <is>
          <t>FAV-01</t>
        </is>
      </c>
      <c r="E399" s="10" t="inlineStr">
        <is>
          <t>V-6</t>
        </is>
      </c>
      <c r="F399" s="5" t="inlineStr">
        <is>
          <t>기능</t>
        </is>
      </c>
      <c r="G399" s="12" t="inlineStr">
        <is>
          <t>보류</t>
        </is>
      </c>
      <c r="H399" s="10" t="inlineStr">
        <is>
          <t>네트워크를 끊은 상태에서 편집 모드 삭제를 실행</t>
        </is>
      </c>
      <c r="I399" s="10" t="inlineStr">
        <is>
          <t>1. 편집 모드에서 항목 1건을 삭제하고 확인 팝업에서 [삭제]를 누른다
2. 목록에서 사라지는지, 서버 반영 실패 후 무엇이 표시되는지 적는다</t>
        </is>
      </c>
      <c r="J399" s="10" t="inlineStr">
        <is>
          <t>판정 불가 — 삭제는 확정 후 즉시 제거·서버 반영인데 실패 시 롤백·재시도 문안이 사양에 없다(12절 ②). 확정 후 기대결과를 채운다</t>
        </is>
      </c>
      <c r="K399" s="10" t="inlineStr"/>
      <c r="L399" s="10" t="inlineStr">
        <is>
          <t>UX 12-즐겨찾기 11절·12절 ②</t>
        </is>
      </c>
      <c r="M399" s="10" t="inlineStr"/>
      <c r="N399" s="10" t="inlineStr"/>
    </row>
    <row r="400">
      <c r="A400" s="5" t="n">
        <v>399</v>
      </c>
      <c r="B400" s="10" t="inlineStr">
        <is>
          <t>TC-FAV-01-20</t>
        </is>
      </c>
      <c r="C400" s="10" t="inlineStr">
        <is>
          <t>12-즐겨찾기</t>
        </is>
      </c>
      <c r="D400" s="10" t="inlineStr">
        <is>
          <t>FAV-01</t>
        </is>
      </c>
      <c r="E400" s="10" t="inlineStr">
        <is>
          <t>AC-05 · V-6</t>
        </is>
      </c>
      <c r="F400" s="5" t="inlineStr">
        <is>
          <t>접근성</t>
        </is>
      </c>
      <c r="G400" s="12" t="inlineStr">
        <is>
          <t>보류</t>
        </is>
      </c>
      <c r="H400" s="10" t="inlineStr">
        <is>
          <t>TalkBack 켬 · 등록된 사용자 지정 슬롯이 있는 상태</t>
        </is>
      </c>
      <c r="I400" s="10" t="inlineStr">
        <is>
          <t>1. [편집]을 눌러 편집 모드로 들어간다
2. 낭독된 모드 전환 고지 문구를 적는다
3. 슬롯 행의 [이름수정] 버튼 접근성 이름을 적는다</t>
        </is>
      </c>
      <c r="J400" s="10" t="inlineStr">
        <is>
          <t>판정 불가 — 편집 모드 진입·이탈 고지를 aria-live로 한다는 것까지만 정해져 있고 문안이 작성되지 않았으며, 행마다 반복되는 [이름수정]의 접근성 이름(대상 슬롯 특정)도 미확정이다(12절 ⑬). 확정 후 기대결과를 채운다</t>
        </is>
      </c>
      <c r="K400" s="10" t="inlineStr"/>
      <c r="L400" s="10" t="inlineStr">
        <is>
          <t>UX 12-즐겨찾기 10절·12절 ⑬</t>
        </is>
      </c>
      <c r="M400" s="10" t="inlineStr"/>
      <c r="N400" s="10" t="inlineStr"/>
    </row>
    <row r="401">
      <c r="A401" s="5" t="n">
        <v>400</v>
      </c>
      <c r="B401" s="10" t="inlineStr">
        <is>
          <t>TC-HOME-04-01</t>
        </is>
      </c>
      <c r="C401" s="10" t="inlineStr">
        <is>
          <t>13-서비스정보</t>
        </is>
      </c>
      <c r="D401" s="10" t="inlineStr">
        <is>
          <t>HOME-04</t>
        </is>
      </c>
      <c r="E401" s="10" t="inlineStr">
        <is>
          <t>V-8</t>
        </is>
      </c>
      <c r="F401" s="5" t="inlineStr">
        <is>
          <t>기능</t>
        </is>
      </c>
      <c r="G401" s="5" t="inlineStr">
        <is>
          <t>미실행</t>
        </is>
      </c>
      <c r="H401" s="10" t="inlineStr">
        <is>
          <t>공지 3건 이상이 서로 다른 게시 일자로 등록된 상태</t>
        </is>
      </c>
      <c r="I401" s="10" t="inlineStr">
        <is>
          <t>1. `3-0` 마이페이지에서 「공지사항」을 누른다
2. 경유 화면 없이 바로 목록에 도달하는지 확인한다
3. 각 행의 구성 요소와 게시 일자 정렬 위치를 적는다
4. 행의 게시 일자를 위에서 아래로 적어 정렬 방향을 확인한다</t>
        </is>
      </c>
      <c r="J401" s="10" t="inlineStr">
        <is>
          <t>마이페이지에서 바로 공지 목록에 도달하고, 각 행이 공지 제목 + 게시 일자(우측 정렬) 2요소로 구성되며 최신순으로 정렬된다</t>
        </is>
      </c>
      <c r="K401" s="10" t="inlineStr"/>
      <c r="L401" s="10" t="inlineStr">
        <is>
          <t>UX 13-서비스정보 1.1·1.2·1.3 1번</t>
        </is>
      </c>
      <c r="M401" s="10" t="inlineStr"/>
      <c r="N401" s="10" t="inlineStr"/>
    </row>
    <row r="402">
      <c r="A402" s="5" t="n">
        <v>401</v>
      </c>
      <c r="B402" s="10" t="inlineStr">
        <is>
          <t>TC-HOME-04-02</t>
        </is>
      </c>
      <c r="C402" s="10" t="inlineStr">
        <is>
          <t>13-서비스정보</t>
        </is>
      </c>
      <c r="D402" s="10" t="inlineStr">
        <is>
          <t>HOME-04</t>
        </is>
      </c>
      <c r="E402" s="10" t="inlineStr">
        <is>
          <t>V-3</t>
        </is>
      </c>
      <c r="F402" s="5" t="inlineStr">
        <is>
          <t>기능</t>
        </is>
      </c>
      <c r="G402" s="5" t="inlineStr">
        <is>
          <t>미실행</t>
        </is>
      </c>
      <c r="H402" s="10" t="inlineStr">
        <is>
          <t>새 공지 1건과 기존 공지 2건이 함께 있는 목록</t>
        </is>
      </c>
      <c r="I402" s="10" t="inlineStr">
        <is>
          <t>1. 새 공지 행과 기존 공지 행의 표시 차이를 적는다
2. 그 차이가 색·아이콘 외에 텍스트로도 드러나는지 확인한다</t>
        </is>
      </c>
      <c r="J402" s="10" t="inlineStr">
        <is>
          <t>새 공지 구분이 색 단독·아이콘 단독이 아니라 텍스트를 병기해 전달된다</t>
        </is>
      </c>
      <c r="K402" s="10" t="inlineStr"/>
      <c r="L402" s="10" t="inlineStr">
        <is>
          <t>UX 13-서비스정보 1.3 2번 · PRD 2부-설계 V-3</t>
        </is>
      </c>
      <c r="M402" s="10" t="inlineStr">
        <is>
          <t>새 공지 표시 규칙(기간·기준)은 1.4절 미확정이라 「어떤 공지가 새 공지인가」는 이 TC의 판정 대상이 아니다</t>
        </is>
      </c>
      <c r="N402" s="10" t="inlineStr"/>
    </row>
    <row r="403">
      <c r="A403" s="5" t="n">
        <v>402</v>
      </c>
      <c r="B403" s="10" t="inlineStr">
        <is>
          <t>TC-HOME-04-03</t>
        </is>
      </c>
      <c r="C403" s="10" t="inlineStr">
        <is>
          <t>13-서비스정보</t>
        </is>
      </c>
      <c r="D403" s="10" t="inlineStr">
        <is>
          <t>HOME-04</t>
        </is>
      </c>
      <c r="E403" s="10" t="inlineStr">
        <is>
          <t>AC-05 · NFR-04</t>
        </is>
      </c>
      <c r="F403" s="5" t="inlineStr">
        <is>
          <t>접근성</t>
        </is>
      </c>
      <c r="G403" s="5" t="inlineStr">
        <is>
          <t>미실행</t>
        </is>
      </c>
      <c r="H403" s="10" t="inlineStr">
        <is>
          <t>TalkBack 켬 · 공지 3건 이상 표출</t>
        </is>
      </c>
      <c r="I403" s="10" t="inlineStr">
        <is>
          <t>1. 목록 첫 행에 포커스를 두고 낭독 문구를 적는다
2. 오른쪽 스와이프 1회로 다음 행에 도달하는지 확인한다</t>
        </is>
      </c>
      <c r="J403" s="10" t="inlineStr">
        <is>
          <t>제목과 일자가 한 항목으로 묶여 「(공지 제목), 26년 1월 3일」처럼 낭독되고, 스와이프 1회로 다음 공지로 넘어간다. 제목과 일자가 두 항목으로 쪼개져 스와이프가 두 배가 되지 않는다</t>
        </is>
      </c>
      <c r="K403" s="10" t="inlineStr"/>
      <c r="L403" s="10" t="inlineStr">
        <is>
          <t>UX 13-서비스정보 1.3 1번</t>
        </is>
      </c>
      <c r="M403" s="10" t="inlineStr"/>
      <c r="N403" s="10" t="inlineStr"/>
    </row>
    <row r="404">
      <c r="A404" s="5" t="n">
        <v>403</v>
      </c>
      <c r="B404" s="10" t="inlineStr">
        <is>
          <t>TC-HOME-04-04</t>
        </is>
      </c>
      <c r="C404" s="10" t="inlineStr">
        <is>
          <t>13-서비스정보</t>
        </is>
      </c>
      <c r="D404" s="10" t="inlineStr">
        <is>
          <t>HOME-04 · MY-05</t>
        </is>
      </c>
      <c r="E404" s="10" t="inlineStr">
        <is>
          <t>NFR-02 · S-1 · S-2</t>
        </is>
      </c>
      <c r="F404" s="5" t="inlineStr">
        <is>
          <t>접근성</t>
        </is>
      </c>
      <c r="G404" s="5" t="inlineStr">
        <is>
          <t>미실행</t>
        </is>
      </c>
      <c r="H404" s="10" t="inlineStr">
        <is>
          <t>시스템 글자 크기 기본 · 공지 목록과 약관 3행 리스트 표출</t>
        </is>
      </c>
      <c r="I404" s="10" t="inlineStr">
        <is>
          <t>1. 공지 행 1개의 터치 히트 영역 가로·세로를 잰다
2. 약관 리스트 행 1개도 같은 방식으로 잰다
3. 각 화면에서 인접 행 사이 간격을 잰다</t>
        </is>
      </c>
      <c r="J404" s="10" t="inlineStr">
        <is>
          <t>두 화면 모두 행 히트 영역이 44×44pt 이상이고 인접 행 간격이 8px 이상이다</t>
        </is>
      </c>
      <c r="K404" s="10" t="inlineStr"/>
      <c r="L404" s="10" t="inlineStr">
        <is>
          <t>UX 13-서비스정보 1.2·2.2 · PRD 1부-요건 NFR-02 · 2부-설계 S-1·S-2</t>
        </is>
      </c>
      <c r="M404" s="10" t="inlineStr"/>
      <c r="N404" s="10" t="inlineStr"/>
    </row>
    <row r="405">
      <c r="A405" s="5" t="n">
        <v>404</v>
      </c>
      <c r="B405" s="10" t="inlineStr">
        <is>
          <t>TC-HOME-04-05</t>
        </is>
      </c>
      <c r="C405" s="10" t="inlineStr">
        <is>
          <t>13-서비스정보</t>
        </is>
      </c>
      <c r="D405" s="10" t="inlineStr">
        <is>
          <t>HOME-04</t>
        </is>
      </c>
      <c r="E405" s="10" t="inlineStr">
        <is>
          <t>NFR-06</t>
        </is>
      </c>
      <c r="F405" s="5" t="inlineStr">
        <is>
          <t>비기능</t>
        </is>
      </c>
      <c r="G405" s="5" t="inlineStr">
        <is>
          <t>미실행</t>
        </is>
      </c>
      <c r="H405" s="10" t="inlineStr">
        <is>
          <t>새 공지가 포함된 목록을 30초 이상 표출한 상태</t>
        </is>
      </c>
      <c r="I405" s="10" t="inlineStr">
        <is>
          <t>1. 새 공지 표시 요소를 30초간 관찰하며 점멸 여부를 기록한다
2. 점멸이 있으면 초당 횟수를 측정한다</t>
        </is>
      </c>
      <c r="J405" s="10" t="inlineStr">
        <is>
          <t>새 공지 표시가 정적으로 유지되며, 점멸이 있더라도 초당 3~50회 구간에 들어가지 않는다</t>
        </is>
      </c>
      <c r="K405" s="10" t="inlineStr"/>
      <c r="L405" s="10" t="inlineStr">
        <is>
          <t>PRD 1부-요건 NFR-06 · UX 13-서비스정보 1.3 2번</t>
        </is>
      </c>
      <c r="M405" s="10" t="inlineStr"/>
      <c r="N405" s="10" t="inlineStr"/>
    </row>
    <row r="406">
      <c r="A406" s="5" t="n">
        <v>405</v>
      </c>
      <c r="B406" s="10" t="inlineStr">
        <is>
          <t>TC-HOME-04-06</t>
        </is>
      </c>
      <c r="C406" s="10" t="inlineStr">
        <is>
          <t>13-서비스정보</t>
        </is>
      </c>
      <c r="D406" s="10" t="inlineStr">
        <is>
          <t>HOME-04</t>
        </is>
      </c>
      <c r="E406" s="10" t="inlineStr">
        <is>
          <t>V-6</t>
        </is>
      </c>
      <c r="F406" s="5" t="inlineStr">
        <is>
          <t>기능</t>
        </is>
      </c>
      <c r="G406" s="12" t="inlineStr">
        <is>
          <t>보류</t>
        </is>
      </c>
      <c r="H406" s="10" t="inlineStr">
        <is>
          <t>공지 목록 표출</t>
        </is>
      </c>
      <c r="I406" s="10" t="inlineStr">
        <is>
          <t>1. 공지 항목 1건을 누른다
2. 이동한 화면 또는 표출된 변화를 적는다</t>
        </is>
      </c>
      <c r="J406" s="10" t="inlineStr">
        <is>
          <t>판정 불가 — 항목 선택 시 동작(공지 상세 화면 존부)이 정해져 있지 않다(1.4절 미확정). 확정 후 기대결과를 채운다</t>
        </is>
      </c>
      <c r="K406" s="10" t="inlineStr"/>
      <c r="L406" s="10" t="inlineStr">
        <is>
          <t>UX 13-서비스정보 1.1 이탈·1.3 1번·1.4절</t>
        </is>
      </c>
      <c r="M406" s="10" t="inlineStr"/>
      <c r="N406" s="10" t="inlineStr"/>
    </row>
    <row r="407">
      <c r="A407" s="5" t="n">
        <v>406</v>
      </c>
      <c r="B407" s="10" t="inlineStr">
        <is>
          <t>TC-HOME-04-07</t>
        </is>
      </c>
      <c r="C407" s="10" t="inlineStr">
        <is>
          <t>13-서비스정보</t>
        </is>
      </c>
      <c r="D407" s="10" t="inlineStr">
        <is>
          <t>HOME-04 · MY-06 · MY-07 · MY-08</t>
        </is>
      </c>
      <c r="E407" s="10" t="inlineStr">
        <is>
          <t>V-6</t>
        </is>
      </c>
      <c r="F407" s="5" t="inlineStr">
        <is>
          <t>기능</t>
        </is>
      </c>
      <c r="G407" s="12" t="inlineStr">
        <is>
          <t>보류</t>
        </is>
      </c>
      <c r="H407" s="10" t="inlineStr">
        <is>
          <t>공지 0건 상태와 네트워크 차단 상태를 각각 만든다</t>
        </is>
      </c>
      <c r="I407" s="10" t="inlineStr">
        <is>
          <t>1. 공지 0건 상태에서 공지사항에 진입해 표시된 문안을 적는다
2. 네트워크를 끊고 공지 목록을 조회해 표시된 문안을 적는다
3. 같은 조건에서 약관 전문을 열어 표시된 문안을 적는다</t>
        </is>
      </c>
      <c r="J407" s="10" t="inlineStr">
        <is>
          <t>판정 불가 — 공지 0건·공지 조회 실패 문안이 미확정이고(1.4절), 약관 로드 실패 문안도 같은 성격으로 함께 정하기로만 돼 있다(2.5절). 확정 후 기대결과를 채운다</t>
        </is>
      </c>
      <c r="K407" s="10" t="inlineStr"/>
      <c r="L407" s="10" t="inlineStr">
        <is>
          <t>UX 13-서비스정보 1.4절·2.5절</t>
        </is>
      </c>
      <c r="M407" s="10" t="inlineStr"/>
      <c r="N407" s="10" t="inlineStr"/>
    </row>
    <row r="408">
      <c r="A408" s="5" t="n">
        <v>407</v>
      </c>
      <c r="B408" s="10" t="inlineStr">
        <is>
          <t>TC-MY-05-01</t>
        </is>
      </c>
      <c r="C408" s="10" t="inlineStr">
        <is>
          <t>13-서비스정보</t>
        </is>
      </c>
      <c r="D408" s="10" t="inlineStr">
        <is>
          <t>MY-05</t>
        </is>
      </c>
      <c r="E408" s="10" t="inlineStr">
        <is>
          <t>V-14</t>
        </is>
      </c>
      <c r="F408" s="5" t="inlineStr">
        <is>
          <t>기능</t>
        </is>
      </c>
      <c r="G408" s="5" t="inlineStr">
        <is>
          <t>미실행</t>
        </is>
      </c>
      <c r="H408" s="10" t="inlineStr">
        <is>
          <t>회원 로그인 · `3-0` 마이페이지</t>
        </is>
      </c>
      <c r="I408" s="10" t="inlineStr">
        <is>
          <t>1. 마이페이지에서 「이용약관 및 정책」을 누른다
2. 리스트 행 수와 각 행의 문자열을 위에서부터 적는다</t>
        </is>
      </c>
      <c r="J408" s="10" t="inlineStr">
        <is>
          <t>1열 3행 리스트로 「서비스 이용 약관」 · 「위치기반 서비스 이용약관」 · 「개인정보 처리방침」이 이 순서로 표시된다</t>
        </is>
      </c>
      <c r="K408" s="10" t="inlineStr"/>
      <c r="L408" s="10" t="inlineStr">
        <is>
          <t>UX 13-서비스정보 2.1·2.2·2.3 1번 · PRD 2부-설계 V-14</t>
        </is>
      </c>
      <c r="M408" s="10" t="inlineStr"/>
      <c r="N408" s="10" t="inlineStr"/>
    </row>
    <row r="409">
      <c r="A409" s="5" t="n">
        <v>408</v>
      </c>
      <c r="B409" s="10" t="inlineStr">
        <is>
          <t>TC-MY-05-02</t>
        </is>
      </c>
      <c r="C409" s="10" t="inlineStr">
        <is>
          <t>13-서비스정보</t>
        </is>
      </c>
      <c r="D409" s="10" t="inlineStr">
        <is>
          <t>MY-05</t>
        </is>
      </c>
      <c r="E409" s="10" t="inlineStr">
        <is>
          <t>V-14</t>
        </is>
      </c>
      <c r="F409" s="5" t="inlineStr">
        <is>
          <t>기능</t>
        </is>
      </c>
      <c r="G409" s="5" t="inlineStr">
        <is>
          <t>미실행</t>
        </is>
      </c>
      <c r="H409" s="10" t="inlineStr">
        <is>
          <t>약관 3종에 모두 동의하고 가입을 완료한 회원 계정</t>
        </is>
      </c>
      <c r="I409" s="10" t="inlineStr">
        <is>
          <t>1. `3-5`에 진입한다
2. 화면에서 동의 체크박스·동의 상태 표시·동의 철회 버튼을 찾는다</t>
        </is>
      </c>
      <c r="J409" s="10" t="inlineStr">
        <is>
          <t>셋 중 어느 것도 없다. 항목을 선택하면 전문으로만 이동하며, 가입 시 받은 동의를 이 화면에서 되돌리는 경로가 없다</t>
        </is>
      </c>
      <c r="K409" s="10" t="inlineStr"/>
      <c r="L409" s="10" t="inlineStr">
        <is>
          <t>UX 13-서비스정보 2.3 1번·2.4절 · PRD 2부-설계 V-14</t>
        </is>
      </c>
      <c r="M409" s="10" t="inlineStr">
        <is>
          <t>열람 전용이 요건이며 판단 대상이 아니다</t>
        </is>
      </c>
      <c r="N409" s="10" t="inlineStr"/>
    </row>
    <row r="410">
      <c r="A410" s="5" t="n">
        <v>409</v>
      </c>
      <c r="B410" s="10" t="inlineStr">
        <is>
          <t>TC-MY-05-03</t>
        </is>
      </c>
      <c r="C410" s="10" t="inlineStr">
        <is>
          <t>13-서비스정보</t>
        </is>
      </c>
      <c r="D410" s="10" t="inlineStr">
        <is>
          <t>MY-05</t>
        </is>
      </c>
      <c r="E410" s="10" t="inlineStr">
        <is>
          <t>V-14</t>
        </is>
      </c>
      <c r="F410" s="5" t="inlineStr">
        <is>
          <t>기능</t>
        </is>
      </c>
      <c r="G410" s="5" t="inlineStr">
        <is>
          <t>미실행</t>
        </is>
      </c>
      <c r="H410" s="10" t="inlineStr">
        <is>
          <t>비회원으로 시작한 상태</t>
        </is>
      </c>
      <c r="I410" s="10" t="inlineStr">
        <is>
          <t>1. 비회원 상태에서 「이용약관 및 정책」에 도달하는 경로를 적는다
2. 리스트 행 수와 문자열을 회원 계정 결과와 대조한다
3. 동의 상태 표시(동의함·동의하지 않음 등)가 있는지 확인한다</t>
        </is>
      </c>
      <c r="J410" s="10" t="inlineStr">
        <is>
          <t>비회원도 회원과 같은 경로·같은 레이아웃으로 3행 전부를 열람한다. 별도 화면·별도 배치를 만들지 않고, 동의 상태를 노출하지 않는다</t>
        </is>
      </c>
      <c r="K410" s="10" t="inlineStr"/>
      <c r="L410" s="10" t="inlineStr">
        <is>
          <t>UX 13-서비스정보 2.1 진입·2.3 2번 · PRD 2부-설계 V-14</t>
        </is>
      </c>
      <c r="M410" s="10" t="inlineStr">
        <is>
          <t>동의를 받지 않는 것과 문서를 감추는 것은 다르다</t>
        </is>
      </c>
      <c r="N410" s="10" t="inlineStr"/>
    </row>
    <row r="411">
      <c r="A411" s="5" t="n">
        <v>410</v>
      </c>
      <c r="B411" s="10" t="inlineStr">
        <is>
          <t>TC-MY-05-04</t>
        </is>
      </c>
      <c r="C411" s="10" t="inlineStr">
        <is>
          <t>13-서비스정보</t>
        </is>
      </c>
      <c r="D411" s="10" t="inlineStr">
        <is>
          <t>MY-05 · AUTH-03</t>
        </is>
      </c>
      <c r="E411" s="10" t="inlineStr">
        <is>
          <t>V-14</t>
        </is>
      </c>
      <c r="F411" s="5" t="inlineStr">
        <is>
          <t>시나리오</t>
        </is>
      </c>
      <c r="G411" s="5" t="inlineStr">
        <is>
          <t>미실행</t>
        </is>
      </c>
      <c r="H411" s="10" t="inlineStr">
        <is>
          <t>신규 가입을 진행할 계정</t>
        </is>
      </c>
      <c r="I411" s="10" t="inlineStr">
        <is>
          <t>1. 회원가입 STEP 3 약관 동의 화면에서 체크박스 개수와 미동의 시 가입 버튼 상태를 적는다
2. 3종 전부 동의해 가입을 완료한다
3. `3-0` 마이페이지에서 `3-5`로 이동해 같은 3종의 표출 형태를 적는다</t>
        </is>
      </c>
      <c r="J411" s="10" t="inlineStr">
        <is>
          <t>동의를 받는 자리는 회원가입 STEP 3 하나이고 그곳에서만 개별 체크박스 3종과 미동의 시 가입 불가가 성립한다. `3-5`는 같은 문서를 열람만 하며 동의 액션이 없다</t>
        </is>
      </c>
      <c r="K411" s="10" t="inlineStr"/>
      <c r="L411" s="10" t="inlineStr">
        <is>
          <t>UX 13-서비스정보 2.4절 · PRD 2부-설계 V-14</t>
        </is>
      </c>
      <c r="M411" s="10" t="inlineStr"/>
      <c r="N411" s="10" t="inlineStr"/>
    </row>
    <row r="412">
      <c r="A412" s="5" t="n">
        <v>411</v>
      </c>
      <c r="B412" s="10" t="inlineStr">
        <is>
          <t>TC-MY-05-05</t>
        </is>
      </c>
      <c r="C412" s="10" t="inlineStr">
        <is>
          <t>13-서비스정보</t>
        </is>
      </c>
      <c r="D412" s="10" t="inlineStr">
        <is>
          <t>MY-05 · AUTH-03</t>
        </is>
      </c>
      <c r="E412" s="10" t="inlineStr">
        <is>
          <t>V-14</t>
        </is>
      </c>
      <c r="F412" s="5" t="inlineStr">
        <is>
          <t>기능</t>
        </is>
      </c>
      <c r="G412" s="12" t="inlineStr">
        <is>
          <t>보류</t>
        </is>
      </c>
      <c r="H412" s="10" t="inlineStr">
        <is>
          <t>회원가입 STEP 3 약관 동의 화면</t>
        </is>
      </c>
      <c r="I412" s="10" t="inlineStr">
        <is>
          <t>1. 약관 항목의 [보기]를 누른다
2. 이동한 곳(외부 웹 브라우저 / 앱 내 화면)과 돌아오는 경로를 적는다</t>
        </is>
      </c>
      <c r="J412" s="10" t="inlineStr">
        <is>
          <t>판정 불가 — 회원가입·비회원 시작의 약관 [보기] 이탈처가 외부 웹인지 앱 내 화면(`MY-06`~`MY-08`)인지 정해져 있지 않다(2.5절). 확정 후 기대결과를 채운다</t>
        </is>
      </c>
      <c r="K412" s="10" t="inlineStr"/>
      <c r="L412" s="10" t="inlineStr">
        <is>
          <t>UX 13-서비스정보 2.1 진입·2.5절</t>
        </is>
      </c>
      <c r="M412" s="10" t="inlineStr"/>
      <c r="N412" s="10" t="inlineStr"/>
    </row>
    <row r="413">
      <c r="A413" s="5" t="n">
        <v>412</v>
      </c>
      <c r="B413" s="10" t="inlineStr">
        <is>
          <t>TC-MY-05-06</t>
        </is>
      </c>
      <c r="C413" s="10" t="inlineStr">
        <is>
          <t>13-서비스정보</t>
        </is>
      </c>
      <c r="D413" s="10" t="inlineStr">
        <is>
          <t>HOME-04 · MY-05</t>
        </is>
      </c>
      <c r="E413" s="10" t="inlineStr">
        <is>
          <t>V-8</t>
        </is>
      </c>
      <c r="F413" s="5" t="inlineStr">
        <is>
          <t>기능</t>
        </is>
      </c>
      <c r="G413" s="5" t="inlineStr">
        <is>
          <t>미실행</t>
        </is>
      </c>
      <c r="H413" s="10" t="inlineStr">
        <is>
          <t>기존 앱에 공지사항·이용약관 화면이 있었다는 사실을 확인한 상태</t>
        </is>
      </c>
      <c r="I413" s="10" t="inlineStr">
        <is>
          <t>1. 고도화 앱 `3-0` 마이페이지의 항목 목록을 적는다
2. 「공지사항」·「이용약관 및 정책」 진입점이 있는지 확인한다
3. 두 화면의 구성 요소를 기존 앱 사양과 대조한다</t>
        </is>
      </c>
      <c r="J413" s="10" t="inlineStr">
        <is>
          <t>두 화면이 모두 제공되고 사양이 유지된다. 명시적 제거 결정이 없는 한 RFP·PRD에 근거가 없다는 이유만으로 빠지지 않는다</t>
        </is>
      </c>
      <c r="K413" s="10" t="inlineStr"/>
      <c r="L413" s="10" t="inlineStr">
        <is>
          <t>PRD 1부-요건 1.7 AS-IS 승계 원칙 · 2부-설계 V-8 · UX 13-서비스정보 1절·2절</t>
        </is>
      </c>
      <c r="M413" s="10" t="inlineStr"/>
      <c r="N413" s="10" t="inlineStr"/>
    </row>
    <row r="414">
      <c r="A414" s="5" t="n">
        <v>413</v>
      </c>
      <c r="B414" s="10" t="inlineStr">
        <is>
          <t>TC-MY-06-01</t>
        </is>
      </c>
      <c r="C414" s="10" t="inlineStr">
        <is>
          <t>13-서비스정보</t>
        </is>
      </c>
      <c r="D414" s="10" t="inlineStr">
        <is>
          <t>MY-06 · MY-07 · MY-08</t>
        </is>
      </c>
      <c r="E414" s="10" t="inlineStr">
        <is>
          <t>V-1 · V-14 · NFR-05 · AC-05</t>
        </is>
      </c>
      <c r="F414" s="5" t="inlineStr">
        <is>
          <t>접근성</t>
        </is>
      </c>
      <c r="G414" s="5" t="inlineStr">
        <is>
          <t>미실행</t>
        </is>
      </c>
      <c r="H414" s="10" t="inlineStr">
        <is>
          <t>TalkBack 켬 · 약관 3종 전문을 차례로 연다</t>
        </is>
      </c>
      <c r="I414" s="10" t="inlineStr">
        <is>
          <t>1. 각 전문 화면에서 처음부터 끝까지 스와이프로 이동하며 낭독을 듣는다
2. 낭독되지 않고 지나가는 영역이 있는지 적는다
3. 본문이 이미지 또는 PDF로 임베드돼 있는지 확인한다</t>
        </is>
      </c>
      <c r="J414" s="10" t="inlineStr">
        <is>
          <t>3화면 모두 전문 전체가 낭독된다. 이미지·PDF 임베드로 두어 낭독 불가한 구간이 생기지 않는다</t>
        </is>
      </c>
      <c r="K414" s="10" t="inlineStr"/>
      <c r="L414" s="10" t="inlineStr">
        <is>
          <t>UX 13-서비스정보 2.3 2번</t>
        </is>
      </c>
      <c r="M414" s="10" t="inlineStr">
        <is>
          <t>3화면 공통 레이아웃이라 한 TC로 묶는다</t>
        </is>
      </c>
      <c r="N414" s="10" t="inlineStr"/>
    </row>
    <row r="415">
      <c r="A415" s="5" t="n">
        <v>414</v>
      </c>
      <c r="B415" s="10" t="inlineStr">
        <is>
          <t>TC-MY-06-02</t>
        </is>
      </c>
      <c r="C415" s="10" t="inlineStr">
        <is>
          <t>13-서비스정보</t>
        </is>
      </c>
      <c r="D415" s="10" t="inlineStr">
        <is>
          <t>MY-06 · MY-07 · MY-08</t>
        </is>
      </c>
      <c r="E415" s="10" t="inlineStr">
        <is>
          <t>NFR-03 · T-1 · T-2</t>
        </is>
      </c>
      <c r="F415" s="5" t="inlineStr">
        <is>
          <t>접근성</t>
        </is>
      </c>
      <c r="G415" s="5" t="inlineStr">
        <is>
          <t>미실행</t>
        </is>
      </c>
      <c r="H415" s="10" t="inlineStr">
        <is>
          <t>시스템 글자 크기 기본 · 약관 전문 표출</t>
        </is>
      </c>
      <c r="I415" s="10" t="inlineStr">
        <is>
          <t>1. 본문 문단의 글자 크기를 잰다
2. 문단 안 줄간격을 잰다
3. 본문에 바인딩된 굵기를 확인한다</t>
        </is>
      </c>
      <c r="J415" s="10" t="inlineStr">
        <is>
          <t>본문이 16px 이상이고 줄간격 150% 이상이며 Regular가 바인딩되지 않았다(하한 Medium). 값은 정본 토큰 값과 일치한다</t>
        </is>
      </c>
      <c r="K415" s="10" t="inlineStr"/>
      <c r="L415" s="10" t="inlineStr">
        <is>
          <t>UX 13-서비스정보 2.3 2번 · PRD 1부-요건 NFR-03 · 2부-설계 T-1·T-2</t>
        </is>
      </c>
      <c r="M415" s="10" t="inlineStr">
        <is>
          <t>약관은 이 앱에서 가장 긴 본문 화면이라 이 요건의 대표 검증처다</t>
        </is>
      </c>
      <c r="N415" s="10" t="inlineStr"/>
    </row>
    <row r="416">
      <c r="A416" s="5" t="n">
        <v>415</v>
      </c>
      <c r="B416" s="10" t="inlineStr">
        <is>
          <t>TC-MY-06-03</t>
        </is>
      </c>
      <c r="C416" s="10" t="inlineStr">
        <is>
          <t>13-서비스정보</t>
        </is>
      </c>
      <c r="D416" s="10" t="inlineStr">
        <is>
          <t>MY-06 · MY-07 · MY-08</t>
        </is>
      </c>
      <c r="E416" s="10" t="inlineStr">
        <is>
          <t>AC-06 · T-4 · S-4</t>
        </is>
      </c>
      <c r="F416" s="5" t="inlineStr">
        <is>
          <t>접근성</t>
        </is>
      </c>
      <c r="G416" s="5" t="inlineStr">
        <is>
          <t>미실행</t>
        </is>
      </c>
      <c r="H416" s="10" t="inlineStr">
        <is>
          <t>시스템 글자 크기 200% · 약관 전문 표출</t>
        </is>
      </c>
      <c r="I416" s="10" t="inlineStr">
        <is>
          <t>1. 글자 크기를 200%로 올린 뒤 전문을 끝까지 스크롤한다
2. 본문이 잘리거나 겹치는 구간이 있는지 적는다
3. 제목과 본문을 가르는 수단이 간격뿐인지, 제목 단계(크기·굵기 위계)로도 드러나는지 확인한다</t>
        </is>
      </c>
      <c r="J416" s="10" t="inlineStr">
        <is>
          <t>200%에서 레이아웃이 깨지지 않고 가로 잘림 없이 전문을 읽을 수 있다. 절 위계가 간격 단독이 아니라 제목 단계로 함께 드러난다</t>
        </is>
      </c>
      <c r="K416" s="10" t="inlineStr"/>
      <c r="L416" s="10" t="inlineStr">
        <is>
          <t>UX 13-서비스정보 2.3 2번 · PRD 1부-요건 AC-06 · 2부-설계 T-4·S-4</t>
        </is>
      </c>
      <c r="M416" s="10" t="inlineStr">
        <is>
          <t>200%에서 간격은 고정이고 글자만 커지므로 간격으로만 만든 덩이가 먼저 뭉개진다</t>
        </is>
      </c>
      <c r="N416" s="10" t="inlineStr"/>
    </row>
    <row r="417">
      <c r="A417" s="5" t="n">
        <v>416</v>
      </c>
      <c r="B417" s="10" t="inlineStr">
        <is>
          <t>TC-MY-06-04</t>
        </is>
      </c>
      <c r="C417" s="10" t="inlineStr">
        <is>
          <t>13-서비스정보</t>
        </is>
      </c>
      <c r="D417" s="10" t="inlineStr">
        <is>
          <t>MY-06 · MY-07 · MY-08</t>
        </is>
      </c>
      <c r="E417" s="10" t="inlineStr">
        <is>
          <t>NFR-04 · AC-05</t>
        </is>
      </c>
      <c r="F417" s="5" t="inlineStr">
        <is>
          <t>접근성</t>
        </is>
      </c>
      <c r="G417" s="5" t="inlineStr">
        <is>
          <t>미실행</t>
        </is>
      </c>
      <c r="H417" s="10" t="inlineStr">
        <is>
          <t>TalkBack 켬 · 약관 전문 표출</t>
        </is>
      </c>
      <c r="I417" s="10" t="inlineStr">
        <is>
          <t>1. 화면 진입 직후 포커스 위치를 적는다
2. 스와이프로 이동하며 제목과 본문의 낭독 순서를 적는다
3. 반복 영역 건너뛰기(스킵) 수단이 있는지 찾아 사용해 본다</t>
        </is>
      </c>
      <c r="J417" s="10" t="inlineStr">
        <is>
          <t>제목 → 본문 순으로 논리적 포커스가 이동하고, 긴 문서를 위한 건너뛰기 수단이 제공되어 본문 전체를 한 항목씩 지나지 않고도 목표 절에 도달할 수 있다</t>
        </is>
      </c>
      <c r="K417" s="10" t="inlineStr"/>
      <c r="L417" s="10" t="inlineStr">
        <is>
          <t>UX 13-서비스정보 2.3 2번 · PRD 1부-요건 NFR-04</t>
        </is>
      </c>
      <c r="M417" s="10" t="inlineStr"/>
      <c r="N417" s="10" t="inlineStr"/>
    </row>
    <row r="418">
      <c r="A418" s="5" t="n">
        <v>417</v>
      </c>
      <c r="B418" s="10" t="inlineStr">
        <is>
          <t>TC-MY-06-05</t>
        </is>
      </c>
      <c r="C418" s="10" t="inlineStr">
        <is>
          <t>13-서비스정보</t>
        </is>
      </c>
      <c r="D418" s="10" t="inlineStr">
        <is>
          <t>MY-06 · MY-07 · MY-08</t>
        </is>
      </c>
      <c r="E418" s="10" t="inlineStr">
        <is>
          <t>V-14</t>
        </is>
      </c>
      <c r="F418" s="5" t="inlineStr">
        <is>
          <t>기능</t>
        </is>
      </c>
      <c r="G418" s="5" t="inlineStr">
        <is>
          <t>미실행</t>
        </is>
      </c>
      <c r="H418" s="10" t="inlineStr">
        <is>
          <t>서버가 contentFormat MARKDOWN으로 내려주는 약관 본문 · 원문에 큰 글씨 강조가 포함된 절이 있는 상태</t>
        </is>
      </c>
      <c r="I418" s="10" t="inlineStr">
        <is>
          <t>1. 약관 전문에서 원문의 큰 글씨 강조 구간이 어떻게 표현됐는지 적는다
2. 그 구간의 글자 크기가 앱 타이포 토큰 값과 일치하는지 확인한다</t>
        </is>
      </c>
      <c r="J418" s="10" t="inlineStr">
        <is>
          <t>마크다운으로 렌더되고, 원문의 큰 글씨가 임의의 시각 크기로 재현되지 않고 제목 단계로 옮겨진다. 크기는 앱 타이포 토큰이 정한 값과 일치한다</t>
        </is>
      </c>
      <c r="K418" s="10" t="inlineStr"/>
      <c r="L418" s="10" t="inlineStr">
        <is>
          <t>UX 13-서비스정보 2.3 2번</t>
        </is>
      </c>
      <c r="M418" s="10" t="inlineStr">
        <is>
          <t>약관 원문의 표 포함 여부는 2.5절 미확정이라 이 TC의 판정 대상이 아니다</t>
        </is>
      </c>
      <c r="N418" s="10" t="inlineStr"/>
    </row>
    <row r="419">
      <c r="A419" s="5" t="n">
        <v>418</v>
      </c>
      <c r="B419" s="10" t="inlineStr">
        <is>
          <t>TC-MY-06-06</t>
        </is>
      </c>
      <c r="C419" s="10" t="inlineStr">
        <is>
          <t>13-서비스정보</t>
        </is>
      </c>
      <c r="D419" s="10" t="inlineStr">
        <is>
          <t>HOME-04 · MY-06 · MY-07 · MY-08</t>
        </is>
      </c>
      <c r="E419" s="10" t="inlineStr">
        <is>
          <t>NFR-07</t>
        </is>
      </c>
      <c r="F419" s="5" t="inlineStr">
        <is>
          <t>비기능</t>
        </is>
      </c>
      <c r="G419" s="5" t="inlineStr">
        <is>
          <t>미실행</t>
        </is>
      </c>
      <c r="H419" s="10" t="inlineStr">
        <is>
          <t>공지 목록과 약관 전문을 각각 연다</t>
        </is>
      </c>
      <c r="I419" s="10" t="inlineStr">
        <is>
          <t>1. 각 화면 진입 후 사용자 조작 없이 60초 대기한다
2. 자동으로 재생·자동 스크롤·자동 전환되는 요소가 있는지 기록한다</t>
        </is>
      </c>
      <c r="J419" s="10" t="inlineStr">
        <is>
          <t>사용자 동의 없이 자동 재생되는 요소가 없고, 본문이 사용자 조작 없이 스크롤되거나 화면이 자동 전환되지 않는다</t>
        </is>
      </c>
      <c r="K419" s="10" t="inlineStr"/>
      <c r="L419" s="10" t="inlineStr">
        <is>
          <t>PRD 1부-요건 NFR-07 · UX 13-서비스정보 1.2·2.3 2번</t>
        </is>
      </c>
      <c r="M419" s="10" t="inlineStr"/>
      <c r="N419" s="10" t="inlineStr"/>
    </row>
    <row r="420">
      <c r="A420" s="5" t="n">
        <v>419</v>
      </c>
      <c r="B420" s="10" t="inlineStr">
        <is>
          <t>TC-MY-06-07</t>
        </is>
      </c>
      <c r="C420" s="10" t="inlineStr">
        <is>
          <t>13-서비스정보</t>
        </is>
      </c>
      <c r="D420" s="10" t="inlineStr">
        <is>
          <t>MY-05 · MY-06 · MY-07 · MY-08</t>
        </is>
      </c>
      <c r="E420" s="10" t="inlineStr">
        <is>
          <t>V-14</t>
        </is>
      </c>
      <c r="F420" s="5" t="inlineStr">
        <is>
          <t>기능</t>
        </is>
      </c>
      <c r="G420" s="12" t="inlineStr">
        <is>
          <t>보류</t>
        </is>
      </c>
      <c r="H420" s="10" t="inlineStr">
        <is>
          <t>서버가 약관 버전과 시행일을 함께 내려주는 상태</t>
        </is>
      </c>
      <c r="I420" s="10" t="inlineStr">
        <is>
          <t>1. 약관 리스트와 전문 화면에서 버전·시행일 표기를 찾는다
2. 표기 위치와 형식을 적는다</t>
        </is>
      </c>
      <c r="J420" s="10" t="inlineStr">
        <is>
          <t>판정 불가 — 서버가 버전·시행일을 내려주는데 화면 표기 규칙이 정해져 있지 않다(2.5절 · 규격상 해당 필드가 nullable인 이유). 확정 후 기대결과를 채운다</t>
        </is>
      </c>
      <c r="K420" s="10" t="inlineStr"/>
      <c r="L420" s="10" t="inlineStr">
        <is>
          <t>UX 13-서비스정보 2.5절</t>
        </is>
      </c>
      <c r="M420" s="10" t="inlineStr"/>
      <c r="N420" s="10" t="inlineStr"/>
    </row>
    <row r="421">
      <c r="A421" s="5" t="n">
        <v>420</v>
      </c>
      <c r="B421" s="10" t="inlineStr">
        <is>
          <t>TC-2-7-01</t>
        </is>
      </c>
      <c r="C421" s="10" t="inlineStr">
        <is>
          <t>14-음성모드-진입</t>
        </is>
      </c>
      <c r="D421" s="10" t="inlineStr">
        <is>
          <t>2-7</t>
        </is>
      </c>
      <c r="E421" s="10" t="inlineStr">
        <is>
          <t>FR-A4</t>
        </is>
      </c>
      <c r="F421" s="5" t="inlineStr">
        <is>
          <t>기능</t>
        </is>
      </c>
      <c r="G421" s="5" t="inlineStr">
        <is>
          <t>미실행</t>
        </is>
      </c>
      <c r="H421" s="10" t="inlineStr">
        <is>
          <t>전맹(S2) 유형으로 온보딩 완료 · `2-0` 길안내 전맹 화면 진입</t>
        </is>
      </c>
      <c r="I421" s="10" t="inlineStr">
        <is>
          <t>1. `2-0` 길안내 전맹 화면의 바텀시트를 펼친다
2. 바텀시트 최상단 항목을 선택한다
3. 이동한 화면을 확인한다</t>
        </is>
      </c>
      <c r="J421" s="10" t="inlineStr">
        <is>
          <t>바텀시트 최상단 [음성인식 시작하기]를 선택하면 음성인식 튜토리얼로 진입한다. 길안내 밖의 다른 화면에는 음성인식 진입점이 없다</t>
        </is>
      </c>
      <c r="K421" s="10" t="inlineStr"/>
      <c r="L421" s="10" t="inlineStr">
        <is>
          <t>UX 14 2.1 진입/이탈 · 14 머리말</t>
        </is>
      </c>
      <c r="M421" s="10" t="inlineStr">
        <is>
          <t>화면 ID 미부여 — 부여 시 TC-ID 이관 대상. 진입점은 이 1곳뿐이다(`1-7`은 결번)</t>
        </is>
      </c>
      <c r="N421" s="10" t="inlineStr"/>
    </row>
    <row r="422">
      <c r="A422" s="5" t="n">
        <v>421</v>
      </c>
      <c r="B422" s="10" t="inlineStr">
        <is>
          <t>TC-2-7-02</t>
        </is>
      </c>
      <c r="C422" s="10" t="inlineStr">
        <is>
          <t>14-음성모드-진입</t>
        </is>
      </c>
      <c r="D422" s="10" t="inlineStr">
        <is>
          <t>2-7</t>
        </is>
      </c>
      <c r="E422" s="10" t="inlineStr">
        <is>
          <t>FR-A4 · AC-05 · V-1</t>
        </is>
      </c>
      <c r="F422" s="5" t="inlineStr">
        <is>
          <t>접근성</t>
        </is>
      </c>
      <c r="G422" s="5" t="inlineStr">
        <is>
          <t>미실행</t>
        </is>
      </c>
      <c r="H422" s="10" t="inlineStr">
        <is>
          <t>음성인식을 처음 켜는 계정 · TalkBack 켬</t>
        </is>
      </c>
      <c r="I422" s="10" t="inlineStr">
        <is>
          <t>1. [음성인식 시작하기]로 튜토리얼에 진입한다
2. 화면을 조작하지 않고 낭독을 듣는다</t>
        </is>
      </c>
      <c r="J422" s="10" t="inlineStr">
        <is>
          <t>사용자가 버튼을 찾아 누르지 않아도 「이렇게 사용해요 / 1. 화면을 길게 누릅니다 / 2. 하고 싶은 말을 합니다 / 3. 손을 떼면 인식이 끝납니다」 3단계 문구가 자동 낭독된다</t>
        </is>
      </c>
      <c r="K422" s="10" t="inlineStr"/>
      <c r="L422" s="10" t="inlineStr">
        <is>
          <t>UX 14 2.2 요소 1·1-1 · 2.3 낭독 순서 ①</t>
        </is>
      </c>
      <c r="M422" s="10" t="inlineStr">
        <is>
          <t>화면 ID 미부여 — 부여 시 TC-ID 이관 대상. 조작 방법을 모르는 상태라 자동 낭독이 요건이다</t>
        </is>
      </c>
      <c r="N422" s="10" t="inlineStr"/>
    </row>
    <row r="423">
      <c r="A423" s="5" t="n">
        <v>422</v>
      </c>
      <c r="B423" s="10" t="inlineStr">
        <is>
          <t>TC-2-7-03</t>
        </is>
      </c>
      <c r="C423" s="10" t="inlineStr">
        <is>
          <t>14-음성모드-진입</t>
        </is>
      </c>
      <c r="D423" s="10" t="inlineStr">
        <is>
          <t>2-7</t>
        </is>
      </c>
      <c r="E423" s="10" t="inlineStr">
        <is>
          <t>FR-A4</t>
        </is>
      </c>
      <c r="F423" s="5" t="inlineStr">
        <is>
          <t>기능</t>
        </is>
      </c>
      <c r="G423" s="5" t="inlineStr">
        <is>
          <t>미실행</t>
        </is>
      </c>
      <c r="H423" s="10" t="inlineStr">
        <is>
          <t>마이크 권한 ON · 튜토리얼 낭독 종료</t>
        </is>
      </c>
      <c r="I423" s="10" t="inlineStr">
        <is>
          <t>1. [알겠어요]를 선택한다
2. 이동한 화면을 확인한다</t>
        </is>
      </c>
      <c r="J423" s="10" t="inlineStr">
        <is>
          <t>튜토리얼이 종료되고 `S2-2` 음성인식·챗봇 페이지로 진입한다. 권한 요청 팝업이 다시 뜨지 않는다</t>
        </is>
      </c>
      <c r="K423" s="10" t="inlineStr"/>
      <c r="L423" s="10" t="inlineStr">
        <is>
          <t>UX 14 2.2 요소 1-2 · 2.1 이탈(권한 ON)</t>
        </is>
      </c>
      <c r="M423" s="10" t="inlineStr">
        <is>
          <t>화면 ID 미부여 — 부여 시 TC-ID 이관 대상</t>
        </is>
      </c>
      <c r="N423" s="10" t="inlineStr"/>
    </row>
    <row r="424">
      <c r="A424" s="5" t="n">
        <v>423</v>
      </c>
      <c r="B424" s="10" t="inlineStr">
        <is>
          <t>TC-2-7-04</t>
        </is>
      </c>
      <c r="C424" s="10" t="inlineStr">
        <is>
          <t>14-음성모드-진입</t>
        </is>
      </c>
      <c r="D424" s="10" t="inlineStr">
        <is>
          <t>2-7</t>
        </is>
      </c>
      <c r="E424" s="10" t="inlineStr">
        <is>
          <t>V-6 · V-9</t>
        </is>
      </c>
      <c r="F424" s="5" t="inlineStr">
        <is>
          <t>접근성</t>
        </is>
      </c>
      <c r="G424" s="5" t="inlineStr">
        <is>
          <t>미실행</t>
        </is>
      </c>
      <c r="H424" s="10" t="inlineStr">
        <is>
          <t>마이크 권한 OFF · 튜토리얼 낭독 종료 · TalkBack 켬</t>
        </is>
      </c>
      <c r="I424" s="10" t="inlineStr">
        <is>
          <t>1. [알겠어요]를 선택한다
2. 낭독되는 안내 문구를 받아 적는다</t>
        </is>
      </c>
      <c r="J424" s="10" t="inlineStr">
        <is>
          <t>「마이크 권한이 없어 음성으로 말할 수 없어요. 직접 입력하거나, 설정에서 마이크를 켜 주세요.」가 aria-live로 낭독된다. 대체 경로(직접 입력)가 설정 이동보다 먼저 문안에 나온다</t>
        </is>
      </c>
      <c r="K424" s="10" t="inlineStr"/>
      <c r="L424" s="10" t="inlineStr">
        <is>
          <t>UX 14 2.2 요소 2 · 2.4 예외(마이크 권한 OFF)</t>
        </is>
      </c>
      <c r="M424" s="10" t="inlineStr">
        <is>
          <t>화면 ID 미부여 — 부여 시 TC-ID 이관 대상. 오류를 Toast로 알리지 않는다(Toast는 성공 완료 한정 · Design DD-025) · 영문 문안 금지</t>
        </is>
      </c>
      <c r="N424" s="10" t="inlineStr"/>
    </row>
    <row r="425">
      <c r="A425" s="5" t="n">
        <v>424</v>
      </c>
      <c r="B425" s="10" t="inlineStr">
        <is>
          <t>TC-2-7-05</t>
        </is>
      </c>
      <c r="C425" s="10" t="inlineStr">
        <is>
          <t>14-음성모드-진입</t>
        </is>
      </c>
      <c r="D425" s="10" t="inlineStr">
        <is>
          <t>2-7</t>
        </is>
      </c>
      <c r="E425" s="10" t="inlineStr">
        <is>
          <t>V-9 · NFR-04</t>
        </is>
      </c>
      <c r="F425" s="5" t="inlineStr">
        <is>
          <t>접근성</t>
        </is>
      </c>
      <c r="G425" s="5" t="inlineStr">
        <is>
          <t>미실행</t>
        </is>
      </c>
      <c r="H425" s="10" t="inlineStr">
        <is>
          <t>마이크 권한 OFF · 권한 안내 문구 낭독 직후 · TalkBack 켬</t>
        </is>
      </c>
      <c r="I425" s="10" t="inlineStr">
        <is>
          <t>1. 안내 낭독이 끝날 때까지 기다린다
2. 현재 초점이 있는 요소를 확인한다</t>
        </is>
      </c>
      <c r="J425" s="10" t="inlineStr">
        <is>
          <t>텍스트 입력창이 노출돼 있고 초점이 그 입력창으로 옮겨져 있다. 대체 경로가 추가 탐색 없이 한 번의 조작 거리에 있다</t>
        </is>
      </c>
      <c r="K425" s="10" t="inlineStr"/>
      <c r="L425" s="10" t="inlineStr">
        <is>
          <t>UX 14 2.2 요소 2-2 · 2.3 낭독 순서 ④</t>
        </is>
      </c>
      <c r="M425" s="10" t="inlineStr">
        <is>
          <t>화면 ID 미부여 — 부여 시 TC-ID 이관 대상</t>
        </is>
      </c>
      <c r="N425" s="10" t="inlineStr"/>
    </row>
    <row r="426">
      <c r="A426" s="5" t="n">
        <v>425</v>
      </c>
      <c r="B426" s="10" t="inlineStr">
        <is>
          <t>TC-2-7-06</t>
        </is>
      </c>
      <c r="C426" s="10" t="inlineStr">
        <is>
          <t>14-음성모드-진입</t>
        </is>
      </c>
      <c r="D426" s="10" t="inlineStr">
        <is>
          <t>2-7</t>
        </is>
      </c>
      <c r="E426" s="10" t="inlineStr">
        <is>
          <t>V-6</t>
        </is>
      </c>
      <c r="F426" s="5" t="inlineStr">
        <is>
          <t>접근성</t>
        </is>
      </c>
      <c r="G426" s="5" t="inlineStr">
        <is>
          <t>미실행</t>
        </is>
      </c>
      <c r="H426" s="10" t="inlineStr">
        <is>
          <t>마이크 권한 OFF · 권한 안내 낭독 완료</t>
        </is>
      </c>
      <c r="I426" s="10" t="inlineStr">
        <is>
          <t>1. [설정으로 이동]을 선택한다
2. 이동 직전 안내와 이동 결과를 확인한다</t>
        </is>
      </c>
      <c r="J426" s="10" t="inlineStr">
        <is>
          <t>앱을 벗어난다는 사실을 먼저 고지한 뒤 시스템 설정으로 이동한다. 고지 없이 곧바로 앱 밖으로 나가지 않는다</t>
        </is>
      </c>
      <c r="K426" s="10" t="inlineStr"/>
      <c r="L426" s="10" t="inlineStr">
        <is>
          <t>UX 14 2.2 요소 2-1 · UX/CLAUDE.md 규칙 7-4</t>
        </is>
      </c>
      <c r="M426" s="10" t="inlineStr">
        <is>
          <t>화면 ID 미부여 — 부여 시 TC-ID 이관 대상</t>
        </is>
      </c>
      <c r="N426" s="10" t="inlineStr"/>
    </row>
    <row r="427">
      <c r="A427" s="5" t="n">
        <v>426</v>
      </c>
      <c r="B427" s="10" t="inlineStr">
        <is>
          <t>TC-2-7-07</t>
        </is>
      </c>
      <c r="C427" s="10" t="inlineStr">
        <is>
          <t>14-음성모드-진입</t>
        </is>
      </c>
      <c r="D427" s="10" t="inlineStr">
        <is>
          <t>2-7 · S2-2</t>
        </is>
      </c>
      <c r="E427" s="10" t="inlineStr">
        <is>
          <t>FR-A4 · V-6</t>
        </is>
      </c>
      <c r="F427" s="5" t="inlineStr">
        <is>
          <t>기능</t>
        </is>
      </c>
      <c r="G427" s="5" t="inlineStr">
        <is>
          <t>미실행</t>
        </is>
      </c>
      <c r="H427" s="10" t="inlineStr">
        <is>
          <t>[설정으로 이동]으로 시스템 설정에 있음 · 마이크 권한을 켜지 않음</t>
        </is>
      </c>
      <c r="I427" s="10" t="inlineStr">
        <is>
          <t>1. 시스템 설정에서 마이크 권한을 켜지 않은 채 앱으로 복귀한다
2. 도착한 화면과 낭독을 확인한다</t>
        </is>
      </c>
      <c r="J427" s="10" t="inlineStr">
        <is>
          <t>튜토리얼로 되돌아가지 않고 `S2-2` 챗봇 페이지로 간다. 같은 권한 안내가 다시 낭독되고 초점이 텍스트 입력창으로 이동한다</t>
        </is>
      </c>
      <c r="K427" s="10" t="inlineStr"/>
      <c r="L427" s="10" t="inlineStr">
        <is>
          <t>UX 14 2.1 복귀 · 2.4 예외(설정에서 켜지 않고 복귀)</t>
        </is>
      </c>
      <c r="M427" s="10" t="inlineStr">
        <is>
          <t>화면 ID 미부여 — 부여 시 TC-ID 이관 대상. 권한 판단은 최초 1회가 아니라 챗봇 진입 시마다다(14 2.4절) — 튜토리얼 이후 권한을 끈 경우도 같은 처리로 수렴한다</t>
        </is>
      </c>
      <c r="N427" s="10" t="inlineStr"/>
    </row>
    <row r="428">
      <c r="A428" s="5" t="n">
        <v>427</v>
      </c>
      <c r="B428" s="10" t="inlineStr">
        <is>
          <t>TC-2-7-08</t>
        </is>
      </c>
      <c r="C428" s="10" t="inlineStr">
        <is>
          <t>14-음성모드-진입</t>
        </is>
      </c>
      <c r="D428" s="10" t="inlineStr">
        <is>
          <t>2-7</t>
        </is>
      </c>
      <c r="E428" s="10" t="inlineStr">
        <is>
          <t>NFR-04 · AC-05</t>
        </is>
      </c>
      <c r="F428" s="5" t="inlineStr">
        <is>
          <t>접근성</t>
        </is>
      </c>
      <c r="G428" s="5" t="inlineStr">
        <is>
          <t>미실행</t>
        </is>
      </c>
      <c r="H428" s="10" t="inlineStr">
        <is>
          <t>마이크 권한 OFF · 튜토리얼 최초 진입 · TalkBack 켬</t>
        </is>
      </c>
      <c r="I428" s="10" t="inlineStr">
        <is>
          <t>1. 튜토리얼 진입부터 낭독이 멎을 때까지 낭독 대상을 순서대로 기록한다
2. 기록한 순서를 2.3절 표와 대조한다</t>
        </is>
      </c>
      <c r="J428" s="10" t="inlineStr">
        <is>
          <t>낭독 순서가 튜토리얼 3단계 문구 → [알겠어요] → 권한 안내 문구 → 텍스트 입력창 → [설정으로 이동] 5단계로 고정된다</t>
        </is>
      </c>
      <c r="K428" s="10" t="inlineStr"/>
      <c r="L428" s="10" t="inlineStr">
        <is>
          <t>UX 14 2.3 낭독 순서 표</t>
        </is>
      </c>
      <c r="M428" s="10" t="inlineStr">
        <is>
          <t>화면 ID 미부여 — 부여 시 TC-ID 이관 대상</t>
        </is>
      </c>
      <c r="N428" s="10" t="inlineStr"/>
    </row>
    <row r="429">
      <c r="A429" s="5" t="n">
        <v>428</v>
      </c>
      <c r="B429" s="10" t="inlineStr">
        <is>
          <t>TC-2-7-09</t>
        </is>
      </c>
      <c r="C429" s="10" t="inlineStr">
        <is>
          <t>14-음성모드-진입</t>
        </is>
      </c>
      <c r="D429" s="10" t="inlineStr">
        <is>
          <t>2-7</t>
        </is>
      </c>
      <c r="E429" s="10" t="inlineStr">
        <is>
          <t>NFR-02</t>
        </is>
      </c>
      <c r="F429" s="5" t="inlineStr">
        <is>
          <t>접근성</t>
        </is>
      </c>
      <c r="G429" s="5" t="inlineStr">
        <is>
          <t>미실행</t>
        </is>
      </c>
      <c r="H429" s="10" t="inlineStr">
        <is>
          <t>마이크 권한 OFF · 튜토리얼 화면 · 개발자 옵션 레이아웃 경계 표시 켬</t>
        </is>
      </c>
      <c r="I429" s="10" t="inlineStr">
        <is>
          <t>1. [알겠어요]와 [설정으로 이동]의 터치 영역 크기를 잰다
2. 두 버튼 사이 간격을 잰다</t>
        </is>
      </c>
      <c r="J429" s="10" t="inlineStr">
        <is>
          <t>두 버튼 모두 터치 영역이 44×44pt 이상이고 버튼 사이 간격이 8px 이상이다</t>
        </is>
      </c>
      <c r="K429" s="10" t="inlineStr"/>
      <c r="L429" s="10" t="inlineStr">
        <is>
          <t>UX 14 2.2 요소 1-2·2-1 · PRD 1부 NFR-02</t>
        </is>
      </c>
      <c r="M429" s="10" t="inlineStr">
        <is>
          <t>화면 ID 미부여 — 부여 시 TC-ID 이관 대상</t>
        </is>
      </c>
      <c r="N429" s="10" t="inlineStr"/>
    </row>
    <row r="430">
      <c r="A430" s="5" t="n">
        <v>429</v>
      </c>
      <c r="B430" s="10" t="inlineStr">
        <is>
          <t>TC-2-7-10</t>
        </is>
      </c>
      <c r="C430" s="10" t="inlineStr">
        <is>
          <t>14-음성모드-진입</t>
        </is>
      </c>
      <c r="D430" s="10" t="inlineStr">
        <is>
          <t>2-7</t>
        </is>
      </c>
      <c r="E430" s="10" t="inlineStr">
        <is>
          <t>SS-2</t>
        </is>
      </c>
      <c r="F430" s="5" t="inlineStr">
        <is>
          <t>비기능</t>
        </is>
      </c>
      <c r="G430" s="5" t="inlineStr">
        <is>
          <t>미실행</t>
        </is>
      </c>
      <c r="H430" s="10" t="inlineStr">
        <is>
          <t>로그인 상태로 앱 실행 · 같은 계정을 다른 단말에서 로그인해 세션을 무효화해 둔다</t>
        </is>
      </c>
      <c r="I430" s="10" t="inlineStr">
        <is>
          <t>1. 앱을 종료하지 않은 채 `2-0`에서 [음성인식 시작하기]로 음성인식에 진입한다
2. 진입 시점에 세션 확인·강제 로그아웃이 일어나는지 확인한다
3. 앱을 완전히 종료한 뒤 다시 실행한다</t>
        </is>
      </c>
      <c r="J430" s="10" t="inlineStr">
        <is>
          <t>음성인식 진입 시점에는 별도 세션 확인을 하지 않아 화면이 그대로 열리고, 다음 앱 실행 시점에 로그아웃 상태로 진입한다</t>
        </is>
      </c>
      <c r="K430" s="10" t="inlineStr"/>
      <c r="L430" s="10" t="inlineStr">
        <is>
          <t>PRD 2부 6.10 SS-2 · SS-4</t>
        </is>
      </c>
      <c r="M430" s="10" t="inlineStr">
        <is>
          <t>화면 ID 미부여 — 부여 시 TC-ID 이관 대상. 확인 시점을 앱 실행 외에 새로 만들지 않는 것이 판정 대상이다</t>
        </is>
      </c>
      <c r="N430" s="10" t="inlineStr"/>
    </row>
    <row r="431">
      <c r="A431" s="5" t="n">
        <v>430</v>
      </c>
      <c r="B431" s="10" t="inlineStr">
        <is>
          <t>TC-S2-2-01</t>
        </is>
      </c>
      <c r="C431" s="10" t="inlineStr">
        <is>
          <t>14-음성모드-진입</t>
        </is>
      </c>
      <c r="D431" s="10" t="inlineStr">
        <is>
          <t>S2-2</t>
        </is>
      </c>
      <c r="E431" s="10" t="inlineStr">
        <is>
          <t>FR-A4 · AC-05</t>
        </is>
      </c>
      <c r="F431" s="5" t="inlineStr">
        <is>
          <t>접근성</t>
        </is>
      </c>
      <c r="G431" s="5" t="inlineStr">
        <is>
          <t>미실행</t>
        </is>
      </c>
      <c r="H431" s="10" t="inlineStr">
        <is>
          <t>마이크 권한 ON · TalkBack 켬</t>
        </is>
      </c>
      <c r="I431" s="10" t="inlineStr">
        <is>
          <t>1. `S2-2` 챗봇 페이지에 진입해 낭독을 듣는다
2. 뒤로가기로 나갔다가 다시 진입해 낭독을 듣는다</t>
        </is>
      </c>
      <c r="J431" s="10" t="inlineStr">
        <is>
          <t>두 번 모두 「화면 어디든 길게 눌러 음성인식을 시작해보세요.」와 「손을 떼면 음성인식이 끝나요.」가 자동 낭독된다. 최초 1회로 그치지 않는다</t>
        </is>
      </c>
      <c r="K431" s="10" t="inlineStr"/>
      <c r="L431" s="10" t="inlineStr">
        <is>
          <t>UX 14 2.2 요소 3 · 3.2 수집 상태(대기)</t>
        </is>
      </c>
      <c r="M431" s="10" t="inlineStr">
        <is>
          <t>화면 ID 미부여 — 부여 시 TC-ID 이관 대상. 튜토리얼(최초 1회)과 다른 항목이다</t>
        </is>
      </c>
      <c r="N431" s="10" t="inlineStr"/>
    </row>
    <row r="432">
      <c r="A432" s="5" t="n">
        <v>431</v>
      </c>
      <c r="B432" s="10" t="inlineStr">
        <is>
          <t>TC-S2-2-02</t>
        </is>
      </c>
      <c r="C432" s="10" t="inlineStr">
        <is>
          <t>14-음성모드-진입</t>
        </is>
      </c>
      <c r="D432" s="10" t="inlineStr">
        <is>
          <t>S2-2</t>
        </is>
      </c>
      <c r="E432" s="10" t="inlineStr">
        <is>
          <t>FR-A4 · NFR-04</t>
        </is>
      </c>
      <c r="F432" s="5" t="inlineStr">
        <is>
          <t>기능</t>
        </is>
      </c>
      <c r="G432" s="5" t="inlineStr">
        <is>
          <t>미실행</t>
        </is>
      </c>
      <c r="H432" s="10" t="inlineStr">
        <is>
          <t>마이크 권한 ON · `S2-2` 대기 상태</t>
        </is>
      </c>
      <c r="I432" s="10" t="inlineStr">
        <is>
          <t>1. 화면 중앙·좌상단·우하단을 각각 길게 누른 채 말한다
2. 손을 뗀다
3. 탑바 뒤로가기 `&lt;` 위를 길게 눌러본다</t>
        </is>
      </c>
      <c r="J432" s="10" t="inlineStr">
        <is>
          <t>뒤로가기를 뺀 화면 어디를 길게 눌러도 수집이 시작되고 손을 떼면 수집이 끝난다. 뒤로가기 위에서는 수집이 시작되지 않는다</t>
        </is>
      </c>
      <c r="K432" s="10" t="inlineStr"/>
      <c r="L432" s="10" t="inlineStr">
        <is>
          <t>UX 14 3.3 요소 1</t>
        </is>
      </c>
      <c r="M432" s="10" t="inlineStr">
        <is>
          <t>화면 ID 미부여 — 부여 시 TC-ID 이관 대상. 버튼을 찾을 필요가 없어야 한다</t>
        </is>
      </c>
      <c r="N432" s="10" t="inlineStr"/>
    </row>
    <row r="433">
      <c r="A433" s="5" t="n">
        <v>432</v>
      </c>
      <c r="B433" s="10" t="inlineStr">
        <is>
          <t>TC-S2-2-03</t>
        </is>
      </c>
      <c r="C433" s="10" t="inlineStr">
        <is>
          <t>14-음성모드-진입</t>
        </is>
      </c>
      <c r="D433" s="10" t="inlineStr">
        <is>
          <t>S2-2</t>
        </is>
      </c>
      <c r="E433" s="10" t="inlineStr">
        <is>
          <t>V-1</t>
        </is>
      </c>
      <c r="F433" s="5" t="inlineStr">
        <is>
          <t>접근성</t>
        </is>
      </c>
      <c r="G433" s="5" t="inlineStr">
        <is>
          <t>미실행</t>
        </is>
      </c>
      <c r="H433" s="10" t="inlineStr">
        <is>
          <t>TalkBack 켬 · 화면을 길게 누른 상태</t>
        </is>
      </c>
      <c r="I433" s="10" t="inlineStr">
        <is>
          <t>1. 화면을 길게 누른 채 유지한다
2. 화면 하단 문구와 낭독을 함께 확인한다</t>
        </is>
      </c>
      <c r="J433" s="10" t="inlineStr">
        <is>
          <t>화면에는 「손을 떼면 음성인식이 끝나요.」만 남고 앞 문장이 사라지며, 그 문구를 낭독하지 않는다. 수집 중 어떤 TTS도 발화와 겹치지 않는다</t>
        </is>
      </c>
      <c r="K433" s="10" t="inlineStr"/>
      <c r="L433" s="10" t="inlineStr">
        <is>
          <t>UX 14 3.2 수집 상태(수집 중)</t>
        </is>
      </c>
      <c r="M433" s="10" t="inlineStr">
        <is>
          <t>화면 ID 미부여 — 부여 시 TC-ID 이관 대상. 시각 레이어는 두되 비시각 레이어에서만 뺀 사례다</t>
        </is>
      </c>
      <c r="N433" s="10" t="inlineStr"/>
    </row>
    <row r="434">
      <c r="A434" s="5" t="n">
        <v>433</v>
      </c>
      <c r="B434" s="10" t="inlineStr">
        <is>
          <t>TC-S2-2-04</t>
        </is>
      </c>
      <c r="C434" s="10" t="inlineStr">
        <is>
          <t>14-음성모드-진입</t>
        </is>
      </c>
      <c r="D434" s="10" t="inlineStr">
        <is>
          <t>S2-2</t>
        </is>
      </c>
      <c r="E434" s="10" t="inlineStr">
        <is>
          <t>V-3 · NFR-05</t>
        </is>
      </c>
      <c r="F434" s="5" t="inlineStr">
        <is>
          <t>접근성</t>
        </is>
      </c>
      <c r="G434" s="5" t="inlineStr">
        <is>
          <t>미실행</t>
        </is>
      </c>
      <c r="H434" s="10" t="inlineStr">
        <is>
          <t>TalkBack 켬 · 흑백(회색조) 표시 모드</t>
        </is>
      </c>
      <c r="I434" s="10" t="inlineStr">
        <is>
          <t>1. 대기 상태의 인식 상태 표시를 확인한다
2. 화면을 길게 눌러 수집 상태로 바꾼 뒤 같은 영역을 확인한다
3. 상태 표시에 초점을 두고 낭독을 듣는다</t>
        </is>
      </c>
      <c r="J434" s="10" t="inlineStr">
        <is>
          <t>회색조에서도 두 상태가 아이콘 형태와 문구(수집 중 「듣는 중…」)로 구분된다. 상태 표시에 의미 있는 대체 텍스트가 낭독되고 색 차이만으로 구분되지 않는다</t>
        </is>
      </c>
      <c r="K434" s="10" t="inlineStr"/>
      <c r="L434" s="10" t="inlineStr">
        <is>
          <t>UX 14 3.3 요소 2</t>
        </is>
      </c>
      <c r="M434" s="10" t="inlineStr">
        <is>
          <t>화면 ID 미부여 — 부여 시 TC-ID 이관 대상. 시작·종료 시 효과음과 진동이 함께 난다</t>
        </is>
      </c>
      <c r="N434" s="10" t="inlineStr"/>
    </row>
    <row r="435">
      <c r="A435" s="5" t="n">
        <v>434</v>
      </c>
      <c r="B435" s="10" t="inlineStr">
        <is>
          <t>TC-S2-2-05</t>
        </is>
      </c>
      <c r="C435" s="10" t="inlineStr">
        <is>
          <t>14-음성모드-진입</t>
        </is>
      </c>
      <c r="D435" s="10" t="inlineStr">
        <is>
          <t>S2-2</t>
        </is>
      </c>
      <c r="E435" s="10" t="inlineStr">
        <is>
          <t>V-1 · AC-05</t>
        </is>
      </c>
      <c r="F435" s="5" t="inlineStr">
        <is>
          <t>접근성</t>
        </is>
      </c>
      <c r="G435" s="5" t="inlineStr">
        <is>
          <t>미실행</t>
        </is>
      </c>
      <c r="H435" s="10" t="inlineStr">
        <is>
          <t>질의 전송 완료 · TalkBack 켬</t>
        </is>
      </c>
      <c r="I435" s="10" t="inlineStr">
        <is>
          <t>1. 응답이 도착할 때까지 화면을 조작하지 않고 기다린다
2. 응답 도착 시 낭독과 화면 표시를 함께 확인한다</t>
        </is>
      </c>
      <c r="J435" s="10" t="inlineStr">
        <is>
          <t>응답이 TTS 음성과 텍스트로 동시에 제공되고, 도착 즉시 aria-live로 자동 낭독된다. 사용자가 응답 버블을 찾아 초점을 옮기지 않아도 된다</t>
        </is>
      </c>
      <c r="K435" s="10" t="inlineStr"/>
      <c r="L435" s="10" t="inlineStr">
        <is>
          <t>UX 14 3.3 요소 4</t>
        </is>
      </c>
      <c r="M435" s="10" t="inlineStr">
        <is>
          <t>화면 ID 미부여 — 부여 시 TC-ID 이관 대상</t>
        </is>
      </c>
      <c r="N435" s="10" t="inlineStr"/>
    </row>
    <row r="436">
      <c r="A436" s="5" t="n">
        <v>435</v>
      </c>
      <c r="B436" s="10" t="inlineStr">
        <is>
          <t>TC-S2-2-06</t>
        </is>
      </c>
      <c r="C436" s="10" t="inlineStr">
        <is>
          <t>14-음성모드-진입</t>
        </is>
      </c>
      <c r="D436" s="10" t="inlineStr">
        <is>
          <t>S2-2</t>
        </is>
      </c>
      <c r="E436" s="10" t="inlineStr">
        <is>
          <t>NFR-04</t>
        </is>
      </c>
      <c r="F436" s="5" t="inlineStr">
        <is>
          <t>접근성</t>
        </is>
      </c>
      <c r="G436" s="5" t="inlineStr">
        <is>
          <t>미실행</t>
        </is>
      </c>
      <c r="H436" s="10" t="inlineStr">
        <is>
          <t>응답이 3건 이상 누적된 대화 · TalkBack 켬</t>
        </is>
      </c>
      <c r="I436" s="10" t="inlineStr">
        <is>
          <t>1. 대화 영역을 처음부터 끝까지 초점 이동으로 훑는다
2. 각 응답 아래에 챗봇 버튼이 있는지 확인한다</t>
        </is>
      </c>
      <c r="J436" s="10" t="inlineStr">
        <is>
          <t>챗봇 버튼은 맨 마지막 응답 아래에만 있고, 그 이전 응답들 아래에는 없어 포커스 순서에 조작 불가능한 항목이 남지 않는다</t>
        </is>
      </c>
      <c r="K436" s="10" t="inlineStr"/>
      <c r="L436" s="10" t="inlineStr">
        <is>
          <t>UX 14 3.3 요소 5</t>
        </is>
      </c>
      <c r="M436" s="10" t="inlineStr">
        <is>
          <t>화면 ID 미부여 — 부여 시 TC-ID 이관 대상</t>
        </is>
      </c>
      <c r="N436" s="10" t="inlineStr"/>
    </row>
    <row r="437">
      <c r="A437" s="5" t="n">
        <v>436</v>
      </c>
      <c r="B437" s="10" t="inlineStr">
        <is>
          <t>TC-S2-2-07</t>
        </is>
      </c>
      <c r="C437" s="10" t="inlineStr">
        <is>
          <t>14-음성모드-진입</t>
        </is>
      </c>
      <c r="D437" s="10" t="inlineStr">
        <is>
          <t>S2-2</t>
        </is>
      </c>
      <c r="E437" s="10" t="inlineStr">
        <is>
          <t>V-6 · NFR-08</t>
        </is>
      </c>
      <c r="F437" s="5" t="inlineStr">
        <is>
          <t>기능</t>
        </is>
      </c>
      <c r="G437" s="12" t="inlineStr">
        <is>
          <t>보류</t>
        </is>
      </c>
      <c r="H437" s="10" t="inlineStr">
        <is>
          <t>질의 전송 후 응답이 지연되는 상태 · TalkBack 켬</t>
        </is>
      </c>
      <c r="I437" s="10" t="inlineStr">
        <is>
          <t>1. 질의를 전송하고 조작 없이 대기한다
2. 「답을 찾고 있어요.」 낭독 시점과 횟수를 기록한다</t>
        </is>
      </c>
      <c r="J437" s="10" t="inlineStr">
        <is>
          <t>대기 알림 `{t}`초 값이 확정되지 않아 합/불합을 가를 수 없다. 확정 후 `{t}`초 시점에 1회만 낭독되고 반복되지 않는지로 판정한다</t>
        </is>
      </c>
      <c r="K437" s="10" t="inlineStr"/>
      <c r="L437" s="10" t="inlineStr">
        <is>
          <t>UX 14 3.3 응답 대기·무음 ⓐ · 14 5절 미확정</t>
        </is>
      </c>
      <c r="M437" s="10" t="inlineStr">
        <is>
          <t>화면 ID 미부여 — 부여 시 TC-ID 이관 대상. `{t}`는 서버 응답 실측·TTS 길이 종속이라 실기기 검수로 확정한다(14 5절 · 기획·앱)</t>
        </is>
      </c>
      <c r="N437" s="10" t="inlineStr"/>
    </row>
    <row r="438">
      <c r="A438" s="5" t="n">
        <v>437</v>
      </c>
      <c r="B438" s="10" t="inlineStr">
        <is>
          <t>TC-S2-2-08</t>
        </is>
      </c>
      <c r="C438" s="10" t="inlineStr">
        <is>
          <t>14-음성모드-진입</t>
        </is>
      </c>
      <c r="D438" s="10" t="inlineStr">
        <is>
          <t>S2-2</t>
        </is>
      </c>
      <c r="E438" s="10" t="inlineStr">
        <is>
          <t>V-6 · NFR-08</t>
        </is>
      </c>
      <c r="F438" s="5" t="inlineStr">
        <is>
          <t>기능</t>
        </is>
      </c>
      <c r="G438" s="12" t="inlineStr">
        <is>
          <t>보류</t>
        </is>
      </c>
      <c r="H438" s="10" t="inlineStr">
        <is>
          <t>질의 전송 후 응답이 오지 않는 상태</t>
        </is>
      </c>
      <c r="I438" s="10" t="inlineStr">
        <is>
          <t>1. 질의를 전송하고 응답 없이 제한 시간을 넘긴다
2. 실패 판정 시점과 낭독 문안을 기록한다
3. 실패 안내 뒤 재시도 경로에 시간 제한이 걸리는지 확인한다</t>
        </is>
      </c>
      <c r="J438" s="10" t="inlineStr">
        <is>
          <t>제한 시간 `{T}`초 값이 확정되지 않아 합/불합을 가를 수 없다. 확정 후 「답을 받지 못했어요. 화면을 길게 누르고 다시 말씀해 주세요.」가 낭독되고 재시도 경로에는 시간 제한이 없는지로 판정한다</t>
        </is>
      </c>
      <c r="K438" s="10" t="inlineStr"/>
      <c r="L438" s="10" t="inlineStr">
        <is>
          <t>UX 14 3.3 응답 대기·무음 ⓑ · 14 5절 미확정</t>
        </is>
      </c>
      <c r="M438" s="10" t="inlineStr">
        <is>
          <t>화면 ID 미부여 — 부여 시 TC-ID 이관 대상. `{T}`는 시스템의 실패 판정 기준이라 그 자체는 NFR-08 대상이 아니고, 재시도 경로에 제한이 붙으면 그때 대상이 된다(14 3.3절)</t>
        </is>
      </c>
      <c r="N438" s="10" t="inlineStr"/>
    </row>
    <row r="439">
      <c r="A439" s="5" t="n">
        <v>438</v>
      </c>
      <c r="B439" s="10" t="inlineStr">
        <is>
          <t>TC-S2-2-09</t>
        </is>
      </c>
      <c r="C439" s="10" t="inlineStr">
        <is>
          <t>14-음성모드-진입</t>
        </is>
      </c>
      <c r="D439" s="10" t="inlineStr">
        <is>
          <t>S2-2</t>
        </is>
      </c>
      <c r="E439" s="10" t="inlineStr">
        <is>
          <t>V-6</t>
        </is>
      </c>
      <c r="F439" s="5" t="inlineStr">
        <is>
          <t>기능</t>
        </is>
      </c>
      <c r="G439" s="5" t="inlineStr">
        <is>
          <t>미실행</t>
        </is>
      </c>
      <c r="H439" s="10" t="inlineStr">
        <is>
          <t>마이크 권한 ON · 조용한 환경</t>
        </is>
      </c>
      <c r="I439" s="10" t="inlineStr">
        <is>
          <t>1. 화면을 길게 누른 채 아무 말도 하지 않고 손을 뗀다
2. 낭독과 이후 동작을 확인한다</t>
        </is>
      </c>
      <c r="J439" s="10" t="inlineStr">
        <is>
          <t>「잘 못 들었어요. 화면을 길게 누르고 다시 말씀해 주세요.」가 낭독된 뒤 대기 상태로 머문다. 자동으로 다시 듣기가 시작되지 않고 아무 일도 일어나지 않는 상태로 끝나지도 않는다</t>
        </is>
      </c>
      <c r="K439" s="10" t="inlineStr"/>
      <c r="L439" s="10" t="inlineStr">
        <is>
          <t>UX 14 3.3 응답 대기·무음 ⓒ · 3.4 예외(무음)</t>
        </is>
      </c>
      <c r="M439" s="10" t="inlineStr">
        <is>
          <t>화면 ID 미부여 — 부여 시 TC-ID 이관 대상. Toast로 알리지 않는다(Design DD-025). 오인식 복구도 같은 경로다 — 질의 버블의 STT 텍스트로 확인한 뒤 다시 길게 눌러 재질의한다(14 3.3절 요소 3)</t>
        </is>
      </c>
      <c r="N439" s="10" t="inlineStr"/>
    </row>
    <row r="440">
      <c r="A440" s="5" t="n">
        <v>439</v>
      </c>
      <c r="B440" s="10" t="inlineStr">
        <is>
          <t>TC-S2-2-10</t>
        </is>
      </c>
      <c r="C440" s="10" t="inlineStr">
        <is>
          <t>14-음성모드-진입</t>
        </is>
      </c>
      <c r="D440" s="10" t="inlineStr">
        <is>
          <t>S2-2</t>
        </is>
      </c>
      <c r="E440" s="10" t="inlineStr">
        <is>
          <t>V-6</t>
        </is>
      </c>
      <c r="F440" s="5" t="inlineStr">
        <is>
          <t>기능</t>
        </is>
      </c>
      <c r="G440" s="5" t="inlineStr">
        <is>
          <t>미실행</t>
        </is>
      </c>
      <c r="H440" s="10" t="inlineStr">
        <is>
          <t>화면을 길게 누른 채 말하는 중</t>
        </is>
      </c>
      <c r="I440" s="10" t="inlineStr">
        <is>
          <t>1. 발화 도중 손을 떼지 않은 상태로 탑바 뒤로가기 `&lt;`를 선택한다
2. 직전 화면으로 나간 뒤 대화 내역을 확인한다</t>
        </is>
      </c>
      <c r="J440" s="10" t="inlineStr">
        <is>
          <t>수집이 취소되고 반쯤 인식된 발화가 질의로 전송되지 않는다. 직전 화면으로 나가며 별도 취소 문구는 두지 않는다</t>
        </is>
      </c>
      <c r="K440" s="10" t="inlineStr"/>
      <c r="L440" s="10" t="inlineStr">
        <is>
          <t>UX 14 3.4 예외(수집 중 뒤로가기)</t>
        </is>
      </c>
      <c r="M440" s="10" t="inlineStr">
        <is>
          <t>화면 ID 미부여 — 부여 시 TC-ID 이관 대상. 화면 전환 자체가 이탈 피드백이다. ⬜ 취소와 정상 종료를 촉각·청각으로 구분할지는 미확정(14 5절)</t>
        </is>
      </c>
      <c r="N440" s="10" t="inlineStr"/>
    </row>
    <row r="441">
      <c r="A441" s="5" t="n">
        <v>440</v>
      </c>
      <c r="B441" s="10" t="inlineStr">
        <is>
          <t>TC-S2-2-11</t>
        </is>
      </c>
      <c r="C441" s="10" t="inlineStr">
        <is>
          <t>14-음성모드-진입</t>
        </is>
      </c>
      <c r="D441" s="10" t="inlineStr">
        <is>
          <t>S2-2</t>
        </is>
      </c>
      <c r="E441" s="10" t="inlineStr">
        <is>
          <t>NFR-07</t>
        </is>
      </c>
      <c r="F441" s="5" t="inlineStr">
        <is>
          <t>비기능</t>
        </is>
      </c>
      <c r="G441" s="5" t="inlineStr">
        <is>
          <t>미실행</t>
        </is>
      </c>
      <c r="H441" s="10" t="inlineStr">
        <is>
          <t>마이크 권한 ON · `S2-2` 진입 후 진입 안내 낭독 종료</t>
        </is>
      </c>
      <c r="I441" s="10" t="inlineStr">
        <is>
          <t>1. 화면을 조작하지 않고 3분간 둔다
2. 이 동안 재생되는 음성·미디어가 있는지 확인한다</t>
        </is>
      </c>
      <c r="J441" s="10" t="inlineStr">
        <is>
          <t>사용자 조작 없이 자동 재생되는 음성·미디어가 없다. 모든 TTS는 진입·발화·응답 도착처럼 사용자가 일으킨 동작에 뒤따른다</t>
        </is>
      </c>
      <c r="K441" s="10" t="inlineStr"/>
      <c r="L441" s="10" t="inlineStr">
        <is>
          <t>PRD 1부 NFR-07 · UX 14 3.2·3.3</t>
        </is>
      </c>
      <c r="M441" s="10" t="inlineStr">
        <is>
          <t>화면 ID 미부여 — 부여 시 TC-ID 이관 대상</t>
        </is>
      </c>
      <c r="N441" s="10" t="inlineStr"/>
    </row>
    <row r="442">
      <c r="A442" s="5" t="n">
        <v>441</v>
      </c>
      <c r="B442" s="10" t="inlineStr">
        <is>
          <t>TC-S2-2-12</t>
        </is>
      </c>
      <c r="C442" s="10" t="inlineStr">
        <is>
          <t>14-음성모드-진입</t>
        </is>
      </c>
      <c r="D442" s="10" t="inlineStr">
        <is>
          <t>S2-2</t>
        </is>
      </c>
      <c r="E442" s="10" t="inlineStr">
        <is>
          <t>V-9</t>
        </is>
      </c>
      <c r="F442" s="5" t="inlineStr">
        <is>
          <t>기능</t>
        </is>
      </c>
      <c r="G442" s="5" t="inlineStr">
        <is>
          <t>미실행</t>
        </is>
      </c>
      <c r="H442" s="10" t="inlineStr">
        <is>
          <t>마이크 권한 ON 상태와 OFF 상태를 각각 준비</t>
        </is>
      </c>
      <c r="I442" s="10" t="inlineStr">
        <is>
          <t>1. 권한 ON으로 `S2-2`에 진입해 텍스트 입력창 유무를 확인한다
2. 권한을 OFF로 바꾸고 다시 진입해 텍스트 입력창 유무를 확인한다</t>
        </is>
      </c>
      <c r="J442" s="10" t="inlineStr">
        <is>
          <t>권한 ON에서는 입력창이 없고 화면 전체 길게 누르기가 유지되며, 권한 OFF에서만 입력창이 노출된다. 상시 노출되지 않는다</t>
        </is>
      </c>
      <c r="K442" s="10" t="inlineStr"/>
      <c r="L442" s="10" t="inlineStr">
        <is>
          <t>UX 14 3.3 요소 6 · 3.4 예외(텍스트 직접 입력 여부)</t>
        </is>
      </c>
      <c r="M442" s="10" t="inlineStr">
        <is>
          <t>화면 ID 미부여 — 부여 시 TC-ID 이관 대상. 상시 노출하면 입력창 위 롱프레스가 OS 텍스트 선택과 부딪힌다</t>
        </is>
      </c>
      <c r="N442" s="10" t="inlineStr"/>
    </row>
    <row r="443">
      <c r="A443" s="5" t="n">
        <v>442</v>
      </c>
      <c r="B443" s="10" t="inlineStr">
        <is>
          <t>TC-S2-2-13</t>
        </is>
      </c>
      <c r="C443" s="10" t="inlineStr">
        <is>
          <t>14-음성모드-진입</t>
        </is>
      </c>
      <c r="D443" s="10" t="inlineStr">
        <is>
          <t>S2-2</t>
        </is>
      </c>
      <c r="E443" s="10" t="inlineStr">
        <is>
          <t>FR-A4</t>
        </is>
      </c>
      <c r="F443" s="5" t="inlineStr">
        <is>
          <t>기능</t>
        </is>
      </c>
      <c r="G443" s="5" t="inlineStr">
        <is>
          <t>미실행</t>
        </is>
      </c>
      <c r="H443" s="10" t="inlineStr">
        <is>
          <t>마이크 권한 ON · 대기 상태</t>
        </is>
      </c>
      <c r="I443" s="10" t="inlineStr">
        <is>
          <t>1. 화면을 길게 눌러 「서울특별시청 검색」이라고 말한다
2. 응답 버블의 결과 개수와 낭독 내용을 확인한다</t>
        </is>
      </c>
      <c r="J443" s="10" t="inlineStr">
        <is>
          <t>키워드 정확도가 가장 높은 장소 1건만 결과로 나오고, 장소명과 주소를 함께 낭독한다. 여러 장소를 목록으로 되돌리지 않는다</t>
        </is>
      </c>
      <c r="K443" s="10" t="inlineStr"/>
      <c r="L443" s="10" t="inlineStr">
        <is>
          <t>UX 14 4.1 요소 1·3</t>
        </is>
      </c>
      <c r="M443" s="10" t="inlineStr">
        <is>
          <t>화면 ID 미부여 — 부여 시 TC-ID 이관 대상. 결과 없음·인식 실패 시에도 사유를 음성으로 안내한다</t>
        </is>
      </c>
      <c r="N443" s="10" t="inlineStr"/>
    </row>
    <row r="444">
      <c r="A444" s="5" t="n">
        <v>443</v>
      </c>
      <c r="B444" s="10" t="inlineStr">
        <is>
          <t>TC-S2-2-14</t>
        </is>
      </c>
      <c r="C444" s="10" t="inlineStr">
        <is>
          <t>14-음성모드-진입</t>
        </is>
      </c>
      <c r="D444" s="10" t="inlineStr">
        <is>
          <t>S2-2</t>
        </is>
      </c>
      <c r="E444" s="10" t="inlineStr">
        <is>
          <t>AC-05 · V-4</t>
        </is>
      </c>
      <c r="F444" s="5" t="inlineStr">
        <is>
          <t>접근성</t>
        </is>
      </c>
      <c r="G444" s="5" t="inlineStr">
        <is>
          <t>미실행</t>
        </is>
      </c>
      <c r="H444" s="10" t="inlineStr">
        <is>
          <t>접근성 정보 일부가 `미조사`인 장소의 상세 진입 · TalkBack 켬</t>
        </is>
      </c>
      <c r="I444" s="10" t="inlineStr">
        <is>
          <t>1. 바텀시트 낭독을 처음부터 순서대로 기록한다
2. 접근성 3행(여닫이문·점자 안내계단·경사도)의 낭독 여부를 확인한다</t>
        </is>
      </c>
      <c r="J444" s="10" t="inlineStr">
        <is>
          <t>낭독 순서가 장소명 → 주소 → 역할 지정 3버튼으로 고정되고, 접근성 3행의 `미조사` 항목도 건너뛰지 않고 낭독된다</t>
        </is>
      </c>
      <c r="K444" s="10" t="inlineStr"/>
      <c r="L444" s="10" t="inlineStr">
        <is>
          <t>UX 14 4.2 요소 2·4</t>
        </is>
      </c>
      <c r="M444" s="10" t="inlineStr">
        <is>
          <t>화면 ID 미부여 — 부여 시 TC-ID 이관 대상. ⬜ 시트 내 접근성 3행 배치는 `U-90(제안)` 미확정</t>
        </is>
      </c>
      <c r="N444" s="10" t="inlineStr"/>
    </row>
    <row r="445">
      <c r="A445" s="5" t="n">
        <v>444</v>
      </c>
      <c r="B445" s="10" t="inlineStr">
        <is>
          <t>TC-S2-2-15</t>
        </is>
      </c>
      <c r="C445" s="10" t="inlineStr">
        <is>
          <t>14-음성모드-진입</t>
        </is>
      </c>
      <c r="D445" s="10" t="inlineStr">
        <is>
          <t>S2-2</t>
        </is>
      </c>
      <c r="E445" s="10" t="inlineStr">
        <is>
          <t>FR-A4</t>
        </is>
      </c>
      <c r="F445" s="5" t="inlineStr">
        <is>
          <t>기능</t>
        </is>
      </c>
      <c r="G445" s="5" t="inlineStr">
        <is>
          <t>미실행</t>
        </is>
      </c>
      <c r="H445" s="10" t="inlineStr">
        <is>
          <t>마이크 권한 ON · 계단 없는 경로가 실재하는 도착지</t>
        </is>
      </c>
      <c r="I445" s="10" t="inlineStr">
        <is>
          <t>1. 화면을 길게 눌러 「계단 없는 길로 시청역 가고 싶어」라고 말한다
2. 응답 낭독과 버튼 구성을 확인한다
3. 아무 버튼도 누르지 않고 10초 기다린다</t>
        </is>
      </c>
      <c r="J445" s="10" t="inlineStr">
        <is>
          <t>경로 요약과 함께 「안내를 시작할까요?」로 확인을 받고 [안내 시작]·[다른 경로]·[대화 종료]가 제시된다. 버튼을 누르기 전에는 안내가 시작되지 않는다</t>
        </is>
      </c>
      <c r="K445" s="10" t="inlineStr"/>
      <c r="L445" s="10" t="inlineStr">
        <is>
          <t>UX 14 4.3 확인 루프</t>
        </is>
      </c>
      <c r="M445" s="10" t="inlineStr">
        <is>
          <t>화면 ID 미부여 — 부여 시 TC-ID 이관 대상. 경로 끝점 용어는 「도착지」다(규칙 8-7). ⬜ [다른 경로] 동작 사양은 미확정(14 5절)</t>
        </is>
      </c>
      <c r="N445" s="10" t="inlineStr"/>
    </row>
    <row r="446">
      <c r="A446" s="5" t="n">
        <v>445</v>
      </c>
      <c r="B446" s="10" t="inlineStr">
        <is>
          <t>TC-S2-2-16</t>
        </is>
      </c>
      <c r="C446" s="10" t="inlineStr">
        <is>
          <t>14-음성모드-진입</t>
        </is>
      </c>
      <c r="D446" s="10" t="inlineStr">
        <is>
          <t>S2-2</t>
        </is>
      </c>
      <c r="E446" s="10" t="inlineStr">
        <is>
          <t>V-6 · V-4</t>
        </is>
      </c>
      <c r="F446" s="5" t="inlineStr">
        <is>
          <t>기능</t>
        </is>
      </c>
      <c r="G446" s="5" t="inlineStr">
        <is>
          <t>미실행</t>
        </is>
      </c>
      <c r="H446" s="10" t="inlineStr">
        <is>
          <t>계단 없는 경로가 존재하지 않는 도착지</t>
        </is>
      </c>
      <c r="I446" s="10" t="inlineStr">
        <is>
          <t>1. 화면을 길게 눌러 「계단 없는 길로 시청역 가고 싶어」라고 말한다
2. 응답 문장의 순서와 버튼 구성을 기록한다</t>
        </is>
      </c>
      <c r="J446" s="10" t="inlineStr">
        <is>
          <t>못 찾은 사실을 먼저 말한 뒤 조건을 뺀 경로 1건을 확인 루프로 제안한다. 버튼은 [안내 시작]과 [대화 종료] 둘뿐이고 [다른 경로]는 없다</t>
        </is>
      </c>
      <c r="K446" s="10" t="inlineStr"/>
      <c r="L446" s="10" t="inlineStr">
        <is>
          <t>UX 14 4.3 조건을 만족하는 경로가 없을 때</t>
        </is>
      </c>
      <c r="M446" s="10" t="inlineStr">
        <is>
          <t>화면 ID 미부여 — 부여 시 TC-ID 이관 대상. 조건을 임의로 완화한 중간값 경로를 만들지 않는다. ⬜ 못 지킨 정도(「계단 12칸」) 병기는 미확정</t>
        </is>
      </c>
      <c r="N446" s="10" t="inlineStr"/>
    </row>
    <row r="447">
      <c r="A447" s="5" t="n">
        <v>446</v>
      </c>
      <c r="B447" s="10" t="inlineStr">
        <is>
          <t>TC-S2-2-17</t>
        </is>
      </c>
      <c r="C447" s="10" t="inlineStr">
        <is>
          <t>14-음성모드-진입</t>
        </is>
      </c>
      <c r="D447" s="10" t="inlineStr">
        <is>
          <t>S2-2</t>
        </is>
      </c>
      <c r="E447" s="10" t="inlineStr">
        <is>
          <t>V-6</t>
        </is>
      </c>
      <c r="F447" s="5" t="inlineStr">
        <is>
          <t>기능</t>
        </is>
      </c>
      <c r="G447" s="12" t="inlineStr">
        <is>
          <t>보류</t>
        </is>
      </c>
      <c r="H447" s="10" t="inlineStr">
        <is>
          <t>마이크 권한 ON</t>
        </is>
      </c>
      <c r="I447" s="10" t="inlineStr">
        <is>
          <t>1. 의도 5종에 속하지 않는 발화를 한다
2. 응답 문안과 이후 동작을 기록한다</t>
        </is>
      </c>
      <c r="J447" s="10" t="inlineStr">
        <is>
          <t>되묻기·대안 제시 문안이 정해지지 않아 합/불합을 가를 수 없다. 무음 실패 금지상 어떤 형태로든 응답이 필요하다는 것까지만 확정돼 있다</t>
        </is>
      </c>
      <c r="K447" s="10" t="inlineStr"/>
      <c r="L447" s="10" t="inlineStr">
        <is>
          <t>UX 14 3.4 예외(의도 5종에 없는 발화) · `M-22` 외부 규격 대기</t>
        </is>
      </c>
      <c r="M447" s="10" t="inlineStr">
        <is>
          <t>화면 ID 미부여 — 부여 시 TC-ID 이관 대상. 의도 외 발화가 가장 자주 발생할 케이스인데 문안이 없다. NLU 명령어 규격은 외부(아로) ~10/26 종속</t>
        </is>
      </c>
      <c r="N447" s="10" t="inlineStr"/>
    </row>
    <row r="448">
      <c r="A448" s="5" t="n">
        <v>447</v>
      </c>
      <c r="B448" s="10" t="inlineStr">
        <is>
          <t>TC-S2-2-18</t>
        </is>
      </c>
      <c r="C448" s="10" t="inlineStr">
        <is>
          <t>14-음성모드-진입</t>
        </is>
      </c>
      <c r="D448" s="10" t="inlineStr">
        <is>
          <t>S2-2</t>
        </is>
      </c>
      <c r="E448" s="10" t="inlineStr">
        <is>
          <t>AC-10</t>
        </is>
      </c>
      <c r="F448" s="5" t="inlineStr">
        <is>
          <t>비기능</t>
        </is>
      </c>
      <c r="G448" s="5" t="inlineStr">
        <is>
          <t>미실행</t>
        </is>
      </c>
      <c r="H448" s="10" t="inlineStr">
        <is>
          <t>외부 인터넷망이 차단된 폐쇄망에 단말을 연결 · 설치형 RAG 구동 상태</t>
        </is>
      </c>
      <c r="I448" s="10" t="inlineStr">
        <is>
          <t>1. 단말을 외부 인터넷 접근이 차단된 망에만 연결한다
2. `S2-2`에서 의도 5종 중 하나를 음성으로 질의한다
3. 응답 도착 여부와 외부 도메인 호출 발생 여부를 확인한다</t>
        </is>
      </c>
      <c r="J448" s="10" t="inlineStr">
        <is>
          <t>외부 인터넷망이 차단된 상태에서도 질의가 접수되고 응답이 도착한다. 응답 생성을 위해 외부 클라우드 AI API를 호출하지 않는다</t>
        </is>
      </c>
      <c r="K448" s="10" t="inlineStr"/>
      <c r="L448" s="10" t="inlineStr">
        <is>
          <t>PRD 1부 AC-10 · NFR-11(기술협상 #2)</t>
        </is>
      </c>
      <c r="M448" s="10" t="inlineStr">
        <is>
          <t>화면 ID 미부여 — 부여 시 TC-ID 이관 대상. 앱에서 확인 가능한 범위(폐쇄망에서 대화가 성립하는가)로 좁힌 것이며, 설치형 RAG 구성 자체의 검증은 NFR-11 항목에 있다</t>
        </is>
      </c>
      <c r="N448" s="10" t="inlineStr"/>
    </row>
    <row r="449">
      <c r="A449" s="5" t="n">
        <v>448</v>
      </c>
      <c r="B449" s="10" t="inlineStr">
        <is>
          <t>TC-S2-2-19</t>
        </is>
      </c>
      <c r="C449" s="10" t="inlineStr">
        <is>
          <t>14-음성모드-진입</t>
        </is>
      </c>
      <c r="D449" s="10" t="inlineStr">
        <is>
          <t>S2-2</t>
        </is>
      </c>
      <c r="E449" s="10" t="inlineStr">
        <is>
          <t>NFR-11</t>
        </is>
      </c>
      <c r="F449" s="11" t="inlineStr">
        <is>
          <t>대상외</t>
        </is>
      </c>
      <c r="G449" s="5" t="inlineStr">
        <is>
          <t>미실행</t>
        </is>
      </c>
      <c r="H449" s="10" t="inlineStr"/>
      <c r="I449" s="10" t="inlineStr"/>
      <c r="J449" s="10" t="inlineStr"/>
      <c r="K449" s="10" t="inlineStr"/>
      <c r="L449" s="10" t="inlineStr">
        <is>
          <t>PRD 1부 NFR-11(기술협상 #2)</t>
        </is>
      </c>
      <c r="M449" s="10" t="inlineStr">
        <is>
          <t>화면 ID 미부여 — 부여 시 TC-ID 이관 대상</t>
        </is>
      </c>
      <c r="N449" s="10" t="inlineStr">
        <is>
          <t>폐쇄망 설치형 RAG 구성·데이터센터 보안정책 준수·오픈소스 기술지원 책임 범위와 패치 관리체계·외부 클라우드 AI API 병행 시 보안통제 대책은 서버·인프라 축의 구성 요건이라 앱 화면 절차로 판정할 수 없다. 서버 파트 구성 검토와 감리 산출물로 확인한다. 앱에서 확인 가능한 부분(외부망 차단 환경에서 대화가 동작하는가)은 TC-S2-2-21이 덮는다.</t>
        </is>
      </c>
    </row>
    <row r="450">
      <c r="A450" s="5" t="n">
        <v>449</v>
      </c>
      <c r="B450" s="10" t="inlineStr">
        <is>
          <t>TC-S2-2-20</t>
        </is>
      </c>
      <c r="C450" s="10" t="inlineStr">
        <is>
          <t>14-음성모드-진입</t>
        </is>
      </c>
      <c r="D450" s="10" t="inlineStr">
        <is>
          <t>S2-2</t>
        </is>
      </c>
      <c r="E450" s="10" t="inlineStr">
        <is>
          <t>NFR-13</t>
        </is>
      </c>
      <c r="F450" s="11" t="inlineStr">
        <is>
          <t>대상외</t>
        </is>
      </c>
      <c r="G450" s="5" t="inlineStr">
        <is>
          <t>미실행</t>
        </is>
      </c>
      <c r="H450" s="10" t="inlineStr"/>
      <c r="I450" s="10" t="inlineStr"/>
      <c r="J450" s="10" t="inlineStr"/>
      <c r="K450" s="10" t="inlineStr"/>
      <c r="L450" s="10" t="inlineStr">
        <is>
          <t>PRD 1부 NFR-13(착수보고 #8)</t>
        </is>
      </c>
      <c r="M450" s="10" t="inlineStr">
        <is>
          <t>화면 ID 미부여 — 부여 시 TC-ID 이관 대상</t>
        </is>
      </c>
      <c r="N450" s="10" t="inlineStr">
        <is>
          <t>시각장애인 기준 순간 300명 / 최대 700명 동시 접속과 AI 추론 부하 Sizing은 서버 부하 시험(성능 테스트) 축이라 단말 1대의 앱 화면 절차로 판정할 수 없다. 서버 파트 부하 시험 결과와 Sizing 산출물로 확인한다.</t>
        </is>
      </c>
    </row>
    <row r="451">
      <c r="A451" s="5" t="n">
        <v>450</v>
      </c>
      <c r="B451" s="10" t="inlineStr">
        <is>
          <t>TC-S2-3-01</t>
        </is>
      </c>
      <c r="C451" s="10" t="inlineStr">
        <is>
          <t>15-음성모드-실행</t>
        </is>
      </c>
      <c r="D451" s="10" t="inlineStr">
        <is>
          <t>S2-3</t>
        </is>
      </c>
      <c r="E451" s="10" t="inlineStr">
        <is>
          <t>V-3 · V-1</t>
        </is>
      </c>
      <c r="F451" s="5" t="inlineStr">
        <is>
          <t>접근성</t>
        </is>
      </c>
      <c r="G451" s="5" t="inlineStr">
        <is>
          <t>미실행</t>
        </is>
      </c>
      <c r="H451" s="10" t="inlineStr">
        <is>
          <t>질의·응답이 3쌍 이상 누적된 대화 · 흑백(회색조) 표시 모드</t>
        </is>
      </c>
      <c r="I451" s="10" t="inlineStr">
        <is>
          <t>1. 대화 영역을 위에서 아래로 훑어 질의와 응답의 배치를 확인한다
2. 회색조 모드에서 두 종류의 말풍선이 구분되는지 확인한다</t>
        </is>
      </c>
      <c r="J451" s="10" t="inlineStr">
        <is>
          <t>질의·응답이 시간순으로 누적되고, 회색조에서도 좌우 정렬과 면 대비로 구분된다. 색 차이만으로 구분되는 지점이 없다</t>
        </is>
      </c>
      <c r="K451" s="10" t="inlineStr"/>
      <c r="L451" s="10" t="inlineStr">
        <is>
          <t>UX 15 1.3 요소 1</t>
        </is>
      </c>
      <c r="M451" s="10" t="inlineStr">
        <is>
          <t>화면 ID 미부여 — 부여 시 TC-ID 이관 대상</t>
        </is>
      </c>
      <c r="N451" s="10" t="inlineStr"/>
    </row>
    <row r="452">
      <c r="A452" s="5" t="n">
        <v>451</v>
      </c>
      <c r="B452" s="10" t="inlineStr">
        <is>
          <t>TC-S2-3-02</t>
        </is>
      </c>
      <c r="C452" s="10" t="inlineStr">
        <is>
          <t>15-음성모드-실행</t>
        </is>
      </c>
      <c r="D452" s="10" t="inlineStr">
        <is>
          <t>S2-3</t>
        </is>
      </c>
      <c r="E452" s="10" t="inlineStr">
        <is>
          <t>AC-05 · NFR-04</t>
        </is>
      </c>
      <c r="F452" s="5" t="inlineStr">
        <is>
          <t>접근성</t>
        </is>
      </c>
      <c r="G452" s="5" t="inlineStr">
        <is>
          <t>미실행</t>
        </is>
      </c>
      <c r="H452" s="10" t="inlineStr">
        <is>
          <t>TalkBack 켬 · 질의 전송 직후</t>
        </is>
      </c>
      <c r="I452" s="10" t="inlineStr">
        <is>
          <t>1. 응답이 도착할 때까지 화면을 조작하지 않는다
2. 낭독되는 항목의 순서를 기록한다</t>
        </is>
      </c>
      <c r="J452" s="10" t="inlineStr">
        <is>
          <t>새 응답이 도착하면 사용자가 초점을 옮기지 않아도 자동 낭독되고, 낭독 순서가 대화 시간순과 일치한다. 사용자 질의 버블도 낭독 대상에서 빠지지 않는다</t>
        </is>
      </c>
      <c r="K452" s="10" t="inlineStr"/>
      <c r="L452" s="10" t="inlineStr">
        <is>
          <t>UX 15 1.3 요소 1·2</t>
        </is>
      </c>
      <c r="M452" s="10" t="inlineStr">
        <is>
          <t>화면 ID 미부여 — 부여 시 TC-ID 이관 대상. 질의 버블은 인식 내용 확인용이라 낭독한다</t>
        </is>
      </c>
      <c r="N452" s="10" t="inlineStr"/>
    </row>
    <row r="453">
      <c r="A453" s="5" t="n">
        <v>452</v>
      </c>
      <c r="B453" s="10" t="inlineStr">
        <is>
          <t>TC-S2-3-03</t>
        </is>
      </c>
      <c r="C453" s="10" t="inlineStr">
        <is>
          <t>15-음성모드-실행</t>
        </is>
      </c>
      <c r="D453" s="10" t="inlineStr">
        <is>
          <t>S2-3</t>
        </is>
      </c>
      <c r="E453" s="10" t="inlineStr">
        <is>
          <t>V-3 · V-6</t>
        </is>
      </c>
      <c r="F453" s="5" t="inlineStr">
        <is>
          <t>접근성</t>
        </is>
      </c>
      <c r="G453" s="5" t="inlineStr">
        <is>
          <t>미실행</t>
        </is>
      </c>
      <c r="H453" s="10" t="inlineStr">
        <is>
          <t>버스 탑승 중 · 「하차 알림 해줘」로 실행 결과 카드가 표시된 상태 · TalkBack 켬 · 회색조 모드</t>
        </is>
      </c>
      <c r="I453" s="10" t="inlineStr">
        <is>
          <t>1. 실행 결과 카드의 상태 표기를 회색조에서 확인한다
2. 카드의 토글을 눌러 상태를 바꾼다
3. 변경 직후 낭독을 확인한다</t>
        </is>
      </c>
      <c r="J453" s="10" t="inlineStr">
        <is>
          <t>상태가 텍스트와 형태로 표시돼 회색조에서도 켜짐·꺼짐이 구분되고, 토글로 즉시 바뀌며 바뀐 상태가 그 자리에서 낭독된다. 사용자 모르게 상태가 바뀌지 않는다</t>
        </is>
      </c>
      <c r="K453" s="10" t="inlineStr"/>
      <c r="L453" s="10" t="inlineStr">
        <is>
          <t>UX 15 1.3 요소 4 · 2.2 요소 1-1</t>
        </is>
      </c>
      <c r="M453" s="10" t="inlineStr">
        <is>
          <t>화면 ID 미부여 — 부여 시 TC-ID 이관 대상. 대상 역과 알림 방식이 채팅으로 남는다</t>
        </is>
      </c>
      <c r="N453" s="10" t="inlineStr"/>
    </row>
    <row r="454">
      <c r="A454" s="5" t="n">
        <v>453</v>
      </c>
      <c r="B454" s="10" t="inlineStr">
        <is>
          <t>TC-S2-3-04</t>
        </is>
      </c>
      <c r="C454" s="10" t="inlineStr">
        <is>
          <t>15-음성모드-실행</t>
        </is>
      </c>
      <c r="D454" s="10" t="inlineStr">
        <is>
          <t>S2-3</t>
        </is>
      </c>
      <c r="E454" s="10" t="inlineStr">
        <is>
          <t>NFR-04 · NFR-05</t>
        </is>
      </c>
      <c r="F454" s="5" t="inlineStr">
        <is>
          <t>접근성</t>
        </is>
      </c>
      <c r="G454" s="5" t="inlineStr">
        <is>
          <t>미실행</t>
        </is>
      </c>
      <c r="H454" s="10" t="inlineStr">
        <is>
          <t>TalkBack 켬 · `S2-3` 응답 화면</t>
        </is>
      </c>
      <c r="I454" s="10" t="inlineStr">
        <is>
          <t>1. 초점을 하단 음성 안내 뱃지로 옮긴다
2. 낭독되는 문장을 그대로 받아 적는다
3. 그 자리에서 선택(더블탭)을 시도한다</t>
        </is>
      </c>
      <c r="J454" s="10" t="inlineStr">
        <is>
          <t>화면 어디든 길게 눌러 음성인식을 시작할 수 있다는 뜻이 낭독되고 끝에 「버튼」이 붙지 않는다. 선택해도 아무 동작이 일어나지 않는 표시 전용 항목이다</t>
        </is>
      </c>
      <c r="K454" s="10" t="inlineStr"/>
      <c r="L454" s="10" t="inlineStr">
        <is>
          <t>UX 15 1.3 요소 5</t>
        </is>
      </c>
      <c r="M454" s="10" t="inlineStr">
        <is>
          <t>화면 ID 미부여 — 부여 시 TC-ID 이관 대상. 「버튼」으로 읽으면 사용자가 누를 것을 찾는다</t>
        </is>
      </c>
      <c r="N454" s="10" t="inlineStr"/>
    </row>
    <row r="455">
      <c r="A455" s="5" t="n">
        <v>454</v>
      </c>
      <c r="B455" s="10" t="inlineStr">
        <is>
          <t>TC-S2-3-05</t>
        </is>
      </c>
      <c r="C455" s="10" t="inlineStr">
        <is>
          <t>15-음성모드-실행</t>
        </is>
      </c>
      <c r="D455" s="10" t="inlineStr">
        <is>
          <t>S2-3</t>
        </is>
      </c>
      <c r="E455" s="10" t="inlineStr">
        <is>
          <t>MB-2 · V-6</t>
        </is>
      </c>
      <c r="F455" s="5" t="inlineStr">
        <is>
          <t>기능</t>
        </is>
      </c>
      <c r="G455" s="5" t="inlineStr">
        <is>
          <t>미실행</t>
        </is>
      </c>
      <c r="H455" s="10" t="inlineStr">
        <is>
          <t>제안형 응답(도착지 안내)이 표시된 상태 · 진동 켬</t>
        </is>
      </c>
      <c r="I455" s="10" t="inlineStr">
        <is>
          <t>1. [안내 시작]을 선택한다
2. 전환 순간의 음성·진동·화면을 함께 기록한다</t>
        </is>
      </c>
      <c r="J455" s="10" t="inlineStr">
        <is>
          <t>`2-4` 내비게이션으로 전환되며 전환 사실이 음성과 진동으로 함께 안내된다. 화면만 바뀌고 비시각 피드백이 없는 상태가 되지 않는다</t>
        </is>
      </c>
      <c r="K455" s="10" t="inlineStr"/>
      <c r="L455" s="10" t="inlineStr">
        <is>
          <t>UX 15 1.1 이탈 · 1.3 요소 6</t>
        </is>
      </c>
      <c r="M455" s="10" t="inlineStr">
        <is>
          <t>화면 ID 미부여 — 부여 시 TC-ID 이관 대상. 「이전 화면으로」는 대화를 종료하고 홈(`S2-2`)으로 복귀하며 진행 중 TTS를 중단한다</t>
        </is>
      </c>
      <c r="N455" s="10" t="inlineStr"/>
    </row>
    <row r="456">
      <c r="A456" s="5" t="n">
        <v>455</v>
      </c>
      <c r="B456" s="10" t="inlineStr">
        <is>
          <t>TC-S2-3-06</t>
        </is>
      </c>
      <c r="C456" s="10" t="inlineStr">
        <is>
          <t>15-음성모드-실행</t>
        </is>
      </c>
      <c r="D456" s="10" t="inlineStr">
        <is>
          <t>S2-3</t>
        </is>
      </c>
      <c r="E456" s="10" t="inlineStr">
        <is>
          <t>AC-05</t>
        </is>
      </c>
      <c r="F456" s="5" t="inlineStr">
        <is>
          <t>접근성</t>
        </is>
      </c>
      <c r="G456" s="5" t="inlineStr">
        <is>
          <t>미실행</t>
        </is>
      </c>
      <c r="H456" s="10" t="inlineStr">
        <is>
          <t>응답 낭독이 끝난 상태 · TalkBack 켬</t>
        </is>
      </c>
      <c r="I456" s="10" t="inlineStr">
        <is>
          <t>1. [다시 듣기]를 선택한다
2. 재생되는 내용을 직전 응답과 대조한다</t>
        </is>
      </c>
      <c r="J456" s="10" t="inlineStr">
        <is>
          <t>마지막 응답이 같은 문안으로 다시 재생된다. 새로 질의하지 않고도 놓친 안내를 되들을 수 있다</t>
        </is>
      </c>
      <c r="K456" s="10" t="inlineStr"/>
      <c r="L456" s="10" t="inlineStr">
        <is>
          <t>UX 15 1.3 요소 8 · 2.1 요소 1-4 · 2.2 요소 1-3</t>
        </is>
      </c>
      <c r="M456" s="10" t="inlineStr">
        <is>
          <t>화면 ID 미부여 — 부여 시 TC-ID 이관 대상. 측위 실패 시에는 [다시 듣기] 대신 [다시 시도하기]가 제공된다(15 2.1절)</t>
        </is>
      </c>
      <c r="N456" s="10" t="inlineStr"/>
    </row>
    <row r="457">
      <c r="A457" s="5" t="n">
        <v>456</v>
      </c>
      <c r="B457" s="10" t="inlineStr">
        <is>
          <t>TC-S2-3-07</t>
        </is>
      </c>
      <c r="C457" s="10" t="inlineStr">
        <is>
          <t>15-음성모드-실행</t>
        </is>
      </c>
      <c r="D457" s="10" t="inlineStr">
        <is>
          <t>S2-3</t>
        </is>
      </c>
      <c r="E457" s="10" t="inlineStr">
        <is>
          <t>FR-A4</t>
        </is>
      </c>
      <c r="F457" s="5" t="inlineStr">
        <is>
          <t>기능</t>
        </is>
      </c>
      <c r="G457" s="5" t="inlineStr">
        <is>
          <t>미실행</t>
        </is>
      </c>
      <c r="H457" s="10" t="inlineStr">
        <is>
          <t>버스 탑승 중 · 도착지 시청역</t>
        </is>
      </c>
      <c r="I457" s="10" t="inlineStr">
        <is>
          <t>1. 화면을 길게 눌러 「하차 알림 해줘」라고 말한다
2. 응답 낭독과 실행 결과 카드를 확인한다</t>
        </is>
      </c>
      <c r="J457" s="10" t="inlineStr">
        <is>
          <t>하차 1정거장 전 알림이 설정되고, 설정 결과가 음성과 화면으로 함께 확인된다. 결과 카드에 대상 역과 알림 방식이 남고 그 자리에서 해제할 수 있다</t>
        </is>
      </c>
      <c r="K457" s="10" t="inlineStr"/>
      <c r="L457" s="10" t="inlineStr">
        <is>
          <t>UX 15 1.4 의도 1 · 2.2 요소 1 · 5절 응답 규격</t>
        </is>
      </c>
      <c r="M457" s="10" t="inlineStr">
        <is>
          <t>화면 ID 미부여 — 부여 시 TC-ID 이관 대상</t>
        </is>
      </c>
      <c r="N457" s="10" t="inlineStr"/>
    </row>
    <row r="458">
      <c r="A458" s="5" t="n">
        <v>457</v>
      </c>
      <c r="B458" s="10" t="inlineStr">
        <is>
          <t>TC-S2-3-08</t>
        </is>
      </c>
      <c r="C458" s="10" t="inlineStr">
        <is>
          <t>15-음성모드-실행</t>
        </is>
      </c>
      <c r="D458" s="10" t="inlineStr">
        <is>
          <t>S2-3</t>
        </is>
      </c>
      <c r="E458" s="10" t="inlineStr">
        <is>
          <t>FR-A4</t>
        </is>
      </c>
      <c r="F458" s="5" t="inlineStr">
        <is>
          <t>기능</t>
        </is>
      </c>
      <c r="G458" s="5" t="inlineStr">
        <is>
          <t>미실행</t>
        </is>
      </c>
      <c r="H458" s="10" t="inlineStr">
        <is>
          <t>버스 탑승 중 · 도착지까지 3정거장 남은 지점</t>
        </is>
      </c>
      <c r="I458" s="10" t="inlineStr">
        <is>
          <t>1. 화면을 길게 눌러 「몇 정거장 남았어?」라고 말한다
2. 응답 문장에 담긴 항목을 항목별로 기록한다</t>
        </is>
      </c>
      <c r="J458" s="10" t="inlineStr">
        <is>
          <t>남은 정거장 수와 예상 소요 시간이 함께 안내되고, 하차 1정거장 전에 다시 알려준다는 고지가 뒤따른다. 세 항목 중 하나라도 빠지지 않는다</t>
        </is>
      </c>
      <c r="K458" s="10" t="inlineStr"/>
      <c r="L458" s="10" t="inlineStr">
        <is>
          <t>UX 15 1.4 의도 2 · 2.2 요소 2 · 5절 응답 규격</t>
        </is>
      </c>
      <c r="M458" s="10" t="inlineStr">
        <is>
          <t>화면 ID 미부여 — 부여 시 TC-ID 이관 대상</t>
        </is>
      </c>
      <c r="N458" s="10" t="inlineStr"/>
    </row>
    <row r="459">
      <c r="A459" s="5" t="n">
        <v>458</v>
      </c>
      <c r="B459" s="10" t="inlineStr">
        <is>
          <t>TC-S2-3-09</t>
        </is>
      </c>
      <c r="C459" s="10" t="inlineStr">
        <is>
          <t>15-음성모드-실행</t>
        </is>
      </c>
      <c r="D459" s="10" t="inlineStr">
        <is>
          <t>S2-3</t>
        </is>
      </c>
      <c r="E459" s="10" t="inlineStr">
        <is>
          <t>FR-A4</t>
        </is>
      </c>
      <c r="F459" s="5" t="inlineStr">
        <is>
          <t>기능</t>
        </is>
      </c>
      <c r="G459" s="5" t="inlineStr">
        <is>
          <t>미실행</t>
        </is>
      </c>
      <c r="H459" s="10" t="inlineStr">
        <is>
          <t>정류장·승강장 부근에 위치</t>
        </is>
      </c>
      <c r="I459" s="10" t="inlineStr">
        <is>
          <t>1. 화면을 길게 눌러 「승차 위치가 어디야?」라고 말한다
2. 응답에 담긴 항목과 행동 지시 문장의 개수를 센다</t>
        </is>
      </c>
      <c r="J459" s="10" t="inlineStr">
        <is>
          <t>승차 위치 번호·시계 방향·남은 거리가 함께 안내되고, 다음에 할 행동을 지시하는 문장이 정확히 한 개다. 두 개 이상의 행동을 한 응답에 담지 않는다</t>
        </is>
      </c>
      <c r="K459" s="10" t="inlineStr"/>
      <c r="L459" s="10" t="inlineStr">
        <is>
          <t>UX 15 1.4 의도 5 · 2.2 요소 3 · 5절 응답 규격</t>
        </is>
      </c>
      <c r="M459" s="10" t="inlineStr">
        <is>
          <t>화면 ID 미부여 — 부여 시 TC-ID 이관 대상. ⬜ 실내 그리드 셀 단위 표기는 `06-실내내비` `U-100` 종속 미확정</t>
        </is>
      </c>
      <c r="N459" s="10" t="inlineStr"/>
    </row>
    <row r="460">
      <c r="A460" s="5" t="n">
        <v>459</v>
      </c>
      <c r="B460" s="10" t="inlineStr">
        <is>
          <t>TC-S2-3-10</t>
        </is>
      </c>
      <c r="C460" s="10" t="inlineStr">
        <is>
          <t>15-음성모드-실행</t>
        </is>
      </c>
      <c r="D460" s="10" t="inlineStr">
        <is>
          <t>S2-3</t>
        </is>
      </c>
      <c r="E460" s="10" t="inlineStr">
        <is>
          <t>V-9 · AC-05</t>
        </is>
      </c>
      <c r="F460" s="5" t="inlineStr">
        <is>
          <t>접근성</t>
        </is>
      </c>
      <c r="G460" s="5" t="inlineStr">
        <is>
          <t>미실행</t>
        </is>
      </c>
      <c r="H460" s="10" t="inlineStr">
        <is>
          <t>하차 알림이 설정된 상태 · 주변 소음이 커 음성 입력이 실패하는 상황을 가정</t>
        </is>
      </c>
      <c r="I460" s="10" t="inlineStr">
        <is>
          <t>1. 음성으로 알림 해제를 시도해 실패시킨다
2. 화면에서 [알림 끄기]를 찾아 선택한다
3. [대화 종료]를 누르지 않은 채 30초 대기한다</t>
        </is>
      </c>
      <c r="J460" s="10" t="inlineStr">
        <is>
          <t>음성 입력 없이도 [알림 끄기] 버튼으로 알림을 끌 수 있고, [대화 종료]를 누르기 전에는 대화가 임의로 종료되지 않는다. 대화 UI가 유일한 조작 경로가 되지 않는다</t>
        </is>
      </c>
      <c r="K460" s="10" t="inlineStr"/>
      <c r="L460" s="10" t="inlineStr">
        <is>
          <t>UX 15 2.2 요소 1-2·1-3 및 그 아래 주석</t>
        </is>
      </c>
      <c r="M460" s="10" t="inlineStr">
        <is>
          <t>화면 ID 미부여 — 부여 시 TC-ID 이관 대상. 시작도 종료도 사용자 확인을 거친다</t>
        </is>
      </c>
      <c r="N460" s="10" t="inlineStr"/>
    </row>
    <row r="461">
      <c r="A461" s="5" t="n">
        <v>460</v>
      </c>
      <c r="B461" s="10" t="inlineStr">
        <is>
          <t>TC-S2-3-11</t>
        </is>
      </c>
      <c r="C461" s="10" t="inlineStr">
        <is>
          <t>15-음성모드-실행</t>
        </is>
      </c>
      <c r="D461" s="10" t="inlineStr">
        <is>
          <t>S2-3</t>
        </is>
      </c>
      <c r="E461" s="10" t="inlineStr">
        <is>
          <t>US-01</t>
        </is>
      </c>
      <c r="F461" s="5" t="inlineStr">
        <is>
          <t>시나리오</t>
        </is>
      </c>
      <c r="G461" s="5" t="inlineStr">
        <is>
          <t>미실행</t>
        </is>
      </c>
      <c r="H461" s="10" t="inlineStr">
        <is>
          <t>전맹 모드로 앱 실행 · 위치 권한 허용 · 스크린리더 활성 · 측위 정상</t>
        </is>
      </c>
      <c r="I461" s="10" t="inlineStr">
        <is>
          <t>1. `ONAV-01`의 [음성인식 시작하기]로 진입해 화면을 길게 눌러 「내 앞에 뭐가 있어?」라고 말한다
2. 응답 낭독을 순서대로 받아 적는다
3. 각 항목에 방향·거리가 붙었는지 확인한다</t>
        </is>
      </c>
      <c r="J461" s="10" t="inlineStr">
        <is>
          <t>현재 위치 기준 지형지물이 시계방향 순서로 안내되고, 각 항목에 방향과 남은 거리가 함께 붙으며 예상 보행시간이 뒤따른다. 응답이 TTS 음성과 화면 텍스트로 동시에 제공된다</t>
        </is>
      </c>
      <c r="K461" s="10" t="inlineStr"/>
      <c r="L461" s="10" t="inlineStr">
        <is>
          <t>UX 15 2.1 요소 1·1-3 · 응답 문안(정상) · PRD 1부 US-01 Scenario 1</t>
        </is>
      </c>
      <c r="M461" s="10" t="inlineStr">
        <is>
          <t>화면 ID 미부여 — 부여 시 TC-ID 이관 대상. 계단은 오르내림까지 붙인다(「계단(내려가는 방향)」). ⬜ 탐색 반경·항목 수 상한·읽는 순서는 `U-04`·`M-41` 미확정이라 항목 개수는 판정 대상이 아니다</t>
        </is>
      </c>
      <c r="N461" s="10" t="inlineStr"/>
    </row>
    <row r="462">
      <c r="A462" s="5" t="n">
        <v>461</v>
      </c>
      <c r="B462" s="10" t="inlineStr">
        <is>
          <t>TC-S2-3-12</t>
        </is>
      </c>
      <c r="C462" s="10" t="inlineStr">
        <is>
          <t>15-음성모드-실행</t>
        </is>
      </c>
      <c r="D462" s="10" t="inlineStr">
        <is>
          <t>S2-3</t>
        </is>
      </c>
      <c r="E462" s="10" t="inlineStr">
        <is>
          <t>US-01</t>
        </is>
      </c>
      <c r="F462" s="5" t="inlineStr">
        <is>
          <t>접근성</t>
        </is>
      </c>
      <c r="G462" s="5" t="inlineStr">
        <is>
          <t>미실행</t>
        </is>
      </c>
      <c r="H462" s="10" t="inlineStr">
        <is>
          <t>측위 정상 · 주변 탐색 응답을 10회 이상 수집</t>
        </is>
      </c>
      <c r="I462" s="10" t="inlineStr">
        <is>
          <t>1. 여러 지점에서 「내 앞에 뭐가 있어?」를 반복 질의한다
2. 응답 문안에 방향을 가리키는 표현을 모두 추출한다</t>
        </is>
      </c>
      <c r="J462" s="10" t="inlineStr">
        <is>
          <t>방향 표현이 모두 시계 방향(12시·3시 등)이며 「왼쪽」·「오른쪽」이 한 번도 쓰이지 않는다</t>
        </is>
      </c>
      <c r="K462" s="10" t="inlineStr"/>
      <c r="L462" s="10" t="inlineStr">
        <is>
          <t>UX 15 2.1 요소 1-3</t>
        </is>
      </c>
      <c r="M462" s="10" t="inlineStr">
        <is>
          <t>화면 ID 미부여 — 부여 시 TC-ID 이관 대상. 좌·우는 사용자가 향한 방향에 따라 뜻이 갈린다</t>
        </is>
      </c>
      <c r="N462" s="10" t="inlineStr"/>
    </row>
    <row r="463">
      <c r="A463" s="5" t="n">
        <v>462</v>
      </c>
      <c r="B463" s="10" t="inlineStr">
        <is>
          <t>TC-S2-3-13</t>
        </is>
      </c>
      <c r="C463" s="10" t="inlineStr">
        <is>
          <t>15-음성모드-실행</t>
        </is>
      </c>
      <c r="D463" s="10" t="inlineStr">
        <is>
          <t>S2-3</t>
        </is>
      </c>
      <c r="E463" s="10" t="inlineStr">
        <is>
          <t>US-01 · NFR-04</t>
        </is>
      </c>
      <c r="F463" s="5" t="inlineStr">
        <is>
          <t>시나리오</t>
        </is>
      </c>
      <c r="G463" s="5" t="inlineStr">
        <is>
          <t>미실행</t>
        </is>
      </c>
      <c r="H463" s="10" t="inlineStr">
        <is>
          <t>주변 탐색 응답이 낭독되는 중 · TalkBack 켬</t>
        </is>
      </c>
      <c r="I463" s="10" t="inlineStr">
        <is>
          <t>1. 모드 동작 직후 가장 먼저 낭독되는 문구를 받아 적는다
2. 낭독 중 화면 여러 곳을 짧게 누른다(탭)
3. 낭독이 이어지는지 확인한다</t>
        </is>
      </c>
      <c r="J463" s="10" t="inlineStr">
        <is>
          <t>가장 먼저 「음성 안내 중 · 화면을 눌러도 끊기지 않습니다」가 낭독되고 그다음 「위치를 확인하는 중입니다.」가 온다. 탭으로는 안내가 중단되지 않으며 같은 문구가 화면에도 표시된다</t>
        </is>
      </c>
      <c r="K463" s="10" t="inlineStr"/>
      <c r="L463" s="10" t="inlineStr">
        <is>
          <t>UX 15 2.1 요소 1-1·1-2 · PRD 1부 US-01 Scenario 1</t>
        </is>
      </c>
      <c r="M463" s="10" t="inlineStr">
        <is>
          <t>화면 ID 미부여 — 부여 시 TC-ID 이관 대상. 적용 범위는 탭이며 롱프레스는 새 질의 의도라 중단한다(TC-S2-3-15)</t>
        </is>
      </c>
      <c r="N463" s="10" t="inlineStr"/>
    </row>
    <row r="464">
      <c r="A464" s="5" t="n">
        <v>463</v>
      </c>
      <c r="B464" s="10" t="inlineStr">
        <is>
          <t>TC-S2-3-14</t>
        </is>
      </c>
      <c r="C464" s="10" t="inlineStr">
        <is>
          <t>15-음성모드-실행</t>
        </is>
      </c>
      <c r="D464" s="10" t="inlineStr">
        <is>
          <t>S2-3</t>
        </is>
      </c>
      <c r="E464" s="10" t="inlineStr">
        <is>
          <t>US-01 · V-6 · V-4</t>
        </is>
      </c>
      <c r="F464" s="5" t="inlineStr">
        <is>
          <t>시나리오</t>
        </is>
      </c>
      <c r="G464" s="5" t="inlineStr">
        <is>
          <t>미실행</t>
        </is>
      </c>
      <c r="H464" s="10" t="inlineStr">
        <is>
          <t>지하 구간 등으로 통신·측위가 두절된 상태 · 직전 확인 위치가 있음</t>
        </is>
      </c>
      <c r="I464" s="10" t="inlineStr">
        <is>
          <t>1. 화면을 길게 눌러 「내 앞에 뭐가 있어?」라고 말한다
2. 응답 낭독을 받아 적는다
3. 제시되는 버튼 구성을 확인한다</t>
        </is>
      </c>
      <c r="J464" s="10" t="inlineStr">
        <is>
          <t>위치를 가져올 수 없다는 사실을 먼저 안내하고 마지막 확인 위치와 확인 시각을 함께 알린다. 주변 지형지물을 추정해 안내하지 않으며 [다시 듣기] 대신 [다시 시도하기]가 제공된다</t>
        </is>
      </c>
      <c r="K464" s="10" t="inlineStr"/>
      <c r="L464" s="10" t="inlineStr">
        <is>
          <t>UX 15 1.5 예외(측위 실패) · 2.1 응답 문안(측위 실패) · PRD 1부 US-01 Scenario 2</t>
        </is>
      </c>
      <c r="M464" s="10" t="inlineStr">
        <is>
          <t>화면 ID 미부여 — 부여 시 TC-ID 이관 대상. ⬜ 「2분 전」의 절대 시각 병기 여부와 안내 도중 측위 복구 처리는 미확정(15 2.1절)</t>
        </is>
      </c>
      <c r="N464" s="10" t="inlineStr"/>
    </row>
    <row r="465">
      <c r="A465" s="5" t="n">
        <v>464</v>
      </c>
      <c r="B465" s="10" t="inlineStr">
        <is>
          <t>TC-S2-3-15</t>
        </is>
      </c>
      <c r="C465" s="10" t="inlineStr">
        <is>
          <t>15-음성모드-실행</t>
        </is>
      </c>
      <c r="D465" s="10" t="inlineStr">
        <is>
          <t>S2-3</t>
        </is>
      </c>
      <c r="E465" s="10" t="inlineStr">
        <is>
          <t>NFR-04 · V-6</t>
        </is>
      </c>
      <c r="F465" s="5" t="inlineStr">
        <is>
          <t>기능</t>
        </is>
      </c>
      <c r="G465" s="5" t="inlineStr">
        <is>
          <t>미실행</t>
        </is>
      </c>
      <c r="H465" s="10" t="inlineStr">
        <is>
          <t>응답 TTS가 재생되는 중 · 의도 5종을 각각 재생 중 상태로 준비</t>
        </is>
      </c>
      <c r="I465" s="10" t="inlineStr">
        <is>
          <t>1. 재생 중 화면을 짧게 누른다(탭)
2. 이어서 재생 중 화면을 길게 누른다
3. 의도 5종 각각에서 같은 조작을 반복한다</t>
        </is>
      </c>
      <c r="J465" s="10" t="inlineStr">
        <is>
          <t>탭으로는 안내가 끊기지 않고, 길게 누르면 진행 중 안내가 중단되며 수집이 시작된다. 의도 5종 전부에서 같게 동작한다</t>
        </is>
      </c>
      <c r="K465" s="10" t="inlineStr"/>
      <c r="L465" s="10" t="inlineStr">
        <is>
          <t>UX 15 1.5 예외(TTS 재생 중 새 질의) · 2.1 요소 1-1 · `14` 3.2·3.3절</t>
        </is>
      </c>
      <c r="M465" s="10" t="inlineStr">
        <is>
          <t>화면 ID 미부여 — 부여 시 TC-ID 이관 대상. 낭독과 발화가 겹치면 둘 다 실패한다</t>
        </is>
      </c>
      <c r="N465" s="10" t="inlineStr"/>
    </row>
    <row r="466">
      <c r="A466" s="5" t="n">
        <v>465</v>
      </c>
      <c r="B466" s="10" t="inlineStr">
        <is>
          <t>TC-S2-3-16</t>
        </is>
      </c>
      <c r="C466" s="10" t="inlineStr">
        <is>
          <t>15-음성모드-실행</t>
        </is>
      </c>
      <c r="D466" s="10" t="inlineStr">
        <is>
          <t>S2-3</t>
        </is>
      </c>
      <c r="E466" s="10" t="inlineStr">
        <is>
          <t>SC-06 · US-01</t>
        </is>
      </c>
      <c r="F466" s="5" t="inlineStr">
        <is>
          <t>시나리오</t>
        </is>
      </c>
      <c r="G466" s="12" t="inlineStr">
        <is>
          <t>보류</t>
        </is>
      </c>
      <c r="H466" s="10" t="inlineStr">
        <is>
          <t>주변 탐색(`US-01`) 기능을 실행할 수 있는 상태</t>
        </is>
      </c>
      <c r="I466" s="10" t="inlineStr">
        <is>
          <t>1. 주변 탐색이 독립 화면으로 열리는지, `S2-3`의 한 응답으로 제공되는지 확인한다
2. 독립 화면이라면 그 화면 ID와 진입점을 기록한다</t>
        </is>
      </c>
      <c r="J466" s="10" t="inlineStr">
        <is>
          <t>요건 층과 UX 정본이 갈려 합/불합을 가를 수 없다. `SC-06`은 「음성 대화창 안의 한 질의로 흡수하지 않고 독립 화면으로 세운다」이고, UX 15 1.3절은 「내 앞에 무엇이 있나요?는 독립 화면이 아니라 이 화면의 한 응답이다」로 응답에 흡수했다</t>
        </is>
      </c>
      <c r="K466" s="10" t="inlineStr"/>
      <c r="L466" s="10" t="inlineStr">
        <is>
          <t>PRD 2부 7.4 `SC-06` · UX 15 1.3 본문 주석(`U-67`) · adr/2026-08-21-주변탐색-범위포함-독립화면-확정</t>
        </is>
      </c>
      <c r="M466" s="10" t="inlineStr">
        <is>
          <t>화면 ID 미부여 — 부여 시 TC-ID 이관 대상. 범위 포함은 2026-08-21 PM 판정으로 확정됐고 갈리는 것은 형태다. UX 레지스터 `U-02`·`U-58`·`U-67`, PRD `U-35`가 같은 사안이며 형태가 정해지면 TC-S2-3-11~14의 화면 키도 함께 옮긴다</t>
        </is>
      </c>
      <c r="N466" s="10" t="inlineStr"/>
    </row>
    <row r="467">
      <c r="A467" s="5" t="n">
        <v>466</v>
      </c>
      <c r="B467" s="10" t="inlineStr">
        <is>
          <t>TC-S2-3-17</t>
        </is>
      </c>
      <c r="C467" s="10" t="inlineStr">
        <is>
          <t>15-음성모드-실행</t>
        </is>
      </c>
      <c r="D467" s="10" t="inlineStr">
        <is>
          <t>S2-3</t>
        </is>
      </c>
      <c r="E467" s="10" t="inlineStr">
        <is>
          <t>V-6</t>
        </is>
      </c>
      <c r="F467" s="5" t="inlineStr">
        <is>
          <t>기능</t>
        </is>
      </c>
      <c r="G467" s="5" t="inlineStr">
        <is>
          <t>미실행</t>
        </is>
      </c>
      <c r="H467" s="10" t="inlineStr">
        <is>
          <t>버스에 탑승하지 않은 상태(탑승 정보 없음)</t>
        </is>
      </c>
      <c r="I467" s="10" t="inlineStr">
        <is>
          <t>1. 화면을 길게 눌러 「하차 알림 해줘」라고 말한다
2. 응답 문안을 받아 적는다
3. 실제로 알림이 설정됐는지 확인한다</t>
        </is>
      </c>
      <c r="J467" s="10" t="inlineStr">
        <is>
          <t>「지금은 버스 탑승 정보가 없어서 하차 알림을 설정할 수 없어요. 버스에 타신 뒤에 다시 말씀해 주세요.」처럼 사유와 해결책이 함께 낭독된다. 침묵하거나 설정된 것처럼 응답하지 않는다</t>
        </is>
      </c>
      <c r="K467" s="10" t="inlineStr"/>
      <c r="L467" s="10" t="inlineStr">
        <is>
          <t>UX 15 1.5 예외(실행 조건 미충족)</t>
        </is>
      </c>
      <c r="M467" s="10" t="inlineStr">
        <is>
          <t>화면 ID 미부여 — 부여 시 TC-ID 이관 대상. ⬜ 「탑승 중」 판정 기준은 앱·서버 소관 미확정이며 문안은 확정됐다</t>
        </is>
      </c>
      <c r="N467" s="10" t="inlineStr"/>
    </row>
    <row r="468">
      <c r="A468" s="5" t="n">
        <v>467</v>
      </c>
      <c r="B468" s="10" t="inlineStr">
        <is>
          <t>TC-S2-3-18</t>
        </is>
      </c>
      <c r="C468" s="10" t="inlineStr">
        <is>
          <t>15-음성모드-실행</t>
        </is>
      </c>
      <c r="D468" s="10" t="inlineStr">
        <is>
          <t>S2-3</t>
        </is>
      </c>
      <c r="E468" s="10" t="inlineStr">
        <is>
          <t>V-6</t>
        </is>
      </c>
      <c r="F468" s="5" t="inlineStr">
        <is>
          <t>기능</t>
        </is>
      </c>
      <c r="G468" s="12" t="inlineStr">
        <is>
          <t>보류</t>
        </is>
      </c>
      <c r="H468" s="10" t="inlineStr">
        <is>
          <t>의도 5종으로 분류되지 않는 발화를 준비</t>
        </is>
      </c>
      <c r="I468" s="10" t="inlineStr">
        <is>
          <t>1. 화면을 길게 눌러 분류 불가 발화를 한다
2. 응답과 이후 동작을 기록한다</t>
        </is>
      </c>
      <c r="J468" s="10" t="inlineStr">
        <is>
          <t>되묻기 문안이 정해지지 않아 합/불합을 가를 수 없다. 무음 실패 금지상 되묻기가 필요하다는 것까지만 확정돼 있다</t>
        </is>
      </c>
      <c r="K468" s="10" t="inlineStr"/>
      <c r="L468" s="10" t="inlineStr">
        <is>
          <t>UX 15 1.5 예외(의도 분류 실패) · 5절 미확정(`M-22`)</t>
        </is>
      </c>
      <c r="M468" s="10" t="inlineStr">
        <is>
          <t>화면 ID 미부여 — 부여 시 TC-ID 이관 대상. 의도별 발화 변형·미인식·의도 외 발화·오인식 정정 흐름은 `M-22`(외부 아로 규격 ~10/26) 종속</t>
        </is>
      </c>
      <c r="N468" s="10" t="inlineStr"/>
    </row>
    <row r="469">
      <c r="A469" s="5" t="n">
        <v>468</v>
      </c>
      <c r="B469" s="10" t="inlineStr">
        <is>
          <t>TC-S2-3-19</t>
        </is>
      </c>
      <c r="C469" s="10" t="inlineStr">
        <is>
          <t>15-음성모드-실행</t>
        </is>
      </c>
      <c r="D469" s="10" t="inlineStr">
        <is>
          <t>S2-3</t>
        </is>
      </c>
      <c r="E469" s="10" t="inlineStr">
        <is>
          <t>V-6 · V-4</t>
        </is>
      </c>
      <c r="F469" s="5" t="inlineStr">
        <is>
          <t>기능</t>
        </is>
      </c>
      <c r="G469" s="5" t="inlineStr">
        <is>
          <t>미실행</t>
        </is>
      </c>
      <c r="H469" s="10" t="inlineStr">
        <is>
          <t>정류장에서 버스 도착 대기 중</t>
        </is>
      </c>
      <c r="I469" s="10" t="inlineStr">
        <is>
          <t>1. 화면을 길게 눌러 「몇 번째로 들어와?」라고 말한다
2. 응답 문안과 이어지는 버튼을 기록한다</t>
        </is>
      </c>
      <c r="J469" s="10" t="inlineStr">
        <is>
          <t>도착 순서는 알려줄 수 없다는 사실과 함께 저상버스 도착 즉시 알려주겠다는 대체안이 제시되고 [도착 알림 켜기]가 따라온다. 침묵하거나 모른다로 끝나지 않는다</t>
        </is>
      </c>
      <c r="K469" s="10" t="inlineStr"/>
      <c r="L469" s="10" t="inlineStr">
        <is>
          <t>UX 15 4절 제공 불가 ① · 추가 사양(도착 판정)</t>
        </is>
      </c>
      <c r="M469" s="10" t="inlineStr">
        <is>
          <t>화면 ID 미부여 — 부여 시 TC-ID 이관 대상. ⬜ [도착 알림 켜기]의 이동처(대화 안 처리인지 화면 이동인지) 미확정</t>
        </is>
      </c>
      <c r="N469" s="10" t="inlineStr"/>
    </row>
    <row r="470">
      <c r="A470" s="5" t="n">
        <v>469</v>
      </c>
      <c r="B470" s="10" t="inlineStr">
        <is>
          <t>TC-S2-3-20</t>
        </is>
      </c>
      <c r="C470" s="10" t="inlineStr">
        <is>
          <t>15-음성모드-실행</t>
        </is>
      </c>
      <c r="D470" s="10" t="inlineStr">
        <is>
          <t>S2-3</t>
        </is>
      </c>
      <c r="E470" s="10" t="inlineStr">
        <is>
          <t>V-6</t>
        </is>
      </c>
      <c r="F470" s="5" t="inlineStr">
        <is>
          <t>기능</t>
        </is>
      </c>
      <c r="G470" s="5" t="inlineStr">
        <is>
          <t>미실행</t>
        </is>
      </c>
      <c r="H470" s="10" t="inlineStr">
        <is>
          <t>저상버스 예약이 이미 발신돼 기사에게 전달된 상태</t>
        </is>
      </c>
      <c r="I470" s="10" t="inlineStr">
        <is>
          <t>1. 화면을 길게 눌러 「예약 취소해줘」라고 말한다
2. 응답 문안과 이어지는 버튼을 기록한다
3. 예약 상태가 바뀌었는지 확인한다</t>
        </is>
      </c>
      <c r="J470" s="10" t="inlineStr">
        <is>
          <t>이미 전달된 예약이라 취소할 수 없다는 사유와 도착 시 알려주겠다는 대체안이 함께 낭독되고 [예약 내역 보기]가 따라온다. 취소된 것처럼 응답하지 않는다</t>
        </is>
      </c>
      <c r="K470" s="10" t="inlineStr"/>
      <c r="L470" s="10" t="inlineStr">
        <is>
          <t>UX 15 4절 제공 불가 ② · 추가 사양(예약 취소)</t>
        </is>
      </c>
      <c r="M470" s="10" t="inlineStr">
        <is>
          <t>화면 ID 미부여 — 부여 시 TC-ID 이관 대상. 30분 자동 취소는 「만료」이며 취소 요청과 별개다</t>
        </is>
      </c>
      <c r="N470" s="10" t="inlineStr"/>
    </row>
    <row r="471">
      <c r="A471" s="5" t="n">
        <v>470</v>
      </c>
      <c r="B471" s="10" t="inlineStr">
        <is>
          <t>TC-S2-3-21</t>
        </is>
      </c>
      <c r="C471" s="10" t="inlineStr">
        <is>
          <t>15-음성모드-실행</t>
        </is>
      </c>
      <c r="D471" s="10" t="inlineStr">
        <is>
          <t>S2-3</t>
        </is>
      </c>
      <c r="E471" s="10" t="inlineStr">
        <is>
          <t>V-6 · V-4</t>
        </is>
      </c>
      <c r="F471" s="5" t="inlineStr">
        <is>
          <t>기능</t>
        </is>
      </c>
      <c r="G471" s="12" t="inlineStr">
        <is>
          <t>보류</t>
        </is>
      </c>
      <c r="H471" s="10" t="inlineStr">
        <is>
          <t>정류장 반경 50m 밖에 위치</t>
        </is>
      </c>
      <c r="I471" s="10" t="inlineStr">
        <is>
          <t>1. 화면을 길게 눌러 「미리 예약해둘래」라고 말한다
2. 응답 문안과 상태 카드를 받아 적는다
3. 문안에 적힌 발신 조건을 4절 추가 사양의 트리거 조건과 대조한다</t>
        </is>
      </c>
      <c r="J471" s="10" t="inlineStr">
        <is>
          <t>문안과 트리거 조건이 갈려 합/불합을 가를 수 없다. 응답 문안은 정류장 50m 접근만 조건으로 적고 있으나 실제 트리거는 50m 접근과 해당 차량 2정거장 전의 2조건이다</t>
        </is>
      </c>
      <c r="K471" s="10" t="inlineStr"/>
      <c r="L471" s="10" t="inlineStr">
        <is>
          <t>UX 15 4절 제공 불가 ③ · 그 아래 주석(`U-111` 묶음)</t>
        </is>
      </c>
      <c r="M471" s="10" t="inlineStr">
        <is>
          <t>화면 ID 미부여 — 부여 시 TC-ID 이관 대상. 문안 개정 대상으로 `U-111` 묶음에 올라 있다. 판정 주체는 앱이다 — 서버는 개인의 위치를 알 수 없다</t>
        </is>
      </c>
      <c r="N471" s="10" t="inlineStr"/>
    </row>
    <row r="472">
      <c r="A472" s="5" t="n">
        <v>471</v>
      </c>
      <c r="B472" s="10" t="inlineStr">
        <is>
          <t>TC-S2-3-22</t>
        </is>
      </c>
      <c r="C472" s="10" t="inlineStr">
        <is>
          <t>15-음성모드-실행</t>
        </is>
      </c>
      <c r="D472" s="10" t="inlineStr">
        <is>
          <t>S2-3</t>
        </is>
      </c>
      <c r="E472" s="10" t="inlineStr">
        <is>
          <t>V-6 · V-4</t>
        </is>
      </c>
      <c r="F472" s="5" t="inlineStr">
        <is>
          <t>기능</t>
        </is>
      </c>
      <c r="G472" s="5" t="inlineStr">
        <is>
          <t>미실행</t>
        </is>
      </c>
      <c r="H472" s="10" t="inlineStr">
        <is>
          <t>버스 도착 대기 또는 탑승 중</t>
        </is>
      </c>
      <c r="I472" s="10" t="inlineStr">
        <is>
          <t>1. 화면을 길게 눌러 「자리 있어?」라고 말한다
2. 응답 문안을 받아 적는다</t>
        </is>
      </c>
      <c r="J472" s="10" t="inlineStr">
        <is>
          <t>혼잡도 안내가 아직 준비 중이라는 사실과 함께 저상버스 도착 여부·저상 여부는 안내할 수 있다는 대안이 제시된다. 침묵하거나 값이 있는 것처럼 응답하지 않는다</t>
        </is>
      </c>
      <c r="K472" s="10" t="inlineStr"/>
      <c r="L472" s="10" t="inlineStr">
        <is>
          <t>UX 15 4절 제공 불가 ④ · 추가 사양(혼잡도)</t>
        </is>
      </c>
      <c r="M472" s="10" t="inlineStr">
        <is>
          <t>화면 ID 미부여 — 부여 시 TC-ID 이관 대상. 이번 릴리즈 범위 밖이며 2027-01-04 이후 고도화 단계 배정</t>
        </is>
      </c>
      <c r="N472" s="10" t="inlineStr"/>
    </row>
    <row r="473">
      <c r="A473" s="5" t="n">
        <v>472</v>
      </c>
      <c r="B473" s="10" t="inlineStr">
        <is>
          <t>TC-S2-3-23</t>
        </is>
      </c>
      <c r="C473" s="10" t="inlineStr">
        <is>
          <t>15-음성모드-실행</t>
        </is>
      </c>
      <c r="D473" s="10" t="inlineStr">
        <is>
          <t>S2-3</t>
        </is>
      </c>
      <c r="E473" s="10" t="inlineStr">
        <is>
          <t>L-4</t>
        </is>
      </c>
      <c r="F473" s="5" t="inlineStr">
        <is>
          <t>기능</t>
        </is>
      </c>
      <c r="G473" s="5" t="inlineStr">
        <is>
          <t>미실행</t>
        </is>
      </c>
      <c r="H473" s="10" t="inlineStr">
        <is>
          <t>앱 내 언어 설정에서 언어를 한 곳에서만 고를 수 있는 상태</t>
        </is>
      </c>
      <c r="I473" s="10" t="inlineStr">
        <is>
          <t>1. 앱 내 언어를 한국어에서 다른 로케일로 바꾼다
2. `S2-3`에서 의도 5종 중 하나를 질의한다
3. 응답의 화면 텍스트와 TTS 음성 언어를 각각 확인한다</t>
        </is>
      </c>
      <c r="J473" s="10" t="inlineStr">
        <is>
          <t>한 곳에서 고른 언어가 화면 텍스트와 TTS 음성에 모두 적용된다. 음성 안내 언어를 따로 고르는 설정이 없고 두 언어가 어긋나지 않는다</t>
        </is>
      </c>
      <c r="K473" s="10" t="inlineStr"/>
      <c r="L473" s="10" t="inlineStr">
        <is>
          <t>PRD 2부 6.9 L-4 · UX 15 1.3 요소 3</t>
        </is>
      </c>
      <c r="M473" s="10" t="inlineStr">
        <is>
          <t>화면 ID 미부여 — 부여 시 TC-ID 이관 대상. 다국어 TTS 합성은 서버 엔진 몫이고 앱은 언어 파라미터 전달과 표출을 담당한다</t>
        </is>
      </c>
      <c r="N473" s="10" t="inlineStr"/>
    </row>
    <row r="474">
      <c r="A474" s="5" t="n">
        <v>473</v>
      </c>
      <c r="B474" s="10" t="inlineStr">
        <is>
          <t>TC-S2-3-24</t>
        </is>
      </c>
      <c r="C474" s="10" t="inlineStr">
        <is>
          <t>15-음성모드-실행</t>
        </is>
      </c>
      <c r="D474" s="10" t="inlineStr">
        <is>
          <t>S2-3</t>
        </is>
      </c>
      <c r="E474" s="10" t="inlineStr">
        <is>
          <t>NFR-02 · NFR-08</t>
        </is>
      </c>
      <c r="F474" s="5" t="inlineStr">
        <is>
          <t>접근성</t>
        </is>
      </c>
      <c r="G474" s="5" t="inlineStr">
        <is>
          <t>미실행</t>
        </is>
      </c>
      <c r="H474" s="10" t="inlineStr">
        <is>
          <t>제안형 응답과 주변 안내 응답이 각각 표시된 상태 · 개발자 옵션 레이아웃 경계 표시 켬</t>
        </is>
      </c>
      <c r="I474" s="10" t="inlineStr">
        <is>
          <t>1. [안내 시작]·[다른 경로]·[다시 듣기]·[이전 화면으로]의 터치 영역과 간격을 잰다
2. 응답 표시 후 아무 버튼도 누르지 않고 5분 기다린 뒤 버튼이 그대로 있는지 확인한다</t>
        </is>
      </c>
      <c r="J474" s="10" t="inlineStr">
        <is>
          <t>네 버튼 모두 터치 영역이 44×44pt 이상이고 간격이 8px 이상이며, 대기해도 버튼이 사라지거나 선택 기회가 만료되지 않는다</t>
        </is>
      </c>
      <c r="K474" s="10" t="inlineStr"/>
      <c r="L474" s="10" t="inlineStr">
        <is>
          <t>PRD 1부 NFR-02·NFR-08 · UX 15 1.3 요소 6~9 · `14` 3.3절</t>
        </is>
      </c>
      <c r="M474" s="10" t="inlineStr">
        <is>
          <t>화면 ID 미부여 — 부여 시 TC-ID 이관 대상. 재시도·재청취 경로에 시간 제한이 붙으면 그때 NFR-08 연장·해제 수단이 필요해진다</t>
        </is>
      </c>
      <c r="N474" s="10" t="inlineStr"/>
    </row>
    <row r="475">
      <c r="A475" s="5" t="n">
        <v>474</v>
      </c>
      <c r="B475" s="10" t="inlineStr">
        <is>
          <t>TC-S2-4-01</t>
        </is>
      </c>
      <c r="C475" s="10" t="inlineStr">
        <is>
          <t>15-음성모드-실행</t>
        </is>
      </c>
      <c r="D475" s="10" t="inlineStr">
        <is>
          <t>S2-4</t>
        </is>
      </c>
      <c r="E475" s="10" t="inlineStr">
        <is>
          <t>G-1 · MB-2 · FR-R9</t>
        </is>
      </c>
      <c r="F475" s="5" t="inlineStr">
        <is>
          <t>기능</t>
        </is>
      </c>
      <c r="G475" s="5" t="inlineStr">
        <is>
          <t>미실행</t>
        </is>
      </c>
      <c r="H475" s="10" t="inlineStr">
        <is>
          <t>일반 응답 TTS가 재생되는 중 · 서버에서 우회 이벤트를 발생시킬 수 있는 시험 환경</t>
        </is>
      </c>
      <c r="I475" s="10" t="inlineStr">
        <is>
          <t>1. 일반 질의를 보내 응답이 낭독되는 중에 우회 이벤트를 발생시킨다
2. 심각한 지연·사고·플랫폼 변경 이벤트로도 같은 절차를 반복한다
3. 송출 순서를 기록한다</t>
        </is>
      </c>
      <c r="J475" s="10" t="inlineStr">
        <is>
          <t>네 종류 모두 진행 중이던 일반 대화·일반 안내를 선점하고 먼저 송출된다. 일반 응답이 끝날 때까지 대기했다가 나가지 않는다</t>
        </is>
      </c>
      <c r="K475" s="10" t="inlineStr"/>
      <c r="L475" s="10" t="inlineStr">
        <is>
          <t>PRD 2부 6.8 G-1 · MB-2 · UX 15 3.3 우선순위</t>
        </is>
      </c>
      <c r="M475" s="10" t="inlineStr">
        <is>
          <t>화면 ID 미부여 — 부여 시 TC-ID 이관 대상. 선점 근거는 `GuideEvent.priority`다</t>
        </is>
      </c>
      <c r="N475" s="10" t="inlineStr"/>
    </row>
    <row r="476">
      <c r="A476" s="5" t="n">
        <v>475</v>
      </c>
      <c r="B476" s="10" t="inlineStr">
        <is>
          <t>TC-S2-4-02</t>
        </is>
      </c>
      <c r="C476" s="10" t="inlineStr">
        <is>
          <t>15-음성모드-실행</t>
        </is>
      </c>
      <c r="D476" s="10" t="inlineStr">
        <is>
          <t>S2-4</t>
        </is>
      </c>
      <c r="E476" s="10" t="inlineStr">
        <is>
          <t>FR-R9 · G-1</t>
        </is>
      </c>
      <c r="F476" s="5" t="inlineStr">
        <is>
          <t>기능</t>
        </is>
      </c>
      <c r="G476" s="5" t="inlineStr">
        <is>
          <t>미실행</t>
        </is>
      </c>
      <c r="H476" s="10" t="inlineStr">
        <is>
          <t>음성인식 채팅 중이며 응답 TTS가 재생되는 상태 · TalkBack 켬</t>
        </is>
      </c>
      <c r="I476" s="10" t="inlineStr">
        <is>
          <t>1. 응답 낭독 중 긴급 이벤트를 발생시킨다
2. 가장 먼저 낭독되는 문장을 받아 적는다
3. 직전 TTS가 계속되는지 확인한다</t>
        </is>
      </c>
      <c r="J476" s="10" t="inlineStr">
        <is>
          <t>진행 중 TTS가 중단되고 「긴급 안내가 도착했어요. 안내를 잠시 멈추고 긴급 안내부터 전해드릴게요.」가 먼저 낭독된 뒤 긴급 본문이 이어진다. 맥락 고지 없이 새 내용이 끼어들지 않는다</t>
        </is>
      </c>
      <c r="K476" s="10" t="inlineStr"/>
      <c r="L476" s="10" t="inlineStr">
        <is>
          <t>UX 15 3.2 요소 1 · 3.4 케이스 2</t>
        </is>
      </c>
      <c r="M476" s="10" t="inlineStr">
        <is>
          <t>화면 ID 미부여 — 부여 시 TC-ID 이관 대상</t>
        </is>
      </c>
      <c r="N476" s="10" t="inlineStr"/>
    </row>
    <row r="477">
      <c r="A477" s="5" t="n">
        <v>476</v>
      </c>
      <c r="B477" s="10" t="inlineStr">
        <is>
          <t>TC-S2-4-03</t>
        </is>
      </c>
      <c r="C477" s="10" t="inlineStr">
        <is>
          <t>15-음성모드-실행</t>
        </is>
      </c>
      <c r="D477" s="10" t="inlineStr">
        <is>
          <t>S2-4</t>
        </is>
      </c>
      <c r="E477" s="10" t="inlineStr">
        <is>
          <t>G-3 · MB-2</t>
        </is>
      </c>
      <c r="F477" s="5" t="inlineStr">
        <is>
          <t>기능</t>
        </is>
      </c>
      <c r="G477" s="5" t="inlineStr">
        <is>
          <t>미실행</t>
        </is>
      </c>
      <c r="H477" s="10" t="inlineStr">
        <is>
          <t>진동 지원 단말 · 진동 켬 · TalkBack 켬</t>
        </is>
      </c>
      <c r="I477" s="10" t="inlineStr">
        <is>
          <t>1. 긴급 이벤트를 발생시킨다
2. 음성·진동·화면 세 채널의 발생 여부를 각각 기록한다</t>
        </is>
      </c>
      <c r="J477" s="10" t="inlineStr">
        <is>
          <t>음성·햅틱·시각 3채널이 동시에 나간다. 진동만으로 알리거나 음성만으로 내보내는 경우가 없다</t>
        </is>
      </c>
      <c r="K477" s="10" t="inlineStr"/>
      <c r="L477" s="10" t="inlineStr">
        <is>
          <t>PRD 2부 6.8 G-3 · MB-2 · UX 15 3.2 요소 2 · 3.3 3채널</t>
        </is>
      </c>
      <c r="M477" s="10" t="inlineStr">
        <is>
          <t>화면 ID 미부여 — 부여 시 TC-ID 이관 대상. ⬜ 진동 미지원·무음 모드에서 3채널 중 하나가 빠질 때의 대체 채널은 미확정(15 3.6절)</t>
        </is>
      </c>
      <c r="N477" s="10" t="inlineStr"/>
    </row>
    <row r="478">
      <c r="A478" s="5" t="n">
        <v>477</v>
      </c>
      <c r="B478" s="10" t="inlineStr">
        <is>
          <t>TC-S2-4-04</t>
        </is>
      </c>
      <c r="C478" s="10" t="inlineStr">
        <is>
          <t>15-음성모드-실행</t>
        </is>
      </c>
      <c r="D478" s="10" t="inlineStr">
        <is>
          <t>S2-4</t>
        </is>
      </c>
      <c r="E478" s="10" t="inlineStr">
        <is>
          <t>G-3 · MB-2</t>
        </is>
      </c>
      <c r="F478" s="5" t="inlineStr">
        <is>
          <t>기능</t>
        </is>
      </c>
      <c r="G478" s="5" t="inlineStr">
        <is>
          <t>미실행</t>
        </is>
      </c>
      <c r="H478" s="10" t="inlineStr">
        <is>
          <t>진동 켬 · 일반 알림과 긴급 안내를 연달아 발생시킬 수 있는 시험 환경</t>
        </is>
      </c>
      <c r="I478" s="10" t="inlineStr">
        <is>
          <t>1. 일반 알림을 발생시켜 진동 패턴을 기록한다
2. 긴급 안내를 발생시켜 진동 패턴을 기록한다
3. 두 패턴을 화면을 보지 않고 구분할 수 있는지 확인한다</t>
        </is>
      </c>
      <c r="J478" s="10" t="inlineStr">
        <is>
          <t>긴급 전용 진동 패턴이 일반 알림과 촉각으로 구분된다. 화면을 보지 않고도 긴급임을 알 수 있다</t>
        </is>
      </c>
      <c r="K478" s="10" t="inlineStr"/>
      <c r="L478" s="10" t="inlineStr">
        <is>
          <t>UX 15 3.2 요소 2 · 3.3 진동 구분</t>
        </is>
      </c>
      <c r="M478" s="10" t="inlineStr">
        <is>
          <t>화면 ID 미부여 — 부여 시 TC-ID 이관 대상</t>
        </is>
      </c>
      <c r="N478" s="10" t="inlineStr"/>
    </row>
    <row r="479">
      <c r="A479" s="5" t="n">
        <v>478</v>
      </c>
      <c r="B479" s="10" t="inlineStr">
        <is>
          <t>TC-S2-4-05</t>
        </is>
      </c>
      <c r="C479" s="10" t="inlineStr">
        <is>
          <t>15-음성모드-실행</t>
        </is>
      </c>
      <c r="D479" s="10" t="inlineStr">
        <is>
          <t>S2-4</t>
        </is>
      </c>
      <c r="E479" s="10" t="inlineStr">
        <is>
          <t>V-3 · G-3</t>
        </is>
      </c>
      <c r="F479" s="5" t="inlineStr">
        <is>
          <t>접근성</t>
        </is>
      </c>
      <c r="G479" s="5" t="inlineStr">
        <is>
          <t>미실행</t>
        </is>
      </c>
      <c r="H479" s="10" t="inlineStr">
        <is>
          <t>긴급 안내 표출 상태 · 흑백(회색조) 표시 모드</t>
        </is>
      </c>
      <c r="I479" s="10" t="inlineStr">
        <is>
          <t>1. 회색조 모드에서 긴급 안내 본문과 일반 응답 버블을 나란히 확인한다
2. 라벨·아이콘·텍스트 유무를 각각 기록한다</t>
        </is>
      </c>
      <c r="J479" s="10" t="inlineStr">
        <is>
          <t>회색조에서도 「긴급 안내」 라벨과 아이콘, 텍스트로 일반 응답과 구분된다. 빨간색만으로 긴급을 표현하는 지점이 없다</t>
        </is>
      </c>
      <c r="K479" s="10" t="inlineStr"/>
      <c r="L479" s="10" t="inlineStr">
        <is>
          <t>UX 15 3.2 요소 2</t>
        </is>
      </c>
      <c r="M479" s="10" t="inlineStr">
        <is>
          <t>화면 ID 미부여 — 부여 시 TC-ID 이관 대상. 색약 사용자가 일반 응답과 구분하지 못하는 상태를 막는 것이 판정 취지다</t>
        </is>
      </c>
      <c r="N479" s="10" t="inlineStr"/>
    </row>
    <row r="480">
      <c r="A480" s="5" t="n">
        <v>479</v>
      </c>
      <c r="B480" s="10" t="inlineStr">
        <is>
          <t>TC-S2-4-06</t>
        </is>
      </c>
      <c r="C480" s="10" t="inlineStr">
        <is>
          <t>15-음성모드-실행</t>
        </is>
      </c>
      <c r="D480" s="10" t="inlineStr">
        <is>
          <t>S2-4</t>
        </is>
      </c>
      <c r="E480" s="10" t="inlineStr">
        <is>
          <t>NFR-04 · AC-05</t>
        </is>
      </c>
      <c r="F480" s="5" t="inlineStr">
        <is>
          <t>접근성</t>
        </is>
      </c>
      <c r="G480" s="5" t="inlineStr">
        <is>
          <t>미실행</t>
        </is>
      </c>
      <c r="H480" s="10" t="inlineStr">
        <is>
          <t>TalkBack 켬 · 초점이 대화 영역 중간에 있는 상태</t>
        </is>
      </c>
      <c r="I480" s="10" t="inlineStr">
        <is>
          <t>1. 초점을 대화 영역 중간 응답에 둔다
2. 긴급 이벤트를 발생시킨다
3. 초점 위치와 낭독 대상을 확인한다</t>
        </is>
      </c>
      <c r="J480" s="10" t="inlineStr">
        <is>
          <t>초점이 긴급 영역으로 이동하고 그 내용이 낭독된다. 사용자가 긴급 영역을 찾아 초점을 옮기지 않아도 된다</t>
        </is>
      </c>
      <c r="K480" s="10" t="inlineStr"/>
      <c r="L480" s="10" t="inlineStr">
        <is>
          <t>UX 15 3.2 요소 2</t>
        </is>
      </c>
      <c r="M480" s="10" t="inlineStr">
        <is>
          <t>화면 ID 미부여 — 부여 시 TC-ID 이관 대상</t>
        </is>
      </c>
      <c r="N480" s="10" t="inlineStr"/>
    </row>
    <row r="481">
      <c r="A481" s="5" t="n">
        <v>480</v>
      </c>
      <c r="B481" s="10" t="inlineStr">
        <is>
          <t>TC-S2-4-07</t>
        </is>
      </c>
      <c r="C481" s="10" t="inlineStr">
        <is>
          <t>15-음성모드-실행</t>
        </is>
      </c>
      <c r="D481" s="10" t="inlineStr">
        <is>
          <t>S2-4</t>
        </is>
      </c>
      <c r="E481" s="10" t="inlineStr">
        <is>
          <t>G-4</t>
        </is>
      </c>
      <c r="F481" s="5" t="inlineStr">
        <is>
          <t>기능</t>
        </is>
      </c>
      <c r="G481" s="5" t="inlineStr">
        <is>
          <t>미실행</t>
        </is>
      </c>
      <c r="H481" s="10" t="inlineStr">
        <is>
          <t>설정에서 voiceGuideLevel을 최저(또는 끔)로, hapticEnabled를 끔으로 둔 계정</t>
        </is>
      </c>
      <c r="I481" s="10" t="inlineStr">
        <is>
          <t>1. 음성 안내와 햅틱을 모두 끈 상태로 둔다
2. 긴급 이벤트를 발생시킨다
3. 음성·진동·화면 송출 여부를 확인한다</t>
        </is>
      </c>
      <c r="J481" s="10" t="inlineStr">
        <is>
          <t>설정과 무관하게 긴급 안내가 3채널로 송출된다. 사용자가 긴급 안내를 끄는 설정 경로가 없다</t>
        </is>
      </c>
      <c r="K481" s="10" t="inlineStr"/>
      <c r="L481" s="10" t="inlineStr">
        <is>
          <t>PRD 2부 6.8 G-4 · PRD 1부 4.1 프로필 · UX 15 3.3 종료 불가</t>
        </is>
      </c>
      <c r="M481" s="10" t="inlineStr">
        <is>
          <t>화면 ID 미부여 — 부여 시 TC-ID 이관 대상. 안전 사유로 둔 예외다</t>
        </is>
      </c>
      <c r="N481" s="10" t="inlineStr"/>
    </row>
    <row r="482">
      <c r="A482" s="5" t="n">
        <v>481</v>
      </c>
      <c r="B482" s="10" t="inlineStr">
        <is>
          <t>TC-S2-4-08</t>
        </is>
      </c>
      <c r="C482" s="10" t="inlineStr">
        <is>
          <t>15-음성모드-실행</t>
        </is>
      </c>
      <c r="D482" s="10" t="inlineStr">
        <is>
          <t>S2-4</t>
        </is>
      </c>
      <c r="E482" s="10" t="inlineStr">
        <is>
          <t>G-4 · NFR-06</t>
        </is>
      </c>
      <c r="F482" s="5" t="inlineStr">
        <is>
          <t>접근성</t>
        </is>
      </c>
      <c r="G482" s="5" t="inlineStr">
        <is>
          <t>미실행</t>
        </is>
      </c>
      <c r="H482" s="10" t="inlineStr">
        <is>
          <t>긴급 안내 표출 상태 · 화면 녹화(60fps 이상) 준비</t>
        </is>
      </c>
      <c r="I482" s="10" t="inlineStr">
        <is>
          <t>1. 긴급 안내 표출 구간을 화면 녹화한다
2. 긴급 라벨·아이콘·배경의 깜박임 횟수를 초 단위로 센다</t>
        </is>
      </c>
      <c r="J482" s="10" t="inlineStr">
        <is>
          <t>초당 3~50회 범위의 깜박임이 없다. 설정 무관 송출이 깜박임 제한의 예외가 되지 않는다</t>
        </is>
      </c>
      <c r="K482" s="10" t="inlineStr"/>
      <c r="L482" s="10" t="inlineStr">
        <is>
          <t>PRD 2부 6.8 G-4 · PRD 1부 NFR-06</t>
        </is>
      </c>
      <c r="M482" s="10" t="inlineStr">
        <is>
          <t>화면 ID 미부여 — 부여 시 TC-ID 이관 대상. G-4가 명시적으로 남겨 둔 단서 조항이다</t>
        </is>
      </c>
      <c r="N482" s="10" t="inlineStr"/>
    </row>
    <row r="483">
      <c r="A483" s="5" t="n">
        <v>482</v>
      </c>
      <c r="B483" s="10" t="inlineStr">
        <is>
          <t>TC-S2-4-09</t>
        </is>
      </c>
      <c r="C483" s="10" t="inlineStr">
        <is>
          <t>15-음성모드-실행</t>
        </is>
      </c>
      <c r="D483" s="10" t="inlineStr">
        <is>
          <t>S2-4</t>
        </is>
      </c>
      <c r="E483" s="10" t="inlineStr">
        <is>
          <t>G-4</t>
        </is>
      </c>
      <c r="F483" s="5" t="inlineStr">
        <is>
          <t>기능</t>
        </is>
      </c>
      <c r="G483" s="5" t="inlineStr">
        <is>
          <t>미실행</t>
        </is>
      </c>
      <c r="H483" s="10" t="inlineStr">
        <is>
          <t>긴급 안내가 표출되는 중</t>
        </is>
      </c>
      <c r="I483" s="10" t="inlineStr">
        <is>
          <t>1. 긴급 안내 낭독 중 탑바 뒤로가기 `&lt;`를 선택한다
2. 화면 하단에 [대화 종료]가 있는지 확인한다
3. 긴급 안내가 끝난 뒤 다시 확인한다</t>
        </is>
      </c>
      <c r="J483" s="10" t="inlineStr">
        <is>
          <t>긴급 안내 중에는 탑바 뒤로가기가 동작하지 않고 [대화 종료]도 노출되지 않는다. 안내가 끝난 뒤에야 [대화 종료]가 표출된다</t>
        </is>
      </c>
      <c r="K483" s="10" t="inlineStr"/>
      <c r="L483" s="10" t="inlineStr">
        <is>
          <t>UX 15 3.3 탑바 잠금 · [대화 종료] 노출 시점</t>
        </is>
      </c>
      <c r="M483" s="10" t="inlineStr">
        <is>
          <t>화면 ID 미부여 — 부여 시 TC-ID 이관 대상</t>
        </is>
      </c>
      <c r="N483" s="10" t="inlineStr"/>
    </row>
    <row r="484">
      <c r="A484" s="5" t="n">
        <v>483</v>
      </c>
      <c r="B484" s="10" t="inlineStr">
        <is>
          <t>TC-S2-4-10</t>
        </is>
      </c>
      <c r="C484" s="10" t="inlineStr">
        <is>
          <t>15-음성모드-실행</t>
        </is>
      </c>
      <c r="D484" s="10" t="inlineStr">
        <is>
          <t>S2-4</t>
        </is>
      </c>
      <c r="E484" s="10" t="inlineStr">
        <is>
          <t>G-2</t>
        </is>
      </c>
      <c r="F484" s="5" t="inlineStr">
        <is>
          <t>기능</t>
        </is>
      </c>
      <c r="G484" s="5" t="inlineStr">
        <is>
          <t>미실행</t>
        </is>
      </c>
      <c r="H484" s="10" t="inlineStr">
        <is>
          <t>시청역 길 안내 대화가 진행되던 중 긴급 안내가 끼어들어 [확인했어요]를 누른 직후</t>
        </is>
      </c>
      <c r="I484" s="10" t="inlineStr">
        <is>
          <t>1. [확인했어요]를 선택한다
2. 이어지는 낭독 문장을 그대로 받아 적는다</t>
        </is>
      </c>
      <c r="J484" s="10" t="inlineStr">
        <is>
          <t>「긴급 안내가 끝났어요. 아까 하던 시청역 길 안내를 이어갈까요?」처럼 중단된 대상이 이름으로 지칭된다. 「아까 하던 것」처럼 대상을 알 수 없는 문안이 나오지 않는다</t>
        </is>
      </c>
      <c r="K484" s="10" t="inlineStr"/>
      <c r="L484" s="10" t="inlineStr">
        <is>
          <t>PRD 2부 6.8 G-2 · UX 15 3.2 요소 3 · 3.4 케이스 3</t>
        </is>
      </c>
      <c r="M484" s="10" t="inlineStr">
        <is>
          <t>화면 ID 미부여 — 부여 시 TC-ID 이관 대상. G-2가 정의하라고 명시한 3가지 중 「재개 안내 문구」에 해당한다</t>
        </is>
      </c>
      <c r="N484" s="10" t="inlineStr"/>
    </row>
    <row r="485">
      <c r="A485" s="5" t="n">
        <v>484</v>
      </c>
      <c r="B485" s="10" t="inlineStr">
        <is>
          <t>TC-S2-4-11</t>
        </is>
      </c>
      <c r="C485" s="10" t="inlineStr">
        <is>
          <t>15-음성모드-실행</t>
        </is>
      </c>
      <c r="D485" s="10" t="inlineStr">
        <is>
          <t>S2-4</t>
        </is>
      </c>
      <c r="E485" s="10" t="inlineStr">
        <is>
          <t>G-2</t>
        </is>
      </c>
      <c r="F485" s="5" t="inlineStr">
        <is>
          <t>기능</t>
        </is>
      </c>
      <c r="G485" s="5" t="inlineStr">
        <is>
          <t>미실행</t>
        </is>
      </c>
      <c r="H485" s="10" t="inlineStr">
        <is>
          <t>세션 재개 문의가 표시된 상태 · 중단 직전 대화 지점을 기록해 둠</t>
        </is>
      </c>
      <c r="I485" s="10" t="inlineStr">
        <is>
          <t>1. [이어서 안내]를 선택한다
2. 복귀한 지점을 중단 직전 지점과 대조한다</t>
        </is>
      </c>
      <c r="J485" s="10" t="inlineStr">
        <is>
          <t>중단됐던 대화 루프의 그 지점으로 복귀한다. 대화가 처음부터 다시 시작되거나 중간 단계를 건너뛰지 않는다</t>
        </is>
      </c>
      <c r="K485" s="10" t="inlineStr"/>
      <c r="L485" s="10" t="inlineStr">
        <is>
          <t>PRD 2부 6.8 G-2 · UX 15 3.1 이탈 · 3.2 요소 3-1</t>
        </is>
      </c>
      <c r="M485" s="10" t="inlineStr">
        <is>
          <t>화면 ID 미부여 — 부여 시 TC-ID 이관 대상. G-2의 「재개 지점」에 해당하며 RFP가 기준을 정의하라고 명시해 구현 재량이 아니다</t>
        </is>
      </c>
      <c r="N485" s="10" t="inlineStr"/>
    </row>
    <row r="486">
      <c r="A486" s="5" t="n">
        <v>485</v>
      </c>
      <c r="B486" s="10" t="inlineStr">
        <is>
          <t>TC-S2-4-12</t>
        </is>
      </c>
      <c r="C486" s="10" t="inlineStr">
        <is>
          <t>15-음성모드-실행</t>
        </is>
      </c>
      <c r="D486" s="10" t="inlineStr">
        <is>
          <t>S2-4</t>
        </is>
      </c>
      <c r="E486" s="10" t="inlineStr">
        <is>
          <t>G-2</t>
        </is>
      </c>
      <c r="F486" s="5" t="inlineStr">
        <is>
          <t>기능</t>
        </is>
      </c>
      <c r="G486" s="12" t="inlineStr">
        <is>
          <t>보류</t>
        </is>
      </c>
      <c r="H486" s="10" t="inlineStr">
        <is>
          <t>세션 재개 문의가 표시된 상태</t>
        </is>
      </c>
      <c r="I486" s="10" t="inlineStr">
        <is>
          <t>1. 재개를 원하지 않는 쪽 버튼의 라벨을 받아 적는다
2. 그 버튼을 선택해 안내가 종료되는지 확인한다</t>
        </is>
      </c>
      <c r="J486" s="10" t="inlineStr">
        <is>
          <t>종료 버튼의 라벨이 확정되지 않아 합/불합을 가를 수 없다. 원본 4부 4절은 「그만하기」, 9절(재작도 반영)은 [대화 종료]로 두 갈래이며 현행 판정이 필요하다</t>
        </is>
      </c>
      <c r="K486" s="10" t="inlineStr"/>
      <c r="L486" s="10" t="inlineStr">
        <is>
          <t>UX 15 3.1 이탈 · 3.2 요소 3-2 및 그 아래 경고 · 3.4 케이스 3</t>
        </is>
      </c>
      <c r="M486" s="10" t="inlineStr">
        <is>
          <t>화면 ID 미부여 — 부여 시 TC-ID 이관 대상. G-2가 정의하라고 명시한 3가지 중 「사용자가 재개를 원치 않을 때의 종료 경로」다 — 라벨이 갈린 채로는 그 조항이 닫히지 않는다</t>
        </is>
      </c>
      <c r="N486" s="10" t="inlineStr"/>
    </row>
    <row r="487">
      <c r="A487" s="5" t="n">
        <v>486</v>
      </c>
      <c r="B487" s="10" t="inlineStr">
        <is>
          <t>TC-S2-4-13</t>
        </is>
      </c>
      <c r="C487" s="10" t="inlineStr">
        <is>
          <t>15-음성모드-실행</t>
        </is>
      </c>
      <c r="D487" s="10" t="inlineStr">
        <is>
          <t>S2-4</t>
        </is>
      </c>
      <c r="E487" s="10" t="inlineStr">
        <is>
          <t>FR-R9 · G-1</t>
        </is>
      </c>
      <c r="F487" s="5" t="inlineStr">
        <is>
          <t>기능</t>
        </is>
      </c>
      <c r="G487" s="5" t="inlineStr">
        <is>
          <t>미실행</t>
        </is>
      </c>
      <c r="H487" s="10" t="inlineStr">
        <is>
          <t>음성인식을 사용하지 않는 상태(대화 세션 없음)와 경로 선택 중 상태를 각각 준비</t>
        </is>
      </c>
      <c r="I487" s="10" t="inlineStr">
        <is>
          <t>1. 대화 세션이 없는 상태에서 긴급 이벤트를 발생시킨다
2. 경로 검색·선택 중 상태에서 다시 긴급 이벤트를 발생시킨다
3. 두 경우 모두 표출 형태를 기록한다</t>
        </is>
      </c>
      <c r="J487" s="10" t="inlineStr">
        <is>
          <t>두 경우 모두 자동으로 채팅이 시작돼 긴급 안내가 챗봇 형태로 표출되고, 안내가 끝난 뒤 [대화 종료]가 제공된다</t>
        </is>
      </c>
      <c r="K487" s="10" t="inlineStr"/>
      <c r="L487" s="10" t="inlineStr">
        <is>
          <t>UX 15 3.4 케이스 1 · 3.3 길 안내 전 수신</t>
        </is>
      </c>
      <c r="M487" s="10" t="inlineStr">
        <is>
          <t>화면 ID 미부여 — 부여 시 TC-ID 이관 대상</t>
        </is>
      </c>
      <c r="N487" s="10" t="inlineStr"/>
    </row>
    <row r="488">
      <c r="A488" s="5" t="n">
        <v>487</v>
      </c>
      <c r="B488" s="10" t="inlineStr">
        <is>
          <t>TC-S2-4-14</t>
        </is>
      </c>
      <c r="C488" s="10" t="inlineStr">
        <is>
          <t>15-음성모드-실행</t>
        </is>
      </c>
      <c r="D488" s="10" t="inlineStr">
        <is>
          <t>S2-4</t>
        </is>
      </c>
      <c r="E488" s="10" t="inlineStr">
        <is>
          <t>G-3</t>
        </is>
      </c>
      <c r="F488" s="5" t="inlineStr">
        <is>
          <t>기능</t>
        </is>
      </c>
      <c r="G488" s="12" t="inlineStr">
        <is>
          <t>보류</t>
        </is>
      </c>
      <c r="H488" s="10" t="inlineStr">
        <is>
          <t>S1(전맹 외) 유형 계정으로 앱 사용 중</t>
        </is>
      </c>
      <c r="I488" s="10" t="inlineStr">
        <is>
          <t>1. S1 계정으로 앱을 사용하는 중 긴급 이벤트를 발생시킨다
2. 표출 형태와 표출 지점을 기록한다</t>
        </is>
      </c>
      <c r="J488" s="10" t="inlineStr">
        <is>
          <t>제공 여부는 `G-3`로 확정됐으나 표출 형태(전면 팝업·배너·시스템 알림)와 화면별 표출 지점이 정해지지 않아 합/불합을 가를 수 없다</t>
        </is>
      </c>
      <c r="K488" s="10" t="inlineStr"/>
      <c r="L488" s="10" t="inlineStr">
        <is>
          <t>PRD 2부 6.8 G-3 · UX 15 3.5 · 3.6 미확정</t>
        </is>
      </c>
      <c r="M488" s="10" t="inlineStr">
        <is>
          <t>화면 ID 미부여 — 부여 시 TC-ID 이관 대상. 화면 키는 형태가 정해지면 S1 화면으로 옮긴다. ⬜ 대화 세션이 없는 S1에서 `G-2` 중단·재개를 무엇에 적용하는지도 미확정(15 3.6절 · `U-71`·`U-68` ④ 합산 판정)</t>
        </is>
      </c>
      <c r="N488" s="10" t="inlineStr"/>
    </row>
    <row r="489">
      <c r="A489" s="5" t="n">
        <v>488</v>
      </c>
      <c r="B489" s="10" t="inlineStr">
        <is>
          <t>TC-K-1-00</t>
        </is>
      </c>
      <c r="C489" s="10" t="inlineStr">
        <is>
          <t>90-공통</t>
        </is>
      </c>
      <c r="D489" s="10" t="inlineStr"/>
      <c r="E489" s="10" t="inlineStr">
        <is>
          <t>K-1</t>
        </is>
      </c>
      <c r="F489" s="5" t="inlineStr">
        <is>
          <t>비기능</t>
        </is>
      </c>
      <c r="G489" s="5" t="inlineStr">
        <is>
          <t>미실행</t>
        </is>
      </c>
      <c r="H489" s="10" t="inlineStr">
        <is>
          <t>클린 클론 상태 · `local.properties`에 지도 APPKEY를 넣지 않은 저장소</t>
        </is>
      </c>
      <c r="I489" s="10" t="inlineStr">
        <is>
          <t>1. 저장소를 새로 클론한다
2. `local.properties`에 지도 APPKEY를 넣지 않은 채 앱을 빌드한다
3. 저장소 전체에서 키 원문 문자열을 검색한다</t>
        </is>
      </c>
      <c r="J489" s="10" t="inlineStr">
        <is>
          <t>빌드가 성공하고 앱이 실행되며 지도만 비활성이다. 저장소 어디에도 키 원문이 커밋돼 있지 않다</t>
        </is>
      </c>
      <c r="K489" s="10" t="inlineStr"/>
      <c r="L489" s="10" t="inlineStr">
        <is>
          <t>PRD 2부 6.9 K-1</t>
        </is>
      </c>
      <c r="M489" s="10" t="inlineStr">
        <is>
          <t>주입 경로는 local.properties → BuildKonfig</t>
        </is>
      </c>
      <c r="N489" s="10" t="inlineStr"/>
    </row>
    <row r="490">
      <c r="A490" s="5" t="n">
        <v>489</v>
      </c>
      <c r="B490" s="10" t="inlineStr">
        <is>
          <t>TC-K-2-00</t>
        </is>
      </c>
      <c r="C490" s="10" t="inlineStr">
        <is>
          <t>90-공통</t>
        </is>
      </c>
      <c r="D490" s="10" t="inlineStr"/>
      <c r="E490" s="10" t="inlineStr">
        <is>
          <t>K-2 · V-6</t>
        </is>
      </c>
      <c r="F490" s="5" t="inlineStr">
        <is>
          <t>비기능</t>
        </is>
      </c>
      <c r="G490" s="5" t="inlineStr">
        <is>
          <t>미실행</t>
        </is>
      </c>
      <c r="H490" s="10" t="inlineStr">
        <is>
          <t>키가 주입되지 않은 빌드</t>
        </is>
      </c>
      <c r="I490" s="10" t="inlineStr">
        <is>
          <t>1. 지도가 필요한 화면에 진입한다
2. 화면 표시와 로그를 확인한다</t>
        </is>
      </c>
      <c r="J490" s="10" t="inlineStr">
        <is>
          <t>빈 화면이 아니라 「키가 없다」는 원인이 드러난다. 지도 로드 실패와 키 부재가 개발·QA에서 구분된다</t>
        </is>
      </c>
      <c r="K490" s="10" t="inlineStr"/>
      <c r="L490" s="10" t="inlineStr">
        <is>
          <t>PRD 2부 6.9 K-2 · 6.7 무음 실패 금지</t>
        </is>
      </c>
      <c r="M490" s="10" t="inlineStr"/>
      <c r="N490" s="10" t="inlineStr"/>
    </row>
    <row r="491">
      <c r="A491" s="5" t="n">
        <v>490</v>
      </c>
      <c r="B491" s="10" t="inlineStr">
        <is>
          <t>TC-K-3-00</t>
        </is>
      </c>
      <c r="C491" s="10" t="inlineStr">
        <is>
          <t>90-공통</t>
        </is>
      </c>
      <c r="D491" s="10" t="inlineStr"/>
      <c r="E491" s="10" t="inlineStr">
        <is>
          <t>K-3</t>
        </is>
      </c>
      <c r="F491" s="5" t="inlineStr">
        <is>
          <t>비기능</t>
        </is>
      </c>
      <c r="G491" s="5" t="inlineStr">
        <is>
          <t>미실행</t>
        </is>
      </c>
      <c r="H491" s="10" t="inlineStr">
        <is>
          <t>리포와 위키 전체</t>
        </is>
      </c>
      <c r="I491" s="10" t="inlineStr">
        <is>
          <t>1. 리포·위키에서 키 원문이 기록된 자리를 검색한다
2. PRD·위키에 「어떤 키가 있고 누가 관리하는가」가 적혀 있는지 확인한다</t>
        </is>
      </c>
      <c r="J491" s="10" t="inlineStr">
        <is>
          <t>키 원문은 리포·위키 어디에도 없고 CF 제한 권한 페이지에만 있다. 메타정보(키 종류·관리자)는 기록돼 있다</t>
        </is>
      </c>
      <c r="K491" s="10" t="inlineStr"/>
      <c r="L491" s="10" t="inlineStr">
        <is>
          <t>PRD 2부 6.9 K-3 · PRD 0.6 R4</t>
        </is>
      </c>
      <c r="M491" s="10" t="inlineStr">
        <is>
          <t>CLAUDE.md 7절 민감정보 관리와 같은 원칙</t>
        </is>
      </c>
      <c r="N491" s="10" t="inlineStr"/>
    </row>
    <row r="492">
      <c r="A492" s="5" t="n">
        <v>491</v>
      </c>
      <c r="B492" s="10" t="inlineStr">
        <is>
          <t>TC-K-4-00</t>
        </is>
      </c>
      <c r="C492" s="10" t="inlineStr">
        <is>
          <t>90-공통</t>
        </is>
      </c>
      <c r="D492" s="10" t="inlineStr"/>
      <c r="E492" s="10" t="inlineStr">
        <is>
          <t>K-4</t>
        </is>
      </c>
      <c r="F492" s="5" t="inlineStr">
        <is>
          <t>비기능</t>
        </is>
      </c>
      <c r="G492" s="12" t="inlineStr">
        <is>
          <t>보류</t>
        </is>
      </c>
      <c r="H492" s="10" t="inlineStr">
        <is>
          <t>베이스맵 확정 후</t>
        </is>
      </c>
      <c r="I492" s="10" t="inlineStr">
        <is>
          <t>1. 지도 APPKEY의 발급 주체와 계정 관리자가 문서에 명시돼 있는지 확인한다</t>
        </is>
      </c>
      <c r="J492" s="10" t="inlineStr">
        <is>
          <t>⬜ **판정 불가 — 미정.** 발급 주체·계정 관리자가 베이스맵 확정(`M-02`)에 종속된다. 아이나비 지도면 사내 발급, 네이버면 외부 발급이라 관리 주체가 갈린다</t>
        </is>
      </c>
      <c r="K492" s="10" t="inlineStr"/>
      <c r="L492" s="10" t="inlineStr">
        <is>
          <t>PRD 2부 6.9 K-4</t>
        </is>
      </c>
      <c r="M492" s="10" t="inlineStr">
        <is>
          <t>🔴 베이스맵 확정 전까지 기대결과를 쓸 수 없다</t>
        </is>
      </c>
      <c r="N492" s="10" t="inlineStr"/>
    </row>
    <row r="493">
      <c r="A493" s="5" t="n">
        <v>492</v>
      </c>
      <c r="B493" s="10" t="inlineStr">
        <is>
          <t>TC-K-5-00</t>
        </is>
      </c>
      <c r="C493" s="10" t="inlineStr">
        <is>
          <t>90-공통</t>
        </is>
      </c>
      <c r="D493" s="10" t="inlineStr"/>
      <c r="E493" s="10" t="inlineStr">
        <is>
          <t>K-5</t>
        </is>
      </c>
      <c r="F493" s="5" t="inlineStr">
        <is>
          <t>비기능</t>
        </is>
      </c>
      <c r="G493" s="5" t="inlineStr">
        <is>
          <t>미실행</t>
        </is>
      </c>
      <c r="H493" s="10" t="inlineStr">
        <is>
          <t>파파야 측위 SDK · LBS Tech SDK 키가 주입된 빌드</t>
        </is>
      </c>
      <c r="I493" s="10" t="inlineStr">
        <is>
          <t>1. 두 SDK 키의 주입 경로를 확인한다
2. 지도 APPKEY의 주입 경로와 대조한다</t>
        </is>
      </c>
      <c r="J493" s="10" t="inlineStr">
        <is>
          <t>세 키가 같은 주입 규칙(`local.properties` → `BuildKonfig`)을 쓴다. SDK별 개별 방식이 만들어지지 않았다</t>
        </is>
      </c>
      <c r="K493" s="10" t="inlineStr"/>
      <c r="L493" s="10" t="inlineStr">
        <is>
          <t>PRD 2부 6.9 K-5</t>
        </is>
      </c>
      <c r="M493" s="10" t="inlineStr"/>
      <c r="N493" s="10" t="inlineStr"/>
    </row>
    <row r="494">
      <c r="A494" s="5" t="n">
        <v>493</v>
      </c>
      <c r="B494" s="10" t="inlineStr">
        <is>
          <t>TC-MB-4-00</t>
        </is>
      </c>
      <c r="C494" s="10" t="inlineStr">
        <is>
          <t>90-공통</t>
        </is>
      </c>
      <c r="D494" s="10" t="inlineStr"/>
      <c r="E494" s="10" t="inlineStr">
        <is>
          <t>MB-4 · L-1</t>
        </is>
      </c>
      <c r="F494" s="5" t="inlineStr">
        <is>
          <t>비기능</t>
        </is>
      </c>
      <c r="G494" s="5" t="inlineStr">
        <is>
          <t>미실행</t>
        </is>
      </c>
      <c r="H494" s="10" t="inlineStr">
        <is>
          <t>앱 소스 전체</t>
        </is>
      </c>
      <c r="I494" s="10" t="inlineStr">
        <is>
          <t>1. UI 계층에서 사용자에게 보이는 문자열 리터럴을 검색한다
2. 언어 리소스 분리 대상에서 빠진 화면이 있는지 확인한다</t>
        </is>
      </c>
      <c r="J494" s="10" t="inlineStr">
        <is>
          <t>화면에 하드코딩된 UI 문자열이 0건이다. 전 화면이 번역 대상이며 예외 화면이 없다</t>
        </is>
      </c>
      <c r="K494" s="10" t="inlineStr"/>
      <c r="L494" s="10" t="inlineStr">
        <is>
          <t>PRD 2부 5절 MB-4 · 7.9 L-1</t>
        </is>
      </c>
      <c r="M494" s="10" t="inlineStr">
        <is>
          <t>지원 로케일 5종 확정(PRD 7.9)으로 분리 대상이 구체화됐다</t>
        </is>
      </c>
      <c r="N494" s="10" t="inlineStr"/>
    </row>
    <row r="495">
      <c r="A495" s="5" t="n">
        <v>494</v>
      </c>
      <c r="B495" s="10" t="inlineStr">
        <is>
          <t>TC-L-2-00</t>
        </is>
      </c>
      <c r="C495" s="10" t="inlineStr">
        <is>
          <t>90-공통</t>
        </is>
      </c>
      <c r="D495" s="10" t="inlineStr"/>
      <c r="E495" s="10" t="inlineStr">
        <is>
          <t>L-2</t>
        </is>
      </c>
      <c r="F495" s="5" t="inlineStr">
        <is>
          <t>비기능</t>
        </is>
      </c>
      <c r="G495" s="5" t="inlineStr">
        <is>
          <t>미실행</t>
        </is>
      </c>
      <c r="H495" s="10" t="inlineStr">
        <is>
          <t>빌드된 앱의 폰트 리소스</t>
        </is>
      </c>
      <c r="I495" s="10" t="inlineStr">
        <is>
          <t>1. 번들된 서체가 Noto Sans CJK인지 확인한다
2. 한·영·중·일 문자가 대체 글꼴(tofu) 없이 렌더되는지 확인한다</t>
        </is>
      </c>
      <c r="J495" s="10" t="inlineStr">
        <is>
          <t>Noto Sans CJK로 4개 언어가 모두 렌더된다. Pretendard가 쓰이지 않는다</t>
        </is>
      </c>
      <c r="K495" s="10" t="inlineStr"/>
      <c r="L495" s="10" t="inlineStr">
        <is>
          <t>PRD 2부 7.9 L-2 · 7.3 타이포그래피</t>
        </is>
      </c>
      <c r="M495" s="10" t="inlineStr">
        <is>
          <t>Pretendard 탈락 사유가 정확히 다국어 미지원이다</t>
        </is>
      </c>
      <c r="N495" s="10" t="inlineStr"/>
    </row>
    <row r="496">
      <c r="A496" s="5" t="n">
        <v>495</v>
      </c>
      <c r="B496" s="10" t="inlineStr">
        <is>
          <t>TC-L-3-00</t>
        </is>
      </c>
      <c r="C496" s="10" t="inlineStr">
        <is>
          <t>90-공통</t>
        </is>
      </c>
      <c r="D496" s="10" t="inlineStr"/>
      <c r="E496" s="10" t="inlineStr">
        <is>
          <t>L-3 · AC-06 · T-4 · T-6</t>
        </is>
      </c>
      <c r="F496" s="5" t="inlineStr">
        <is>
          <t>비기능</t>
        </is>
      </c>
      <c r="G496" s="5" t="inlineStr">
        <is>
          <t>미실행</t>
        </is>
      </c>
      <c r="H496" s="10" t="inlineStr">
        <is>
          <t>5로케일 리소스가 들어간 빌드 · 시스템 글자 크기 200% · 앱 확대 1.5배</t>
        </is>
      </c>
      <c r="I496" s="10" t="inlineStr">
        <is>
          <t>1. 로케일을 5종(한·영·중간체·중번체·일)으로 차례로 바꾼다
2. 각 로케일에서 시스템 200% × 앱 1.5배를 함께 적용한다
3. 문자열이 가장 긴 로케일에서 주요 화면의 레이아웃을 확인한다</t>
        </is>
      </c>
      <c r="J496" s="10" t="inlineStr">
        <is>
          <t>5로케일 × 200% × 1.5배 조합에서 라벨 잘림·겹침·버튼 이탈이 없다</t>
        </is>
      </c>
      <c r="K496" s="10" t="inlineStr"/>
      <c r="L496" s="10" t="inlineStr">
        <is>
          <t>PRD 2부 7.9 L-3 · 7.3 T-6</t>
        </is>
      </c>
      <c r="M496" s="10" t="inlineStr">
        <is>
          <t>AC-06 검증에 다국어 축이 포함돼야 실효가 있다 — 한국어 단독 200% 확인으로는 부족하다</t>
        </is>
      </c>
      <c r="N496" s="10" t="inlineStr"/>
    </row>
    <row r="497">
      <c r="A497" s="5" t="n">
        <v>496</v>
      </c>
      <c r="B497" s="10" t="inlineStr">
        <is>
          <t>TC-L-6-00</t>
        </is>
      </c>
      <c r="C497" s="10" t="inlineStr">
        <is>
          <t>90-공통</t>
        </is>
      </c>
      <c r="D497" s="10" t="inlineStr"/>
      <c r="E497" s="10" t="inlineStr">
        <is>
          <t>L-6</t>
        </is>
      </c>
      <c r="F497" s="5" t="inlineStr">
        <is>
          <t>비기능</t>
        </is>
      </c>
      <c r="G497" s="5" t="inlineStr">
        <is>
          <t>미실행</t>
        </is>
      </c>
      <c r="H497" s="10" t="inlineStr">
        <is>
          <t>5로케일 리소스</t>
        </is>
      </c>
      <c r="I497" s="10" t="inlineStr">
        <is>
          <t>1. 로케일 리소스 목록에서 중국어 항목을 확인한다</t>
        </is>
      </c>
      <c r="J497" s="10" t="inlineStr">
        <is>
          <t>간체·번체가 별개 로케일로 각각 리소스를 갖는다. 하나의 「중국어」로 합쳐져 있지 않다</t>
        </is>
      </c>
      <c r="K497" s="10" t="inlineStr"/>
      <c r="L497" s="10" t="inlineStr">
        <is>
          <t>PRD 2부 7.9 L-6</t>
        </is>
      </c>
      <c r="M497" s="10" t="inlineStr">
        <is>
          <t>로케일 식별자 표기 방식(디렉토리 규칙)은 앱 파트 소관이라 판정 대상이 아니다</t>
        </is>
      </c>
      <c r="N497" s="10" t="inlineStr"/>
    </row>
    <row r="498">
      <c r="A498" s="5" t="n">
        <v>497</v>
      </c>
      <c r="B498" s="10" t="inlineStr">
        <is>
          <t>TC-L-7-00</t>
        </is>
      </c>
      <c r="C498" s="10" t="inlineStr">
        <is>
          <t>90-공통</t>
        </is>
      </c>
      <c r="D498" s="10" t="inlineStr"/>
      <c r="E498" s="10" t="inlineStr">
        <is>
          <t>L-7</t>
        </is>
      </c>
      <c r="F498" s="5" t="inlineStr">
        <is>
          <t>비기능</t>
        </is>
      </c>
      <c r="G498" s="5" t="inlineStr">
        <is>
          <t>미실행</t>
        </is>
      </c>
      <c r="H498" s="10" t="inlineStr">
        <is>
          <t>릴리즈 빌드</t>
        </is>
      </c>
      <c r="I498" s="10" t="inlineStr">
        <is>
          <t>1. 번들된 Noto Sans CJK 서브셋 구성을 확인한다
2. 간체(SC)·번체(TC) 서브셋이 모두 포함됐는지 확인한다
3. 앱 용량 증가분을 측정한다</t>
        </is>
      </c>
      <c r="J498" s="10" t="inlineStr">
        <is>
          <t>5종 로케일의 문자가 모두 번들 서브셋으로 덮인다. 번체 확정으로 늘어난 폰트 리소스 한 벌이 실제로 포함돼 있다</t>
        </is>
      </c>
      <c r="K498" s="10" t="inlineStr"/>
      <c r="L498" s="10" t="inlineStr">
        <is>
          <t>PRD 2부 7.9 L-7</t>
        </is>
      </c>
      <c r="M498" s="10" t="inlineStr">
        <is>
          <t>값·방식은 앱 파트 소관 — 여기서는 5종이 덮이는가만 본다</t>
        </is>
      </c>
      <c r="N498" s="10" t="inlineStr"/>
    </row>
    <row r="499">
      <c r="A499" s="5" t="n">
        <v>498</v>
      </c>
      <c r="B499" s="10" t="inlineStr">
        <is>
          <t>TC-C-5-00</t>
        </is>
      </c>
      <c r="C499" s="10" t="inlineStr">
        <is>
          <t>90-공통</t>
        </is>
      </c>
      <c r="D499" s="10" t="inlineStr"/>
      <c r="E499" s="10" t="inlineStr">
        <is>
          <t>C-5 · T-5</t>
        </is>
      </c>
      <c r="F499" s="5" t="inlineStr">
        <is>
          <t>비기능</t>
        </is>
      </c>
      <c r="G499" s="5" t="inlineStr">
        <is>
          <t>미실행</t>
        </is>
      </c>
      <c r="H499" s="10" t="inlineStr">
        <is>
          <t>앱 소스 · 화면 스펙 문서</t>
        </is>
      </c>
      <c r="I499" s="10" t="inlineStr">
        <is>
          <t>1. 앱 소스와 화면 스펙에서 HEX 색상 리터럴을 검색한다
2. 타이포 역할 토큰을 거치지 않고 직접 지정된 크기·굵기가 있는지 확인한다</t>
        </is>
      </c>
      <c r="J499" s="10" t="inlineStr">
        <is>
          <t>컴포넌트·화면 스펙·코드에 HEX가 직접 쓰인 곳이 0건이고, 색과 타이포가 모두 역할 토큰 이름으로만 참조된다</t>
        </is>
      </c>
      <c r="K499" s="10" t="inlineStr"/>
      <c r="L499" s="10" t="inlineStr">
        <is>
          <t>PRD 2부 7.2 C-5 · 7.3 T-5</t>
        </is>
      </c>
      <c r="M499" s="10" t="inlineStr">
        <is>
          <t>값의 정본은 Claude Design이다 — 이 TC는 값이 맞는지가 아니라 참조 방식을 본다</t>
        </is>
      </c>
      <c r="N499" s="10" t="inlineStr"/>
    </row>
    <row r="500">
      <c r="A500" s="5" t="n">
        <v>499</v>
      </c>
      <c r="B500" s="10" t="inlineStr">
        <is>
          <t>TC-S-5-00</t>
        </is>
      </c>
      <c r="C500" s="10" t="inlineStr">
        <is>
          <t>90-공통</t>
        </is>
      </c>
      <c r="D500" s="10" t="inlineStr"/>
      <c r="E500" s="10" t="inlineStr">
        <is>
          <t>S-5 · S-6</t>
        </is>
      </c>
      <c r="F500" s="5" t="inlineStr">
        <is>
          <t>비기능</t>
        </is>
      </c>
      <c r="G500" s="5" t="inlineStr">
        <is>
          <t>미실행</t>
        </is>
      </c>
      <c r="H500" s="10" t="inlineStr">
        <is>
          <t>앱 소스의 간격·형태 값</t>
        </is>
      </c>
      <c r="I500" s="10" t="inlineStr">
        <is>
          <t>1. 간격 값에 `× 1.25` 같은 배수 연산이 쓰인 곳을 검색한다
2. 간격 토큰이 용도 이름(`space.sm` 같은 크기 이름이 아닌)으로 참조되는지 확인한다</t>
        </is>
      </c>
      <c r="J500" s="10" t="inlineStr">
        <is>
          <t>배수 연산으로 만든 간격 값이 0건이고 모든 값이 정본의 단계 안에 있다. 토큰 이름만 보고 200%에서 고정인지 스케일인지 판별된다</t>
        </is>
      </c>
      <c r="K500" s="10" t="inlineStr"/>
      <c r="L500" s="10" t="inlineStr">
        <is>
          <t>PRD 2부 7.8 S-5·S-6</t>
        </is>
      </c>
      <c r="M500" s="10" t="inlineStr">
        <is>
          <t>밀도 분기는 배수가 아니라 단계 선택이다(DD-005)</t>
        </is>
      </c>
      <c r="N500" s="10" t="inlineStr"/>
    </row>
    <row r="501">
      <c r="A501" s="5" t="n">
        <v>500</v>
      </c>
      <c r="B501" s="10" t="inlineStr">
        <is>
          <t>TC-V-2-00</t>
        </is>
      </c>
      <c r="C501" s="10" t="inlineStr">
        <is>
          <t>90-공통</t>
        </is>
      </c>
      <c r="D501" s="10" t="inlineStr"/>
      <c r="E501" s="10" t="inlineStr">
        <is>
          <t>V-2</t>
        </is>
      </c>
      <c r="F501" s="5" t="inlineStr">
        <is>
          <t>비기능</t>
        </is>
      </c>
      <c r="G501" s="5" t="inlineStr">
        <is>
          <t>미실행</t>
        </is>
      </c>
      <c r="H501" s="10" t="inlineStr">
        <is>
          <t>UX 화면 사양 전 파일</t>
        </is>
      </c>
      <c r="I501" s="10" t="inlineStr">
        <is>
          <t>1. 화면 사양에서 7.2·7.3·7.5·7.8 요건을 개별 화면이 다시 적어 둔 곳을 찾는다
2. 예외를 둔 화면이 있으면 근거가 명시돼 있는지 확인한다</t>
        </is>
      </c>
      <c r="J501" s="10" t="inlineStr">
        <is>
          <t>공통 요건이 화면마다 복제돼 있지 않고 상속된다. 예외를 둔 화면은 전부 근거를 명시하고 있다</t>
        </is>
      </c>
      <c r="K501" s="10" t="inlineStr"/>
      <c r="L501" s="10" t="inlineStr">
        <is>
          <t>PRD 2부 7.4 V-2</t>
        </is>
      </c>
      <c r="M501" s="10" t="inlineStr"/>
      <c r="N501" s="10" t="inlineStr"/>
    </row>
    <row r="502">
      <c r="A502" s="5" t="n">
        <v>501</v>
      </c>
      <c r="B502" s="10" t="inlineStr">
        <is>
          <t>TC-V-7-00</t>
        </is>
      </c>
      <c r="C502" s="10" t="inlineStr">
        <is>
          <t>90-공통</t>
        </is>
      </c>
      <c r="D502" s="10" t="inlineStr"/>
      <c r="E502" s="10" t="inlineStr">
        <is>
          <t>V-7</t>
        </is>
      </c>
      <c r="F502" s="5" t="inlineStr">
        <is>
          <t>비기능</t>
        </is>
      </c>
      <c r="G502" s="5" t="inlineStr">
        <is>
          <t>미실행</t>
        </is>
      </c>
      <c r="H502" s="10" t="inlineStr">
        <is>
          <t>UX 허브 「화면 목록」과 PRD 1.9·2.3</t>
        </is>
      </c>
      <c r="I502" s="10" t="inlineStr">
        <is>
          <t>1. 최근 신설·폐기된 화면을 화면 목록에서 뽑는다
2. 각 건이 `FR-R`·`AC` 대조를 거쳤는지 확인한다</t>
        </is>
      </c>
      <c r="J502" s="10" t="inlineStr">
        <is>
          <t>신설·폐기 전건이 `FR-R`·`AC`와 대조돼 있고, 요건이 살아 있는데 화면만 사라진 항목은 미결로 등재돼 있다</t>
        </is>
      </c>
      <c r="K502" s="10" t="inlineStr"/>
      <c r="L502" s="10" t="inlineStr">
        <is>
          <t>PRD 2부 7.4 V-7</t>
        </is>
      </c>
      <c r="M502" s="10" t="inlineStr">
        <is>
          <t>결번 화면 중 요건이 살아 있는 것: HOME-02(SC-06·US-01) · BUS-02·BUS-04(SC-07·FR-R4) · MY-03(FR-R7)</t>
        </is>
      </c>
      <c r="N502" s="10" t="inlineStr"/>
    </row>
    <row r="503">
      <c r="A503" s="5" t="n">
        <v>502</v>
      </c>
      <c r="B503" s="10" t="inlineStr">
        <is>
          <t>TC-V-8-00</t>
        </is>
      </c>
      <c r="C503" s="10" t="inlineStr">
        <is>
          <t>90-공통</t>
        </is>
      </c>
      <c r="D503" s="10" t="inlineStr"/>
      <c r="E503" s="10" t="inlineStr">
        <is>
          <t>V-8</t>
        </is>
      </c>
      <c r="F503" s="5" t="inlineStr">
        <is>
          <t>비기능</t>
        </is>
      </c>
      <c r="G503" s="5" t="inlineStr">
        <is>
          <t>미실행</t>
        </is>
      </c>
      <c r="H503" s="10" t="inlineStr">
        <is>
          <t>현행 동행맵 앱과 고도화 화면 목록</t>
        </is>
      </c>
      <c r="I503" s="10" t="inlineStr">
        <is>
          <t>1. 현행 앱에 있던 화면 중 고도화 화면 목록에 없는 것을 뽑는다
2. 각 건에 명시적 제거 결정(발주처 협의 포함)이 있는지 확인한다</t>
        </is>
      </c>
      <c r="J503" s="10" t="inlineStr">
        <is>
          <t>제거된 화면 전건에 명시적 제거 결정이 있다. 결정 없이 빠진 화면이 0건이다</t>
        </is>
      </c>
      <c r="K503" s="10" t="inlineStr"/>
      <c r="L503" s="10" t="inlineStr">
        <is>
          <t>PRD 2부 7.4 V-8 · PRD 1.7 AS-IS 승계 원칙</t>
        </is>
      </c>
      <c r="M503" s="10" t="inlineStr"/>
      <c r="N503" s="10" t="inlineStr"/>
    </row>
    <row r="504">
      <c r="A504" s="5" t="n">
        <v>503</v>
      </c>
      <c r="B504" s="10" t="inlineStr">
        <is>
          <t>TC-AC-01-00</t>
        </is>
      </c>
      <c r="C504" s="10" t="inlineStr">
        <is>
          <t>90-공통</t>
        </is>
      </c>
      <c r="D504" s="10" t="inlineStr"/>
      <c r="E504" s="10" t="inlineStr">
        <is>
          <t>AC-01</t>
        </is>
      </c>
      <c r="F504" s="11" t="inlineStr">
        <is>
          <t>대상외</t>
        </is>
      </c>
      <c r="G504" s="12" t="inlineStr">
        <is>
          <t>보류</t>
        </is>
      </c>
      <c r="H504" s="10" t="inlineStr"/>
      <c r="I504" s="10" t="inlineStr"/>
      <c r="J504" s="10" t="inlineStr"/>
      <c r="K504" s="10" t="inlineStr"/>
      <c r="L504" s="10" t="inlineStr">
        <is>
          <t>PRD 1부 2.3 AC-01</t>
        </is>
      </c>
      <c r="M504" s="10" t="inlineStr">
        <is>
          <t>인증마크는 납품 산출물이다(`QUR-002`) — 일정이 드러나면 재판정한다</t>
        </is>
      </c>
      <c r="N504" s="10" t="inlineStr">
        <is>
          <t>외부 인증기관의 심사 결과라 자체 절차로 검증할 수 없다. 인증기관·심사 소요기간이 미정(`M-05`)이고 심사 대응은 WBS 5.20이 담는다</t>
        </is>
      </c>
    </row>
    <row r="505">
      <c r="A505" s="5" t="n">
        <v>504</v>
      </c>
      <c r="B505" s="10" t="inlineStr">
        <is>
          <t>TC-AC-02-00</t>
        </is>
      </c>
      <c r="C505" s="10" t="inlineStr">
        <is>
          <t>90-공통</t>
        </is>
      </c>
      <c r="D505" s="10" t="inlineStr"/>
      <c r="E505" s="10" t="inlineStr">
        <is>
          <t>AC-02 · NFR-14</t>
        </is>
      </c>
      <c r="F505" s="5" t="inlineStr">
        <is>
          <t>접근성</t>
        </is>
      </c>
      <c r="G505" s="12" t="inlineStr">
        <is>
          <t>보류</t>
        </is>
      </c>
      <c r="H505" s="10" t="inlineStr">
        <is>
          <t>KS X 3253 19개 항목 번호 체계 확보 후 · 전 화면 빌드</t>
        </is>
      </c>
      <c r="I505" s="10" t="inlineStr">
        <is>
          <t>1. KS X 3253 19개 항목을 전 화면에 전수 적용해 진단한다
2. 항목별 판정과 근거를 결과서로 작성한다</t>
        </is>
      </c>
      <c r="J505" s="10" t="inlineStr">
        <is>
          <t>⬜ **절차를 확정할 수 없다 — 19항목 번호 체계가 리포에 없다.** 체계가 서기 전에는 각 TC의 `KS` 필드도 채울 수 없어 항목↔TC 대응이 성립하지 않는다</t>
        </is>
      </c>
      <c r="K505" s="10" t="inlineStr"/>
      <c r="L505" s="10" t="inlineStr">
        <is>
          <t>PRD 1부 2.3 AC-02</t>
        </is>
      </c>
      <c r="M505" s="10" t="inlineStr">
        <is>
          <t>🔴 **선행 작업이다** — 인증 대응이 목적이면 TC 본문 작성보다 이것이 먼저일 수 있다(설계 §9 · 파일럿에서도 같은 결론이 나왔다)</t>
        </is>
      </c>
      <c r="N505" s="10" t="inlineStr"/>
    </row>
    <row r="506">
      <c r="A506" s="5" t="n">
        <v>505</v>
      </c>
      <c r="B506" s="10" t="inlineStr">
        <is>
          <t>TC-AC-08-00</t>
        </is>
      </c>
      <c r="C506" s="10" t="inlineStr">
        <is>
          <t>90-공통</t>
        </is>
      </c>
      <c r="D506" s="10" t="inlineStr"/>
      <c r="E506" s="10" t="inlineStr">
        <is>
          <t>AC-08</t>
        </is>
      </c>
      <c r="F506" s="11" t="inlineStr">
        <is>
          <t>대상외</t>
        </is>
      </c>
      <c r="G506" s="12" t="inlineStr">
        <is>
          <t>보류</t>
        </is>
      </c>
      <c r="H506" s="10" t="inlineStr"/>
      <c r="I506" s="10" t="inlineStr"/>
      <c r="J506" s="10" t="inlineStr"/>
      <c r="K506" s="10" t="inlineStr"/>
      <c r="L506" s="10" t="inlineStr">
        <is>
          <t>PRD 1부 2.3 AC-08</t>
        </is>
      </c>
      <c r="M506" s="10" t="inlineStr">
        <is>
          <t>판정 근거는 WBS 일정과 인수인계 산출물이다</t>
        </is>
      </c>
      <c r="N506" s="10" t="inlineStr">
        <is>
          <t>착수 후 3개월 이내 현 동행맵 안정화는 사업 일정·인수인계 항목이라 앱 TC로 판정할 수 없다. 현 유지보수 업체 인수인계와 GTFS 데이터 오류 분석이 실체다(기술협상 특별제안 #2)</t>
        </is>
      </c>
    </row>
    <row r="507">
      <c r="A507" s="5" t="n">
        <v>506</v>
      </c>
      <c r="B507" s="10" t="inlineStr">
        <is>
          <t>TC-AC-11-00</t>
        </is>
      </c>
      <c r="C507" s="10" t="inlineStr">
        <is>
          <t>90-공통</t>
        </is>
      </c>
      <c r="D507" s="10" t="inlineStr"/>
      <c r="E507" s="10" t="inlineStr">
        <is>
          <t>AC-11 · NFR-15</t>
        </is>
      </c>
      <c r="F507" s="5" t="inlineStr">
        <is>
          <t>비기능</t>
        </is>
      </c>
      <c r="G507" s="5" t="inlineStr">
        <is>
          <t>미실행</t>
        </is>
      </c>
      <c r="H507" s="10" t="inlineStr">
        <is>
          <t>릴리즈 후보 빌드</t>
        </is>
      </c>
      <c r="I507" s="10" t="inlineStr">
        <is>
          <t>1. OWASP 모바일 10대 취약점 점검을 수행한다
2. 국정원 홈페이지 8대 취약점 점검을 수행한다
3. 발견 항목에 대한 조치를 적용하고 재점검한다
4. 점검 결과보고서와 조치내역서를 작성한다</t>
        </is>
      </c>
      <c r="J507" s="10" t="inlineStr">
        <is>
          <t>두 점검이 모두 수행되고, 발견 항목이 조치된 뒤 재점검에서 해소가 확인된다. 결과보고서·조치내역서가 증빙으로 남는다</t>
        </is>
      </c>
      <c r="K507" s="10" t="inlineStr"/>
      <c r="L507" s="10" t="inlineStr">
        <is>
          <t>PRD 1부 2.3 AC-11 · 2.4 NFR-15 (`COR-004`)</t>
        </is>
      </c>
      <c r="M507" s="10" t="inlineStr">
        <is>
          <t>사업 완료 시 제출 증빙이다 — 「소프트웨어 개발 보안 가이드」 준수가 전제</t>
        </is>
      </c>
      <c r="N507" s="10" t="inlineStr"/>
    </row>
    <row r="508">
      <c r="A508" s="5" t="n">
        <v>507</v>
      </c>
      <c r="B508" s="10" t="inlineStr">
        <is>
          <t>TC-AC-12-00</t>
        </is>
      </c>
      <c r="C508" s="10" t="inlineStr">
        <is>
          <t>90-공통</t>
        </is>
      </c>
      <c r="D508" s="10" t="inlineStr"/>
      <c r="E508" s="10" t="inlineStr">
        <is>
          <t>AC-12</t>
        </is>
      </c>
      <c r="F508" s="11" t="inlineStr">
        <is>
          <t>대상외</t>
        </is>
      </c>
      <c r="G508" s="12" t="inlineStr">
        <is>
          <t>보류</t>
        </is>
      </c>
      <c r="H508" s="10" t="inlineStr"/>
      <c r="I508" s="10" t="inlineStr"/>
      <c r="J508" s="10" t="inlineStr"/>
      <c r="K508" s="10" t="inlineStr"/>
      <c r="L508" s="10" t="inlineStr">
        <is>
          <t>PRD 1부 2.3 AC-12 (`COR-002`)</t>
        </is>
      </c>
      <c r="M508" s="10" t="inlineStr">
        <is>
          <t>스토어 배포 전 이행 항목이라 배포 일정에 직접 걸린다</t>
        </is>
      </c>
      <c r="N508" s="10" t="inlineStr">
        <is>
          <t>서울시 공공앱 등록관리 업무 추진절차는 발주처 행정 절차라 앱 TC로 판정할 수 없다. 소요기간도 미확인(`M-33`)이라 일정 대응 자체가 열려 있다</t>
        </is>
      </c>
    </row>
    <row r="509">
      <c r="A509" s="5" t="n">
        <v>508</v>
      </c>
      <c r="B509" s="10" t="inlineStr">
        <is>
          <t>TC-NFR-13-00</t>
        </is>
      </c>
      <c r="C509" s="10" t="inlineStr">
        <is>
          <t>90-공통</t>
        </is>
      </c>
      <c r="D509" s="10" t="inlineStr"/>
      <c r="E509" s="10" t="inlineStr">
        <is>
          <t>NFR-13</t>
        </is>
      </c>
      <c r="F509" s="11" t="inlineStr">
        <is>
          <t>대상외</t>
        </is>
      </c>
      <c r="G509" s="12" t="inlineStr">
        <is>
          <t>보류</t>
        </is>
      </c>
      <c r="H509" s="10" t="inlineStr"/>
      <c r="I509" s="10" t="inlineStr"/>
      <c r="J509" s="10" t="inlineStr"/>
      <c r="K509" s="10" t="inlineStr"/>
      <c r="L509" s="10" t="inlineStr">
        <is>
          <t>PRD 1부 2.4 NFR-13 (착수보고 #8)</t>
        </is>
      </c>
      <c r="M509" s="10" t="inlineStr">
        <is>
          <t>앱이 확인할 수 있는 것은 과부하 시 오류를 무음으로 삼키지 않는가(`V-6`)뿐이다</t>
        </is>
      </c>
      <c r="N509" s="10" t="inlineStr">
        <is>
          <t>동시 접속 순간 300명·최대 700명 처리는 서버 Sizing 항목이라 앱 화면 절차로 검증할 수 없다. AI 추론 부하를 반영한 부하 시험은 서버(아로 통합 백엔드) 소관이다</t>
        </is>
      </c>
    </row>
    <row r="510">
      <c r="A510" s="5" t="n">
        <v>509</v>
      </c>
      <c r="B510" s="10" t="inlineStr">
        <is>
          <t>TC-C-2-00</t>
        </is>
      </c>
      <c r="C510" s="10" t="inlineStr">
        <is>
          <t>90-공통</t>
        </is>
      </c>
      <c r="D510" s="10" t="inlineStr"/>
      <c r="E510" s="10" t="inlineStr">
        <is>
          <t>C-2 · NFR-01</t>
        </is>
      </c>
      <c r="F510" s="5" t="inlineStr">
        <is>
          <t>비기능</t>
        </is>
      </c>
      <c r="G510" s="5" t="inlineStr">
        <is>
          <t>미실행</t>
        </is>
      </c>
      <c r="H510" s="10" t="inlineStr">
        <is>
          <t>앱 소스의 색 토큰 바인딩 · Claude Design 정본 토큰 목록</t>
        </is>
      </c>
      <c r="I510" s="10" t="inlineStr">
        <is>
          <t>1. 본문·보조 라벨 역할에 바인딩된 색 토큰을 전수 나열한다
2. 그중 대형 액센트(`color.accent.large`)·보조 링크(`color.link.secondary`)가 쓰인 곳을 찾는다
3. 본문이 `color.on.surface`, 강조가 `color.emphasis`를 쓰는지 확인한다</t>
        </is>
      </c>
      <c r="J510" s="10" t="inlineStr">
        <is>
          <t>대형 액센트·보조 링크 토큰이 본문·라벨에 바인딩된 곳이 0건이다. 본문은 `color.on.surface`, 강조는 `color.emphasis`다</t>
        </is>
      </c>
      <c r="K510" s="10" t="inlineStr"/>
      <c r="L510" s="10" t="inlineStr">
        <is>
          <t>PRD 2부 7.2 C-2</t>
        </is>
      </c>
      <c r="M510" s="10" t="inlineStr">
        <is>
          <t>⚠️ 대비 4.5:1을 넘는다는 사실이 아무 데나 써도 된다는 뜻이 아니다 — 대비 충족과 역할 분리는 별개 판정이다</t>
        </is>
      </c>
      <c r="N510" s="10" t="inlineStr"/>
    </row>
    <row r="511">
      <c r="A511" s="5" t="n">
        <v>510</v>
      </c>
      <c r="B511" s="10" t="inlineStr">
        <is>
          <t>TC-T-3-00</t>
        </is>
      </c>
      <c r="C511" s="10" t="inlineStr">
        <is>
          <t>90-공통</t>
        </is>
      </c>
      <c r="D511" s="10" t="inlineStr"/>
      <c r="E511" s="10" t="inlineStr">
        <is>
          <t>T-3 · NFR-03</t>
        </is>
      </c>
      <c r="F511" s="5" t="inlineStr">
        <is>
          <t>비기능</t>
        </is>
      </c>
      <c r="G511" s="5" t="inlineStr">
        <is>
          <t>미실행</t>
        </is>
      </c>
      <c r="H511" s="10" t="inlineStr">
        <is>
          <t>앱 소스의 타이포 역할 토큰 바인딩</t>
        </is>
      </c>
      <c r="I511" s="10" t="inlineStr">
        <is>
          <t>1. 본문·보조 라벨 역할에 바인딩된 굵기 값을 전수 나열한다
2. `Regular`가 바인딩된 역할이 있는지 확인한다</t>
        </is>
      </c>
      <c r="J511" s="10" t="inlineStr">
        <is>
          <t>본문·보조 라벨 어디에도 `Regular`가 바인딩되지 않았다. 하한이 `Medium`이다</t>
        </is>
      </c>
      <c r="K511" s="10" t="inlineStr"/>
      <c r="L511" s="10" t="inlineStr">
        <is>
          <t>PRD 2부 7.3 T-3 · 1부 2.4 NFR-03</t>
        </is>
      </c>
      <c r="M511" s="10" t="inlineStr">
        <is>
          <t>역할별 굵기 값(어느 역할이 Medium인가 Bold인가)은 Claude Design 정본이 정한다 — 여기서는 하한만 본다</t>
        </is>
      </c>
      <c r="N511" s="10" t="inlineStr"/>
    </row>
    <row r="512">
      <c r="A512" s="5" t="n">
        <v>511</v>
      </c>
      <c r="B512" s="10" t="inlineStr">
        <is>
          <t>TC-S-3-00</t>
        </is>
      </c>
      <c r="C512" s="10" t="inlineStr">
        <is>
          <t>90-공통</t>
        </is>
      </c>
      <c r="D512" s="10" t="inlineStr"/>
      <c r="E512" s="10" t="inlineStr">
        <is>
          <t>S-3 · NFR-04 · AC-05</t>
        </is>
      </c>
      <c r="F512" s="5" t="inlineStr">
        <is>
          <t>접근성</t>
        </is>
      </c>
      <c r="G512" s="5" t="inlineStr">
        <is>
          <t>미실행</t>
        </is>
      </c>
      <c r="H512" s="10" t="inlineStr">
        <is>
          <t>키보드·스위치 또는 스크린리더로 포커스를 이동할 수 있는 빌드 · radius가 서로 다른 요소를 포함한 화면(둥근 버튼 · 사각 입력 필드 · 칩)</t>
        </is>
      </c>
      <c r="I512" s="10" t="inlineStr">
        <is>
          <t>1. 둥근 버튼에 포커스를 준 뒤 포커스 표시의 모서리를 확인한다
2. 사각 입력 필드에 포커스를 준 뒤 같은 방식으로 확인한다
3. 칩·카드처럼 radius가 다른 요소에서도 반복한다</t>
        </is>
      </c>
      <c r="J512" s="10" t="inlineStr">
        <is>
          <t>포커스 표시가 각 요소의 radius를 따른다. 둥근 버튼에 사각 포커스링이 씌워지지 않는다</t>
        </is>
      </c>
      <c r="K512" s="10" t="inlineStr"/>
      <c r="L512" s="10" t="inlineStr">
        <is>
          <t>PRD 2부 7.8 S-3 · 1부 2.4 NFR-04</t>
        </is>
      </c>
      <c r="M512" s="10" t="inlineStr">
        <is>
          <t>전역 규약이라 공통에 두지만 판정은 화면에서 한다 — 화면별 포커스 순서는 각 화면 TC의 `NFR-04`가 본다</t>
        </is>
      </c>
      <c r="N512" s="10" t="inlineStr"/>
    </row>
    <row r="513">
      <c r="A513" s="5" t="n">
        <v>512</v>
      </c>
      <c r="B513" s="10" t="inlineStr">
        <is>
          <t>TC-FR-R3-00</t>
        </is>
      </c>
      <c r="C513" s="10" t="inlineStr">
        <is>
          <t>90-공통</t>
        </is>
      </c>
      <c r="D513" s="10" t="inlineStr"/>
      <c r="E513" s="10" t="inlineStr">
        <is>
          <t>FR-R3 · L-1 · L-4 · L-8</t>
        </is>
      </c>
      <c r="F513" s="5" t="inlineStr">
        <is>
          <t>기능</t>
        </is>
      </c>
      <c r="G513" s="5" t="inlineStr">
        <is>
          <t>미실행</t>
        </is>
      </c>
      <c r="H513" s="10" t="inlineStr">
        <is>
          <t>5로케일 리소스가 들어간 빌드 · 앱 내 언어 변경 지점</t>
        </is>
      </c>
      <c r="I513" s="10" t="inlineStr">
        <is>
          <t>1. 앱 안에서 언어를 한국어 외 로케일로 바꾼다
2. 주요 화면을 순회하며 UI 문자열이 바뀐 언어로 표출되는지 확인한다
3. 같은 상태에서 음성 안내를 발생시켜 안내 언어를 확인한다
4. 앱을 종료했다 다시 실행해 선택이 유지되는지 확인한다</t>
        </is>
      </c>
      <c r="J513" s="10" t="inlineStr">
        <is>
          <t>선택한 언어가 화면과 음성 안내에 **동시에** 적용되고, 재진입 후에도 유지된다. 번역이 빠져 한국어로 남은 화면이 없다</t>
        </is>
      </c>
      <c r="K513" s="10" t="inlineStr"/>
      <c r="L513" s="10" t="inlineStr">
        <is>
          <t>PRD 1부 1.9 FR-R3 (RFP 1.2 「라. 접근성 강화」 · 과업범위 가·나) · 2부 7.9</t>
        </is>
      </c>
      <c r="M513" s="10" t="inlineStr">
        <is>
          <t>RFP 유래 요건이라 RTM 최우선 계열이다 — 세부 판정은 `L-1`~`L-8` TC가 나눠 가진다. 다국어 TTS 합성은 서버 엔진 몫이고 앱은 언어 파라미터 전달·표출을 담당한다</t>
        </is>
      </c>
      <c r="N513" s="10" t="inlineStr"/>
    </row>
  </sheetData>
  <autoFilter ref="A1:N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9" customWidth="1" min="5" max="5"/>
  </cols>
  <sheetData>
    <row r="1">
      <c r="A1" s="9" t="inlineStr">
        <is>
          <t>축</t>
        </is>
      </c>
      <c r="B1" s="9" t="inlineStr">
        <is>
          <t>키</t>
        </is>
      </c>
      <c r="C1" s="9" t="inlineStr">
        <is>
          <t>TC ID</t>
        </is>
      </c>
      <c r="D1" s="9" t="inlineStr">
        <is>
          <t>성격</t>
        </is>
      </c>
      <c r="E1" s="9" t="inlineStr">
        <is>
          <t>상태</t>
        </is>
      </c>
    </row>
    <row r="2">
      <c r="A2" s="13" t="inlineStr">
        <is>
          <t>화면</t>
        </is>
      </c>
      <c r="B2" s="13" t="inlineStr">
        <is>
          <t>AUTH-01</t>
        </is>
      </c>
      <c r="C2" s="13" t="inlineStr">
        <is>
          <t>TC-AUTH-01-01</t>
        </is>
      </c>
      <c r="D2" s="13" t="inlineStr">
        <is>
          <t>기능</t>
        </is>
      </c>
      <c r="E2" s="13" t="inlineStr">
        <is>
          <t>미실행</t>
        </is>
      </c>
    </row>
    <row r="3">
      <c r="A3" s="13" t="inlineStr">
        <is>
          <t>요건</t>
        </is>
      </c>
      <c r="B3" s="13" t="inlineStr">
        <is>
          <t>V-1</t>
        </is>
      </c>
      <c r="C3" s="13" t="inlineStr">
        <is>
          <t>TC-AUTH-01-01</t>
        </is>
      </c>
      <c r="D3" s="13" t="inlineStr">
        <is>
          <t>기능</t>
        </is>
      </c>
      <c r="E3" s="13" t="inlineStr">
        <is>
          <t>미실행</t>
        </is>
      </c>
    </row>
    <row r="4">
      <c r="A4" s="13" t="inlineStr">
        <is>
          <t>화면</t>
        </is>
      </c>
      <c r="B4" s="13" t="inlineStr">
        <is>
          <t>AUTH-01</t>
        </is>
      </c>
      <c r="C4" s="13" t="inlineStr">
        <is>
          <t>TC-AUTH-01-02</t>
        </is>
      </c>
      <c r="D4" s="13" t="inlineStr">
        <is>
          <t>접근성</t>
        </is>
      </c>
      <c r="E4" s="13" t="inlineStr">
        <is>
          <t>미실행</t>
        </is>
      </c>
    </row>
    <row r="5">
      <c r="A5" s="13" t="inlineStr">
        <is>
          <t>요건</t>
        </is>
      </c>
      <c r="B5" s="13" t="inlineStr">
        <is>
          <t>NFR-04</t>
        </is>
      </c>
      <c r="C5" s="13" t="inlineStr">
        <is>
          <t>TC-AUTH-01-02</t>
        </is>
      </c>
      <c r="D5" s="13" t="inlineStr">
        <is>
          <t>접근성</t>
        </is>
      </c>
      <c r="E5" s="13" t="inlineStr">
        <is>
          <t>미실행</t>
        </is>
      </c>
    </row>
    <row r="6">
      <c r="A6" s="13" t="inlineStr">
        <is>
          <t>화면</t>
        </is>
      </c>
      <c r="B6" s="13" t="inlineStr">
        <is>
          <t>AUTH-01</t>
        </is>
      </c>
      <c r="C6" s="13" t="inlineStr">
        <is>
          <t>TC-AUTH-01-03</t>
        </is>
      </c>
      <c r="D6" s="13" t="inlineStr">
        <is>
          <t>접근성</t>
        </is>
      </c>
      <c r="E6" s="13" t="inlineStr">
        <is>
          <t>미실행</t>
        </is>
      </c>
    </row>
    <row r="7">
      <c r="A7" s="13" t="inlineStr">
        <is>
          <t>요건</t>
        </is>
      </c>
      <c r="B7" s="13" t="inlineStr">
        <is>
          <t>V-3</t>
        </is>
      </c>
      <c r="C7" s="13" t="inlineStr">
        <is>
          <t>TC-AUTH-01-03</t>
        </is>
      </c>
      <c r="D7" s="13" t="inlineStr">
        <is>
          <t>접근성</t>
        </is>
      </c>
      <c r="E7" s="13" t="inlineStr">
        <is>
          <t>미실행</t>
        </is>
      </c>
    </row>
    <row r="8">
      <c r="A8" s="13" t="inlineStr">
        <is>
          <t>요건</t>
        </is>
      </c>
      <c r="B8" s="13" t="inlineStr">
        <is>
          <t>NFR-05</t>
        </is>
      </c>
      <c r="C8" s="13" t="inlineStr">
        <is>
          <t>TC-AUTH-01-03</t>
        </is>
      </c>
      <c r="D8" s="13" t="inlineStr">
        <is>
          <t>접근성</t>
        </is>
      </c>
      <c r="E8" s="13" t="inlineStr">
        <is>
          <t>미실행</t>
        </is>
      </c>
    </row>
    <row r="9">
      <c r="A9" s="13" t="inlineStr">
        <is>
          <t>화면</t>
        </is>
      </c>
      <c r="B9" s="13" t="inlineStr">
        <is>
          <t>AUTH-01</t>
        </is>
      </c>
      <c r="C9" s="13" t="inlineStr">
        <is>
          <t>TC-AUTH-01-04</t>
        </is>
      </c>
      <c r="D9" s="13" t="inlineStr">
        <is>
          <t>접근성</t>
        </is>
      </c>
      <c r="E9" s="13" t="inlineStr">
        <is>
          <t>미실행</t>
        </is>
      </c>
    </row>
    <row r="10">
      <c r="A10" s="13" t="inlineStr">
        <is>
          <t>요건</t>
        </is>
      </c>
      <c r="B10" s="13" t="inlineStr">
        <is>
          <t>AC-05</t>
        </is>
      </c>
      <c r="C10" s="13" t="inlineStr">
        <is>
          <t>TC-AUTH-01-04</t>
        </is>
      </c>
      <c r="D10" s="13" t="inlineStr">
        <is>
          <t>접근성</t>
        </is>
      </c>
      <c r="E10" s="13" t="inlineStr">
        <is>
          <t>미실행</t>
        </is>
      </c>
    </row>
    <row r="11">
      <c r="A11" s="13" t="inlineStr">
        <is>
          <t>요건</t>
        </is>
      </c>
      <c r="B11" s="13" t="inlineStr">
        <is>
          <t>V-1</t>
        </is>
      </c>
      <c r="C11" s="13" t="inlineStr">
        <is>
          <t>TC-AUTH-01-04</t>
        </is>
      </c>
      <c r="D11" s="13" t="inlineStr">
        <is>
          <t>접근성</t>
        </is>
      </c>
      <c r="E11" s="13" t="inlineStr">
        <is>
          <t>미실행</t>
        </is>
      </c>
    </row>
    <row r="12">
      <c r="A12" s="13" t="inlineStr">
        <is>
          <t>요건</t>
        </is>
      </c>
      <c r="B12" s="13" t="inlineStr">
        <is>
          <t>NFR-04</t>
        </is>
      </c>
      <c r="C12" s="13" t="inlineStr">
        <is>
          <t>TC-AUTH-01-04</t>
        </is>
      </c>
      <c r="D12" s="13" t="inlineStr">
        <is>
          <t>접근성</t>
        </is>
      </c>
      <c r="E12" s="13" t="inlineStr">
        <is>
          <t>미실행</t>
        </is>
      </c>
    </row>
    <row r="13">
      <c r="A13" s="13" t="inlineStr">
        <is>
          <t>화면</t>
        </is>
      </c>
      <c r="B13" s="13" t="inlineStr">
        <is>
          <t>AUTH-01</t>
        </is>
      </c>
      <c r="C13" s="13" t="inlineStr">
        <is>
          <t>TC-AUTH-01-05</t>
        </is>
      </c>
      <c r="D13" s="13" t="inlineStr">
        <is>
          <t>접근성</t>
        </is>
      </c>
      <c r="E13" s="13" t="inlineStr">
        <is>
          <t>미실행</t>
        </is>
      </c>
    </row>
    <row r="14">
      <c r="A14" s="13" t="inlineStr">
        <is>
          <t>요건</t>
        </is>
      </c>
      <c r="B14" s="13" t="inlineStr">
        <is>
          <t>NFR-05</t>
        </is>
      </c>
      <c r="C14" s="13" t="inlineStr">
        <is>
          <t>TC-AUTH-01-05</t>
        </is>
      </c>
      <c r="D14" s="13" t="inlineStr">
        <is>
          <t>접근성</t>
        </is>
      </c>
      <c r="E14" s="13" t="inlineStr">
        <is>
          <t>미실행</t>
        </is>
      </c>
    </row>
    <row r="15">
      <c r="A15" s="13" t="inlineStr">
        <is>
          <t>화면</t>
        </is>
      </c>
      <c r="B15" s="13" t="inlineStr">
        <is>
          <t>AUTH-01</t>
        </is>
      </c>
      <c r="C15" s="13" t="inlineStr">
        <is>
          <t>TC-AUTH-01-06</t>
        </is>
      </c>
      <c r="D15" s="13" t="inlineStr">
        <is>
          <t>기능</t>
        </is>
      </c>
      <c r="E15" s="13" t="inlineStr">
        <is>
          <t>미실행</t>
        </is>
      </c>
    </row>
    <row r="16">
      <c r="A16" s="13" t="inlineStr">
        <is>
          <t>요건</t>
        </is>
      </c>
      <c r="B16" s="13" t="inlineStr">
        <is>
          <t>V-3</t>
        </is>
      </c>
      <c r="C16" s="13" t="inlineStr">
        <is>
          <t>TC-AUTH-01-06</t>
        </is>
      </c>
      <c r="D16" s="13" t="inlineStr">
        <is>
          <t>기능</t>
        </is>
      </c>
      <c r="E16" s="13" t="inlineStr">
        <is>
          <t>미실행</t>
        </is>
      </c>
    </row>
    <row r="17">
      <c r="A17" s="13" t="inlineStr">
        <is>
          <t>요건</t>
        </is>
      </c>
      <c r="B17" s="13" t="inlineStr">
        <is>
          <t>V-6</t>
        </is>
      </c>
      <c r="C17" s="13" t="inlineStr">
        <is>
          <t>TC-AUTH-01-06</t>
        </is>
      </c>
      <c r="D17" s="13" t="inlineStr">
        <is>
          <t>기능</t>
        </is>
      </c>
      <c r="E17" s="13" t="inlineStr">
        <is>
          <t>미실행</t>
        </is>
      </c>
    </row>
    <row r="18">
      <c r="A18" s="13" t="inlineStr">
        <is>
          <t>화면</t>
        </is>
      </c>
      <c r="B18" s="13" t="inlineStr">
        <is>
          <t>AUTH-01</t>
        </is>
      </c>
      <c r="C18" s="13" t="inlineStr">
        <is>
          <t>TC-AUTH-01-07</t>
        </is>
      </c>
      <c r="D18" s="13" t="inlineStr">
        <is>
          <t>접근성</t>
        </is>
      </c>
      <c r="E18" s="13" t="inlineStr">
        <is>
          <t>미실행</t>
        </is>
      </c>
    </row>
    <row r="19">
      <c r="A19" s="13" t="inlineStr">
        <is>
          <t>요건</t>
        </is>
      </c>
      <c r="B19" s="13" t="inlineStr">
        <is>
          <t>SG-3</t>
        </is>
      </c>
      <c r="C19" s="13" t="inlineStr">
        <is>
          <t>TC-AUTH-01-07</t>
        </is>
      </c>
      <c r="D19" s="13" t="inlineStr">
        <is>
          <t>접근성</t>
        </is>
      </c>
      <c r="E19" s="13" t="inlineStr">
        <is>
          <t>미실행</t>
        </is>
      </c>
    </row>
    <row r="20">
      <c r="A20" s="13" t="inlineStr">
        <is>
          <t>요건</t>
        </is>
      </c>
      <c r="B20" s="13" t="inlineStr">
        <is>
          <t>V-3</t>
        </is>
      </c>
      <c r="C20" s="13" t="inlineStr">
        <is>
          <t>TC-AUTH-01-07</t>
        </is>
      </c>
      <c r="D20" s="13" t="inlineStr">
        <is>
          <t>접근성</t>
        </is>
      </c>
      <c r="E20" s="13" t="inlineStr">
        <is>
          <t>미실행</t>
        </is>
      </c>
    </row>
    <row r="21">
      <c r="A21" s="13" t="inlineStr">
        <is>
          <t>화면</t>
        </is>
      </c>
      <c r="B21" s="13" t="inlineStr">
        <is>
          <t>AUTH-01</t>
        </is>
      </c>
      <c r="C21" s="13" t="inlineStr">
        <is>
          <t>TC-AUTH-01-08</t>
        </is>
      </c>
      <c r="D21" s="13" t="inlineStr">
        <is>
          <t>시나리오</t>
        </is>
      </c>
      <c r="E21" s="13" t="inlineStr">
        <is>
          <t>미실행</t>
        </is>
      </c>
    </row>
    <row r="22">
      <c r="A22" s="13" t="inlineStr">
        <is>
          <t>화면</t>
        </is>
      </c>
      <c r="B22" s="13" t="inlineStr">
        <is>
          <t>AUTH-04</t>
        </is>
      </c>
      <c r="C22" s="13" t="inlineStr">
        <is>
          <t>TC-AUTH-01-08</t>
        </is>
      </c>
      <c r="D22" s="13" t="inlineStr">
        <is>
          <t>시나리오</t>
        </is>
      </c>
      <c r="E22" s="13" t="inlineStr">
        <is>
          <t>미실행</t>
        </is>
      </c>
    </row>
    <row r="23">
      <c r="A23" s="13" t="inlineStr">
        <is>
          <t>요건</t>
        </is>
      </c>
      <c r="B23" s="13" t="inlineStr">
        <is>
          <t>V-11</t>
        </is>
      </c>
      <c r="C23" s="13" t="inlineStr">
        <is>
          <t>TC-AUTH-01-08</t>
        </is>
      </c>
      <c r="D23" s="13" t="inlineStr">
        <is>
          <t>시나리오</t>
        </is>
      </c>
      <c r="E23" s="13" t="inlineStr">
        <is>
          <t>미실행</t>
        </is>
      </c>
    </row>
    <row r="24">
      <c r="A24" s="13" t="inlineStr">
        <is>
          <t>요건</t>
        </is>
      </c>
      <c r="B24" s="13" t="inlineStr">
        <is>
          <t>V-13</t>
        </is>
      </c>
      <c r="C24" s="13" t="inlineStr">
        <is>
          <t>TC-AUTH-01-08</t>
        </is>
      </c>
      <c r="D24" s="13" t="inlineStr">
        <is>
          <t>시나리오</t>
        </is>
      </c>
      <c r="E24" s="13" t="inlineStr">
        <is>
          <t>미실행</t>
        </is>
      </c>
    </row>
    <row r="25">
      <c r="A25" s="13" t="inlineStr">
        <is>
          <t>화면</t>
        </is>
      </c>
      <c r="B25" s="13" t="inlineStr">
        <is>
          <t>AUTH-01</t>
        </is>
      </c>
      <c r="C25" s="13" t="inlineStr">
        <is>
          <t>TC-AUTH-01-09</t>
        </is>
      </c>
      <c r="D25" s="13" t="inlineStr">
        <is>
          <t>시나리오</t>
        </is>
      </c>
      <c r="E25" s="13" t="inlineStr">
        <is>
          <t>미실행</t>
        </is>
      </c>
    </row>
    <row r="26">
      <c r="A26" s="13" t="inlineStr">
        <is>
          <t>요건</t>
        </is>
      </c>
      <c r="B26" s="13" t="inlineStr">
        <is>
          <t>SS-2</t>
        </is>
      </c>
      <c r="C26" s="13" t="inlineStr">
        <is>
          <t>TC-AUTH-01-09</t>
        </is>
      </c>
      <c r="D26" s="13" t="inlineStr">
        <is>
          <t>시나리오</t>
        </is>
      </c>
      <c r="E26" s="13" t="inlineStr">
        <is>
          <t>미실행</t>
        </is>
      </c>
    </row>
    <row r="27">
      <c r="A27" s="13" t="inlineStr">
        <is>
          <t>화면</t>
        </is>
      </c>
      <c r="B27" s="13" t="inlineStr">
        <is>
          <t>AUTH-01</t>
        </is>
      </c>
      <c r="C27" s="13" t="inlineStr">
        <is>
          <t>TC-AUTH-01-10</t>
        </is>
      </c>
      <c r="D27" s="13" t="inlineStr">
        <is>
          <t>시나리오</t>
        </is>
      </c>
      <c r="E27" s="13" t="inlineStr">
        <is>
          <t>미실행</t>
        </is>
      </c>
    </row>
    <row r="28">
      <c r="A28" s="13" t="inlineStr">
        <is>
          <t>요건</t>
        </is>
      </c>
      <c r="B28" s="13" t="inlineStr">
        <is>
          <t>SS-1</t>
        </is>
      </c>
      <c r="C28" s="13" t="inlineStr">
        <is>
          <t>TC-AUTH-01-10</t>
        </is>
      </c>
      <c r="D28" s="13" t="inlineStr">
        <is>
          <t>시나리오</t>
        </is>
      </c>
      <c r="E28" s="13" t="inlineStr">
        <is>
          <t>미실행</t>
        </is>
      </c>
    </row>
    <row r="29">
      <c r="A29" s="13" t="inlineStr">
        <is>
          <t>요건</t>
        </is>
      </c>
      <c r="B29" s="13" t="inlineStr">
        <is>
          <t>SS-3</t>
        </is>
      </c>
      <c r="C29" s="13" t="inlineStr">
        <is>
          <t>TC-AUTH-01-10</t>
        </is>
      </c>
      <c r="D29" s="13" t="inlineStr">
        <is>
          <t>시나리오</t>
        </is>
      </c>
      <c r="E29" s="13" t="inlineStr">
        <is>
          <t>미실행</t>
        </is>
      </c>
    </row>
    <row r="30">
      <c r="A30" s="13" t="inlineStr">
        <is>
          <t>화면</t>
        </is>
      </c>
      <c r="B30" s="13" t="inlineStr">
        <is>
          <t>AUTH-01</t>
        </is>
      </c>
      <c r="C30" s="13" t="inlineStr">
        <is>
          <t>TC-AUTH-01-11</t>
        </is>
      </c>
      <c r="D30" s="13" t="inlineStr">
        <is>
          <t>시나리오</t>
        </is>
      </c>
      <c r="E30" s="13" t="inlineStr">
        <is>
          <t>미실행</t>
        </is>
      </c>
    </row>
    <row r="31">
      <c r="A31" s="13" t="inlineStr">
        <is>
          <t>요건</t>
        </is>
      </c>
      <c r="B31" s="13" t="inlineStr">
        <is>
          <t>SS-4</t>
        </is>
      </c>
      <c r="C31" s="13" t="inlineStr">
        <is>
          <t>TC-AUTH-01-11</t>
        </is>
      </c>
      <c r="D31" s="13" t="inlineStr">
        <is>
          <t>시나리오</t>
        </is>
      </c>
      <c r="E31" s="13" t="inlineStr">
        <is>
          <t>미실행</t>
        </is>
      </c>
    </row>
    <row r="32">
      <c r="A32" s="13" t="inlineStr">
        <is>
          <t>화면</t>
        </is>
      </c>
      <c r="B32" s="13" t="inlineStr">
        <is>
          <t>AUTH-01</t>
        </is>
      </c>
      <c r="C32" s="13" t="inlineStr">
        <is>
          <t>TC-AUTH-01-12</t>
        </is>
      </c>
      <c r="D32" s="13" t="inlineStr">
        <is>
          <t>기능</t>
        </is>
      </c>
      <c r="E32" s="13" t="inlineStr">
        <is>
          <t>미실행</t>
        </is>
      </c>
    </row>
    <row r="33">
      <c r="A33" s="13" t="inlineStr">
        <is>
          <t>요건</t>
        </is>
      </c>
      <c r="B33" s="13" t="inlineStr">
        <is>
          <t>SS-4</t>
        </is>
      </c>
      <c r="C33" s="13" t="inlineStr">
        <is>
          <t>TC-AUTH-01-12</t>
        </is>
      </c>
      <c r="D33" s="13" t="inlineStr">
        <is>
          <t>기능</t>
        </is>
      </c>
      <c r="E33" s="13" t="inlineStr">
        <is>
          <t>미실행</t>
        </is>
      </c>
    </row>
    <row r="34">
      <c r="A34" s="13" t="inlineStr">
        <is>
          <t>요건</t>
        </is>
      </c>
      <c r="B34" s="13" t="inlineStr">
        <is>
          <t>V-6</t>
        </is>
      </c>
      <c r="C34" s="13" t="inlineStr">
        <is>
          <t>TC-AUTH-01-12</t>
        </is>
      </c>
      <c r="D34" s="13" t="inlineStr">
        <is>
          <t>기능</t>
        </is>
      </c>
      <c r="E34" s="13" t="inlineStr">
        <is>
          <t>미실행</t>
        </is>
      </c>
    </row>
    <row r="35">
      <c r="A35" s="13" t="inlineStr">
        <is>
          <t>화면</t>
        </is>
      </c>
      <c r="B35" s="13" t="inlineStr">
        <is>
          <t>AUTH-01</t>
        </is>
      </c>
      <c r="C35" s="13" t="inlineStr">
        <is>
          <t>TC-AUTH-01-13</t>
        </is>
      </c>
      <c r="D35" s="13" t="inlineStr">
        <is>
          <t>대상외</t>
        </is>
      </c>
      <c r="E35" s="13" t="inlineStr">
        <is>
          <t>미실행</t>
        </is>
      </c>
    </row>
    <row r="36">
      <c r="A36" s="13" t="inlineStr">
        <is>
          <t>요건</t>
        </is>
      </c>
      <c r="B36" s="13" t="inlineStr">
        <is>
          <t>SS-5</t>
        </is>
      </c>
      <c r="C36" s="13" t="inlineStr">
        <is>
          <t>TC-AUTH-01-13</t>
        </is>
      </c>
      <c r="D36" s="13" t="inlineStr">
        <is>
          <t>대상외</t>
        </is>
      </c>
      <c r="E36" s="13" t="inlineStr">
        <is>
          <t>미실행</t>
        </is>
      </c>
    </row>
    <row r="37">
      <c r="A37" s="13" t="inlineStr">
        <is>
          <t>화면</t>
        </is>
      </c>
      <c r="B37" s="13" t="inlineStr">
        <is>
          <t>AUTH-04</t>
        </is>
      </c>
      <c r="C37" s="13" t="inlineStr">
        <is>
          <t>TC-AUTH-04-01</t>
        </is>
      </c>
      <c r="D37" s="13" t="inlineStr">
        <is>
          <t>기능</t>
        </is>
      </c>
      <c r="E37" s="13" t="inlineStr">
        <is>
          <t>미실행</t>
        </is>
      </c>
    </row>
    <row r="38">
      <c r="A38" s="13" t="inlineStr">
        <is>
          <t>요건</t>
        </is>
      </c>
      <c r="B38" s="13" t="inlineStr">
        <is>
          <t>V-11</t>
        </is>
      </c>
      <c r="C38" s="13" t="inlineStr">
        <is>
          <t>TC-AUTH-04-01</t>
        </is>
      </c>
      <c r="D38" s="13" t="inlineStr">
        <is>
          <t>기능</t>
        </is>
      </c>
      <c r="E38" s="13" t="inlineStr">
        <is>
          <t>미실행</t>
        </is>
      </c>
    </row>
    <row r="39">
      <c r="A39" s="13" t="inlineStr">
        <is>
          <t>화면</t>
        </is>
      </c>
      <c r="B39" s="13" t="inlineStr">
        <is>
          <t>AUTH-04</t>
        </is>
      </c>
      <c r="C39" s="13" t="inlineStr">
        <is>
          <t>TC-AUTH-04-02</t>
        </is>
      </c>
      <c r="D39" s="13" t="inlineStr">
        <is>
          <t>기능</t>
        </is>
      </c>
      <c r="E39" s="13" t="inlineStr">
        <is>
          <t>미실행</t>
        </is>
      </c>
    </row>
    <row r="40">
      <c r="A40" s="13" t="inlineStr">
        <is>
          <t>요건</t>
        </is>
      </c>
      <c r="B40" s="13" t="inlineStr">
        <is>
          <t>V-11</t>
        </is>
      </c>
      <c r="C40" s="13" t="inlineStr">
        <is>
          <t>TC-AUTH-04-02</t>
        </is>
      </c>
      <c r="D40" s="13" t="inlineStr">
        <is>
          <t>기능</t>
        </is>
      </c>
      <c r="E40" s="13" t="inlineStr">
        <is>
          <t>미실행</t>
        </is>
      </c>
    </row>
    <row r="41">
      <c r="A41" s="13" t="inlineStr">
        <is>
          <t>화면</t>
        </is>
      </c>
      <c r="B41" s="13" t="inlineStr">
        <is>
          <t>AUTH-04</t>
        </is>
      </c>
      <c r="C41" s="13" t="inlineStr">
        <is>
          <t>TC-AUTH-04-03</t>
        </is>
      </c>
      <c r="D41" s="13" t="inlineStr">
        <is>
          <t>기능</t>
        </is>
      </c>
      <c r="E41" s="13" t="inlineStr">
        <is>
          <t>미실행</t>
        </is>
      </c>
    </row>
    <row r="42">
      <c r="A42" s="13" t="inlineStr">
        <is>
          <t>요건</t>
        </is>
      </c>
      <c r="B42" s="13" t="inlineStr">
        <is>
          <t>V-11</t>
        </is>
      </c>
      <c r="C42" s="13" t="inlineStr">
        <is>
          <t>TC-AUTH-04-03</t>
        </is>
      </c>
      <c r="D42" s="13" t="inlineStr">
        <is>
          <t>기능</t>
        </is>
      </c>
      <c r="E42" s="13" t="inlineStr">
        <is>
          <t>미실행</t>
        </is>
      </c>
    </row>
    <row r="43">
      <c r="A43" s="13" t="inlineStr">
        <is>
          <t>요건</t>
        </is>
      </c>
      <c r="B43" s="13" t="inlineStr">
        <is>
          <t>V-6</t>
        </is>
      </c>
      <c r="C43" s="13" t="inlineStr">
        <is>
          <t>TC-AUTH-04-03</t>
        </is>
      </c>
      <c r="D43" s="13" t="inlineStr">
        <is>
          <t>기능</t>
        </is>
      </c>
      <c r="E43" s="13" t="inlineStr">
        <is>
          <t>미실행</t>
        </is>
      </c>
    </row>
    <row r="44">
      <c r="A44" s="13" t="inlineStr">
        <is>
          <t>화면</t>
        </is>
      </c>
      <c r="B44" s="13" t="inlineStr">
        <is>
          <t>AUTH-04</t>
        </is>
      </c>
      <c r="C44" s="13" t="inlineStr">
        <is>
          <t>TC-AUTH-04-04</t>
        </is>
      </c>
      <c r="D44" s="13" t="inlineStr">
        <is>
          <t>접근성</t>
        </is>
      </c>
      <c r="E44" s="13" t="inlineStr">
        <is>
          <t>미실행</t>
        </is>
      </c>
    </row>
    <row r="45">
      <c r="A45" s="13" t="inlineStr">
        <is>
          <t>요건</t>
        </is>
      </c>
      <c r="B45" s="13" t="inlineStr">
        <is>
          <t>V-6</t>
        </is>
      </c>
      <c r="C45" s="13" t="inlineStr">
        <is>
          <t>TC-AUTH-04-04</t>
        </is>
      </c>
      <c r="D45" s="13" t="inlineStr">
        <is>
          <t>접근성</t>
        </is>
      </c>
      <c r="E45" s="13" t="inlineStr">
        <is>
          <t>미실행</t>
        </is>
      </c>
    </row>
    <row r="46">
      <c r="A46" s="13" t="inlineStr">
        <is>
          <t>요건</t>
        </is>
      </c>
      <c r="B46" s="13" t="inlineStr">
        <is>
          <t>AC-05</t>
        </is>
      </c>
      <c r="C46" s="13" t="inlineStr">
        <is>
          <t>TC-AUTH-04-04</t>
        </is>
      </c>
      <c r="D46" s="13" t="inlineStr">
        <is>
          <t>접근성</t>
        </is>
      </c>
      <c r="E46" s="13" t="inlineStr">
        <is>
          <t>미실행</t>
        </is>
      </c>
    </row>
    <row r="47">
      <c r="A47" s="13" t="inlineStr">
        <is>
          <t>화면</t>
        </is>
      </c>
      <c r="B47" s="13" t="inlineStr">
        <is>
          <t>AUTH-04</t>
        </is>
      </c>
      <c r="C47" s="13" t="inlineStr">
        <is>
          <t>TC-AUTH-04-05</t>
        </is>
      </c>
      <c r="D47" s="13" t="inlineStr">
        <is>
          <t>접근성</t>
        </is>
      </c>
      <c r="E47" s="13" t="inlineStr">
        <is>
          <t>미실행</t>
        </is>
      </c>
    </row>
    <row r="48">
      <c r="A48" s="13" t="inlineStr">
        <is>
          <t>요건</t>
        </is>
      </c>
      <c r="B48" s="13" t="inlineStr">
        <is>
          <t>V-3</t>
        </is>
      </c>
      <c r="C48" s="13" t="inlineStr">
        <is>
          <t>TC-AUTH-04-05</t>
        </is>
      </c>
      <c r="D48" s="13" t="inlineStr">
        <is>
          <t>접근성</t>
        </is>
      </c>
      <c r="E48" s="13" t="inlineStr">
        <is>
          <t>미실행</t>
        </is>
      </c>
    </row>
    <row r="49">
      <c r="A49" s="13" t="inlineStr">
        <is>
          <t>화면</t>
        </is>
      </c>
      <c r="B49" s="13" t="inlineStr">
        <is>
          <t>AUTH-04</t>
        </is>
      </c>
      <c r="C49" s="13" t="inlineStr">
        <is>
          <t>TC-AUTH-04-06</t>
        </is>
      </c>
      <c r="D49" s="13" t="inlineStr">
        <is>
          <t>접근성</t>
        </is>
      </c>
      <c r="E49" s="13" t="inlineStr">
        <is>
          <t>미실행</t>
        </is>
      </c>
    </row>
    <row r="50">
      <c r="A50" s="13" t="inlineStr">
        <is>
          <t>요건</t>
        </is>
      </c>
      <c r="B50" s="13" t="inlineStr">
        <is>
          <t>AC-05</t>
        </is>
      </c>
      <c r="C50" s="13" t="inlineStr">
        <is>
          <t>TC-AUTH-04-06</t>
        </is>
      </c>
      <c r="D50" s="13" t="inlineStr">
        <is>
          <t>접근성</t>
        </is>
      </c>
      <c r="E50" s="13" t="inlineStr">
        <is>
          <t>미실행</t>
        </is>
      </c>
    </row>
    <row r="51">
      <c r="A51" s="13" t="inlineStr">
        <is>
          <t>요건</t>
        </is>
      </c>
      <c r="B51" s="13" t="inlineStr">
        <is>
          <t>NFR-05</t>
        </is>
      </c>
      <c r="C51" s="13" t="inlineStr">
        <is>
          <t>TC-AUTH-04-06</t>
        </is>
      </c>
      <c r="D51" s="13" t="inlineStr">
        <is>
          <t>접근성</t>
        </is>
      </c>
      <c r="E51" s="13" t="inlineStr">
        <is>
          <t>미실행</t>
        </is>
      </c>
    </row>
    <row r="52">
      <c r="A52" s="13" t="inlineStr">
        <is>
          <t>화면</t>
        </is>
      </c>
      <c r="B52" s="13" t="inlineStr">
        <is>
          <t>AUTH-04</t>
        </is>
      </c>
      <c r="C52" s="13" t="inlineStr">
        <is>
          <t>TC-AUTH-04-07</t>
        </is>
      </c>
      <c r="D52" s="13" t="inlineStr">
        <is>
          <t>접근성</t>
        </is>
      </c>
      <c r="E52" s="13" t="inlineStr">
        <is>
          <t>미실행</t>
        </is>
      </c>
    </row>
    <row r="53">
      <c r="A53" s="13" t="inlineStr">
        <is>
          <t>요건</t>
        </is>
      </c>
      <c r="B53" s="13" t="inlineStr">
        <is>
          <t>AC-05</t>
        </is>
      </c>
      <c r="C53" s="13" t="inlineStr">
        <is>
          <t>TC-AUTH-04-07</t>
        </is>
      </c>
      <c r="D53" s="13" t="inlineStr">
        <is>
          <t>접근성</t>
        </is>
      </c>
      <c r="E53" s="13" t="inlineStr">
        <is>
          <t>미실행</t>
        </is>
      </c>
    </row>
    <row r="54">
      <c r="A54" s="13" t="inlineStr">
        <is>
          <t>화면</t>
        </is>
      </c>
      <c r="B54" s="13" t="inlineStr">
        <is>
          <t>AUTH-04</t>
        </is>
      </c>
      <c r="C54" s="13" t="inlineStr">
        <is>
          <t>TC-AUTH-04-08</t>
        </is>
      </c>
      <c r="D54" s="13" t="inlineStr">
        <is>
          <t>접근성</t>
        </is>
      </c>
      <c r="E54" s="13" t="inlineStr">
        <is>
          <t>미실행</t>
        </is>
      </c>
    </row>
    <row r="55">
      <c r="A55" s="13" t="inlineStr">
        <is>
          <t>요건</t>
        </is>
      </c>
      <c r="B55" s="13" t="inlineStr">
        <is>
          <t>SG-1</t>
        </is>
      </c>
      <c r="C55" s="13" t="inlineStr">
        <is>
          <t>TC-AUTH-04-08</t>
        </is>
      </c>
      <c r="D55" s="13" t="inlineStr">
        <is>
          <t>접근성</t>
        </is>
      </c>
      <c r="E55" s="13" t="inlineStr">
        <is>
          <t>미실행</t>
        </is>
      </c>
    </row>
    <row r="56">
      <c r="A56" s="13" t="inlineStr">
        <is>
          <t>요건</t>
        </is>
      </c>
      <c r="B56" s="13" t="inlineStr">
        <is>
          <t>V-1</t>
        </is>
      </c>
      <c r="C56" s="13" t="inlineStr">
        <is>
          <t>TC-AUTH-04-08</t>
        </is>
      </c>
      <c r="D56" s="13" t="inlineStr">
        <is>
          <t>접근성</t>
        </is>
      </c>
      <c r="E56" s="13" t="inlineStr">
        <is>
          <t>미실행</t>
        </is>
      </c>
    </row>
    <row r="57">
      <c r="A57" s="13" t="inlineStr">
        <is>
          <t>화면</t>
        </is>
      </c>
      <c r="B57" s="13" t="inlineStr">
        <is>
          <t>AUTH-04</t>
        </is>
      </c>
      <c r="C57" s="13" t="inlineStr">
        <is>
          <t>TC-AUTH-04-09</t>
        </is>
      </c>
      <c r="D57" s="13" t="inlineStr">
        <is>
          <t>기능</t>
        </is>
      </c>
      <c r="E57" s="13" t="inlineStr">
        <is>
          <t>미실행</t>
        </is>
      </c>
    </row>
    <row r="58">
      <c r="A58" s="13" t="inlineStr">
        <is>
          <t>요건</t>
        </is>
      </c>
      <c r="B58" s="13" t="inlineStr">
        <is>
          <t>SG-2</t>
        </is>
      </c>
      <c r="C58" s="13" t="inlineStr">
        <is>
          <t>TC-AUTH-04-09</t>
        </is>
      </c>
      <c r="D58" s="13" t="inlineStr">
        <is>
          <t>기능</t>
        </is>
      </c>
      <c r="E58" s="13" t="inlineStr">
        <is>
          <t>미실행</t>
        </is>
      </c>
    </row>
    <row r="59">
      <c r="A59" s="13" t="inlineStr">
        <is>
          <t>화면</t>
        </is>
      </c>
      <c r="B59" s="13" t="inlineStr">
        <is>
          <t>AUTH-04</t>
        </is>
      </c>
      <c r="C59" s="13" t="inlineStr">
        <is>
          <t>TC-AUTH-04-10</t>
        </is>
      </c>
      <c r="D59" s="13" t="inlineStr">
        <is>
          <t>비기능</t>
        </is>
      </c>
      <c r="E59" s="13" t="inlineStr">
        <is>
          <t>미실행</t>
        </is>
      </c>
    </row>
    <row r="60">
      <c r="A60" s="13" t="inlineStr">
        <is>
          <t>요건</t>
        </is>
      </c>
      <c r="B60" s="13" t="inlineStr">
        <is>
          <t>SG-3</t>
        </is>
      </c>
      <c r="C60" s="13" t="inlineStr">
        <is>
          <t>TC-AUTH-04-10</t>
        </is>
      </c>
      <c r="D60" s="13" t="inlineStr">
        <is>
          <t>비기능</t>
        </is>
      </c>
      <c r="E60" s="13" t="inlineStr">
        <is>
          <t>미실행</t>
        </is>
      </c>
    </row>
    <row r="61">
      <c r="A61" s="13" t="inlineStr">
        <is>
          <t>요건</t>
        </is>
      </c>
      <c r="B61" s="13" t="inlineStr">
        <is>
          <t>AC-06</t>
        </is>
      </c>
      <c r="C61" s="13" t="inlineStr">
        <is>
          <t>TC-AUTH-04-10</t>
        </is>
      </c>
      <c r="D61" s="13" t="inlineStr">
        <is>
          <t>비기능</t>
        </is>
      </c>
      <c r="E61" s="13" t="inlineStr">
        <is>
          <t>미실행</t>
        </is>
      </c>
    </row>
    <row r="62">
      <c r="A62" s="13" t="inlineStr">
        <is>
          <t>요건</t>
        </is>
      </c>
      <c r="B62" s="13" t="inlineStr">
        <is>
          <t>T-4</t>
        </is>
      </c>
      <c r="C62" s="13" t="inlineStr">
        <is>
          <t>TC-AUTH-04-10</t>
        </is>
      </c>
      <c r="D62" s="13" t="inlineStr">
        <is>
          <t>비기능</t>
        </is>
      </c>
      <c r="E62" s="13" t="inlineStr">
        <is>
          <t>미실행</t>
        </is>
      </c>
    </row>
    <row r="63">
      <c r="A63" s="13" t="inlineStr">
        <is>
          <t>화면</t>
        </is>
      </c>
      <c r="B63" s="13" t="inlineStr">
        <is>
          <t>AUTH-04</t>
        </is>
      </c>
      <c r="C63" s="13" t="inlineStr">
        <is>
          <t>TC-AUTH-04-11</t>
        </is>
      </c>
      <c r="D63" s="13" t="inlineStr">
        <is>
          <t>시나리오</t>
        </is>
      </c>
      <c r="E63" s="13" t="inlineStr">
        <is>
          <t>미실행</t>
        </is>
      </c>
    </row>
    <row r="64">
      <c r="A64" s="13" t="inlineStr">
        <is>
          <t>요건</t>
        </is>
      </c>
      <c r="B64" s="13" t="inlineStr">
        <is>
          <t>SG-4</t>
        </is>
      </c>
      <c r="C64" s="13" t="inlineStr">
        <is>
          <t>TC-AUTH-04-11</t>
        </is>
      </c>
      <c r="D64" s="13" t="inlineStr">
        <is>
          <t>시나리오</t>
        </is>
      </c>
      <c r="E64" s="13" t="inlineStr">
        <is>
          <t>미실행</t>
        </is>
      </c>
    </row>
    <row r="65">
      <c r="A65" s="13" t="inlineStr">
        <is>
          <t>화면</t>
        </is>
      </c>
      <c r="B65" s="13" t="inlineStr">
        <is>
          <t>AUTH-04</t>
        </is>
      </c>
      <c r="C65" s="13" t="inlineStr">
        <is>
          <t>TC-AUTH-04-12</t>
        </is>
      </c>
      <c r="D65" s="13" t="inlineStr">
        <is>
          <t>시나리오</t>
        </is>
      </c>
      <c r="E65" s="13" t="inlineStr">
        <is>
          <t>미실행</t>
        </is>
      </c>
    </row>
    <row r="66">
      <c r="A66" s="13" t="inlineStr">
        <is>
          <t>요건</t>
        </is>
      </c>
      <c r="B66" s="13" t="inlineStr">
        <is>
          <t>SG-6</t>
        </is>
      </c>
      <c r="C66" s="13" t="inlineStr">
        <is>
          <t>TC-AUTH-04-12</t>
        </is>
      </c>
      <c r="D66" s="13" t="inlineStr">
        <is>
          <t>시나리오</t>
        </is>
      </c>
      <c r="E66" s="13" t="inlineStr">
        <is>
          <t>미실행</t>
        </is>
      </c>
    </row>
    <row r="67">
      <c r="A67" s="13" t="inlineStr">
        <is>
          <t>화면</t>
        </is>
      </c>
      <c r="B67" s="13" t="inlineStr">
        <is>
          <t>AUTH-04</t>
        </is>
      </c>
      <c r="C67" s="13" t="inlineStr">
        <is>
          <t>TC-AUTH-04-13</t>
        </is>
      </c>
      <c r="D67" s="13" t="inlineStr">
        <is>
          <t>시나리오</t>
        </is>
      </c>
      <c r="E67" s="13" t="inlineStr">
        <is>
          <t>미실행</t>
        </is>
      </c>
    </row>
    <row r="68">
      <c r="A68" s="13" t="inlineStr">
        <is>
          <t>요건</t>
        </is>
      </c>
      <c r="B68" s="13" t="inlineStr">
        <is>
          <t>SG-7</t>
        </is>
      </c>
      <c r="C68" s="13" t="inlineStr">
        <is>
          <t>TC-AUTH-04-13</t>
        </is>
      </c>
      <c r="D68" s="13" t="inlineStr">
        <is>
          <t>시나리오</t>
        </is>
      </c>
      <c r="E68" s="13" t="inlineStr">
        <is>
          <t>미실행</t>
        </is>
      </c>
    </row>
    <row r="69">
      <c r="A69" s="13" t="inlineStr">
        <is>
          <t>화면</t>
        </is>
      </c>
      <c r="B69" s="13" t="inlineStr">
        <is>
          <t>AUTH-04</t>
        </is>
      </c>
      <c r="C69" s="13" t="inlineStr">
        <is>
          <t>TC-AUTH-04-14</t>
        </is>
      </c>
      <c r="D69" s="13" t="inlineStr">
        <is>
          <t>기능</t>
        </is>
      </c>
      <c r="E69" s="13" t="inlineStr">
        <is>
          <t>미실행</t>
        </is>
      </c>
    </row>
    <row r="70">
      <c r="A70" s="13" t="inlineStr">
        <is>
          <t>요건</t>
        </is>
      </c>
      <c r="B70" s="13" t="inlineStr">
        <is>
          <t>V-11</t>
        </is>
      </c>
      <c r="C70" s="13" t="inlineStr">
        <is>
          <t>TC-AUTH-04-14</t>
        </is>
      </c>
      <c r="D70" s="13" t="inlineStr">
        <is>
          <t>기능</t>
        </is>
      </c>
      <c r="E70" s="13" t="inlineStr">
        <is>
          <t>미실행</t>
        </is>
      </c>
    </row>
    <row r="71">
      <c r="A71" s="13" t="inlineStr">
        <is>
          <t>화면</t>
        </is>
      </c>
      <c r="B71" s="13" t="inlineStr">
        <is>
          <t>AUTH-04</t>
        </is>
      </c>
      <c r="C71" s="13" t="inlineStr">
        <is>
          <t>TC-AUTH-04-15</t>
        </is>
      </c>
      <c r="D71" s="13" t="inlineStr">
        <is>
          <t>기능</t>
        </is>
      </c>
      <c r="E71" s="13" t="inlineStr">
        <is>
          <t>미실행</t>
        </is>
      </c>
    </row>
    <row r="72">
      <c r="A72" s="13" t="inlineStr">
        <is>
          <t>요건</t>
        </is>
      </c>
      <c r="B72" s="13" t="inlineStr">
        <is>
          <t>V-11</t>
        </is>
      </c>
      <c r="C72" s="13" t="inlineStr">
        <is>
          <t>TC-AUTH-04-15</t>
        </is>
      </c>
      <c r="D72" s="13" t="inlineStr">
        <is>
          <t>기능</t>
        </is>
      </c>
      <c r="E72" s="13" t="inlineStr">
        <is>
          <t>미실행</t>
        </is>
      </c>
    </row>
    <row r="73">
      <c r="A73" s="13" t="inlineStr">
        <is>
          <t>화면</t>
        </is>
      </c>
      <c r="B73" s="13" t="inlineStr">
        <is>
          <t>AUTH-04</t>
        </is>
      </c>
      <c r="C73" s="13" t="inlineStr">
        <is>
          <t>TC-AUTH-04-16</t>
        </is>
      </c>
      <c r="D73" s="13" t="inlineStr">
        <is>
          <t>접근성</t>
        </is>
      </c>
      <c r="E73" s="13" t="inlineStr">
        <is>
          <t>보류</t>
        </is>
      </c>
    </row>
    <row r="74">
      <c r="A74" s="13" t="inlineStr">
        <is>
          <t>요건</t>
        </is>
      </c>
      <c r="B74" s="13" t="inlineStr">
        <is>
          <t>AC-05</t>
        </is>
      </c>
      <c r="C74" s="13" t="inlineStr">
        <is>
          <t>TC-AUTH-04-16</t>
        </is>
      </c>
      <c r="D74" s="13" t="inlineStr">
        <is>
          <t>접근성</t>
        </is>
      </c>
      <c r="E74" s="13" t="inlineStr">
        <is>
          <t>보류</t>
        </is>
      </c>
    </row>
    <row r="75">
      <c r="A75" s="13" t="inlineStr">
        <is>
          <t>요건</t>
        </is>
      </c>
      <c r="B75" s="13" t="inlineStr">
        <is>
          <t>V-6</t>
        </is>
      </c>
      <c r="C75" s="13" t="inlineStr">
        <is>
          <t>TC-AUTH-04-16</t>
        </is>
      </c>
      <c r="D75" s="13" t="inlineStr">
        <is>
          <t>접근성</t>
        </is>
      </c>
      <c r="E75" s="13" t="inlineStr">
        <is>
          <t>보류</t>
        </is>
      </c>
    </row>
    <row r="76">
      <c r="A76" s="13" t="inlineStr">
        <is>
          <t>화면</t>
        </is>
      </c>
      <c r="B76" s="13" t="inlineStr">
        <is>
          <t>AUTH-04</t>
        </is>
      </c>
      <c r="C76" s="13" t="inlineStr">
        <is>
          <t>TC-AUTH-04-17</t>
        </is>
      </c>
      <c r="D76" s="13" t="inlineStr">
        <is>
          <t>기능</t>
        </is>
      </c>
      <c r="E76" s="13" t="inlineStr">
        <is>
          <t>보류</t>
        </is>
      </c>
    </row>
    <row r="77">
      <c r="A77" s="13" t="inlineStr">
        <is>
          <t>요건</t>
        </is>
      </c>
      <c r="B77" s="13" t="inlineStr">
        <is>
          <t>NFR-04</t>
        </is>
      </c>
      <c r="C77" s="13" t="inlineStr">
        <is>
          <t>TC-AUTH-04-17</t>
        </is>
      </c>
      <c r="D77" s="13" t="inlineStr">
        <is>
          <t>기능</t>
        </is>
      </c>
      <c r="E77" s="13" t="inlineStr">
        <is>
          <t>보류</t>
        </is>
      </c>
    </row>
    <row r="78">
      <c r="A78" s="13" t="inlineStr">
        <is>
          <t>요건</t>
        </is>
      </c>
      <c r="B78" s="13" t="inlineStr">
        <is>
          <t>V-6</t>
        </is>
      </c>
      <c r="C78" s="13" t="inlineStr">
        <is>
          <t>TC-AUTH-04-17</t>
        </is>
      </c>
      <c r="D78" s="13" t="inlineStr">
        <is>
          <t>기능</t>
        </is>
      </c>
      <c r="E78" s="13" t="inlineStr">
        <is>
          <t>보류</t>
        </is>
      </c>
    </row>
    <row r="79">
      <c r="A79" s="13" t="inlineStr">
        <is>
          <t>화면</t>
        </is>
      </c>
      <c r="B79" s="13" t="inlineStr">
        <is>
          <t>AUTH-04</t>
        </is>
      </c>
      <c r="C79" s="13" t="inlineStr">
        <is>
          <t>TC-AUTH-04-18</t>
        </is>
      </c>
      <c r="D79" s="13" t="inlineStr">
        <is>
          <t>기능</t>
        </is>
      </c>
      <c r="E79" s="13" t="inlineStr">
        <is>
          <t>미실행</t>
        </is>
      </c>
    </row>
    <row r="80">
      <c r="A80" s="13" t="inlineStr">
        <is>
          <t>요건</t>
        </is>
      </c>
      <c r="B80" s="13" t="inlineStr">
        <is>
          <t>V-6</t>
        </is>
      </c>
      <c r="C80" s="13" t="inlineStr">
        <is>
          <t>TC-AUTH-04-18</t>
        </is>
      </c>
      <c r="D80" s="13" t="inlineStr">
        <is>
          <t>기능</t>
        </is>
      </c>
      <c r="E80" s="13" t="inlineStr">
        <is>
          <t>미실행</t>
        </is>
      </c>
    </row>
    <row r="81">
      <c r="A81" s="13" t="inlineStr">
        <is>
          <t>화면</t>
        </is>
      </c>
      <c r="B81" s="13" t="inlineStr">
        <is>
          <t>AUTH-04</t>
        </is>
      </c>
      <c r="C81" s="13" t="inlineStr">
        <is>
          <t>TC-AUTH-04-19</t>
        </is>
      </c>
      <c r="D81" s="13" t="inlineStr">
        <is>
          <t>기능</t>
        </is>
      </c>
      <c r="E81" s="13" t="inlineStr">
        <is>
          <t>보류</t>
        </is>
      </c>
    </row>
    <row r="82">
      <c r="A82" s="13" t="inlineStr">
        <is>
          <t>요건</t>
        </is>
      </c>
      <c r="B82" s="13" t="inlineStr">
        <is>
          <t>NFR-04</t>
        </is>
      </c>
      <c r="C82" s="13" t="inlineStr">
        <is>
          <t>TC-AUTH-04-19</t>
        </is>
      </c>
      <c r="D82" s="13" t="inlineStr">
        <is>
          <t>기능</t>
        </is>
      </c>
      <c r="E82" s="13" t="inlineStr">
        <is>
          <t>보류</t>
        </is>
      </c>
    </row>
    <row r="83">
      <c r="A83" s="13" t="inlineStr">
        <is>
          <t>화면</t>
        </is>
      </c>
      <c r="B83" s="13" t="inlineStr">
        <is>
          <t>AUTH-04</t>
        </is>
      </c>
      <c r="C83" s="13" t="inlineStr">
        <is>
          <t>TC-AUTH-04-20</t>
        </is>
      </c>
      <c r="D83" s="13" t="inlineStr">
        <is>
          <t>비기능</t>
        </is>
      </c>
      <c r="E83" s="13" t="inlineStr">
        <is>
          <t>미실행</t>
        </is>
      </c>
    </row>
    <row r="84">
      <c r="A84" s="13" t="inlineStr">
        <is>
          <t>요건</t>
        </is>
      </c>
      <c r="B84" s="13" t="inlineStr">
        <is>
          <t>NFR-02</t>
        </is>
      </c>
      <c r="C84" s="13" t="inlineStr">
        <is>
          <t>TC-AUTH-04-20</t>
        </is>
      </c>
      <c r="D84" s="13" t="inlineStr">
        <is>
          <t>비기능</t>
        </is>
      </c>
      <c r="E84" s="13" t="inlineStr">
        <is>
          <t>미실행</t>
        </is>
      </c>
    </row>
    <row r="85">
      <c r="A85" s="13" t="inlineStr">
        <is>
          <t>요건</t>
        </is>
      </c>
      <c r="B85" s="13" t="inlineStr">
        <is>
          <t>S-1</t>
        </is>
      </c>
      <c r="C85" s="13" t="inlineStr">
        <is>
          <t>TC-AUTH-04-20</t>
        </is>
      </c>
      <c r="D85" s="13" t="inlineStr">
        <is>
          <t>비기능</t>
        </is>
      </c>
      <c r="E85" s="13" t="inlineStr">
        <is>
          <t>미실행</t>
        </is>
      </c>
    </row>
    <row r="86">
      <c r="A86" s="13" t="inlineStr">
        <is>
          <t>요건</t>
        </is>
      </c>
      <c r="B86" s="13" t="inlineStr">
        <is>
          <t>S-2</t>
        </is>
      </c>
      <c r="C86" s="13" t="inlineStr">
        <is>
          <t>TC-AUTH-04-20</t>
        </is>
      </c>
      <c r="D86" s="13" t="inlineStr">
        <is>
          <t>비기능</t>
        </is>
      </c>
      <c r="E86" s="13" t="inlineStr">
        <is>
          <t>미실행</t>
        </is>
      </c>
    </row>
    <row r="87">
      <c r="A87" s="13" t="inlineStr">
        <is>
          <t>화면</t>
        </is>
      </c>
      <c r="B87" s="13" t="inlineStr">
        <is>
          <t>AUTH-04</t>
        </is>
      </c>
      <c r="C87" s="13" t="inlineStr">
        <is>
          <t>TC-AUTH-04-21</t>
        </is>
      </c>
      <c r="D87" s="13" t="inlineStr">
        <is>
          <t>접근성</t>
        </is>
      </c>
      <c r="E87" s="13" t="inlineStr">
        <is>
          <t>미실행</t>
        </is>
      </c>
    </row>
    <row r="88">
      <c r="A88" s="13" t="inlineStr">
        <is>
          <t>요건</t>
        </is>
      </c>
      <c r="B88" s="13" t="inlineStr">
        <is>
          <t>NFR-04</t>
        </is>
      </c>
      <c r="C88" s="13" t="inlineStr">
        <is>
          <t>TC-AUTH-04-21</t>
        </is>
      </c>
      <c r="D88" s="13" t="inlineStr">
        <is>
          <t>접근성</t>
        </is>
      </c>
      <c r="E88" s="13" t="inlineStr">
        <is>
          <t>미실행</t>
        </is>
      </c>
    </row>
    <row r="89">
      <c r="A89" s="13" t="inlineStr">
        <is>
          <t>요건</t>
        </is>
      </c>
      <c r="B89" s="13" t="inlineStr">
        <is>
          <t>AC-05</t>
        </is>
      </c>
      <c r="C89" s="13" t="inlineStr">
        <is>
          <t>TC-AUTH-04-21</t>
        </is>
      </c>
      <c r="D89" s="13" t="inlineStr">
        <is>
          <t>접근성</t>
        </is>
      </c>
      <c r="E89" s="13" t="inlineStr">
        <is>
          <t>미실행</t>
        </is>
      </c>
    </row>
    <row r="90">
      <c r="A90" s="13" t="inlineStr">
        <is>
          <t>화면</t>
        </is>
      </c>
      <c r="B90" s="13" t="inlineStr">
        <is>
          <t>AUTH-04</t>
        </is>
      </c>
      <c r="C90" s="13" t="inlineStr">
        <is>
          <t>TC-AUTH-04-22</t>
        </is>
      </c>
      <c r="D90" s="13" t="inlineStr">
        <is>
          <t>비기능</t>
        </is>
      </c>
      <c r="E90" s="13" t="inlineStr">
        <is>
          <t>미실행</t>
        </is>
      </c>
    </row>
    <row r="91">
      <c r="A91" s="13" t="inlineStr">
        <is>
          <t>요건</t>
        </is>
      </c>
      <c r="B91" s="13" t="inlineStr">
        <is>
          <t>AC-06</t>
        </is>
      </c>
      <c r="C91" s="13" t="inlineStr">
        <is>
          <t>TC-AUTH-04-22</t>
        </is>
      </c>
      <c r="D91" s="13" t="inlineStr">
        <is>
          <t>비기능</t>
        </is>
      </c>
      <c r="E91" s="13" t="inlineStr">
        <is>
          <t>미실행</t>
        </is>
      </c>
    </row>
    <row r="92">
      <c r="A92" s="13" t="inlineStr">
        <is>
          <t>요건</t>
        </is>
      </c>
      <c r="B92" s="13" t="inlineStr">
        <is>
          <t>T-4</t>
        </is>
      </c>
      <c r="C92" s="13" t="inlineStr">
        <is>
          <t>TC-AUTH-04-22</t>
        </is>
      </c>
      <c r="D92" s="13" t="inlineStr">
        <is>
          <t>비기능</t>
        </is>
      </c>
      <c r="E92" s="13" t="inlineStr">
        <is>
          <t>미실행</t>
        </is>
      </c>
    </row>
    <row r="93">
      <c r="A93" s="13" t="inlineStr">
        <is>
          <t>화면</t>
        </is>
      </c>
      <c r="B93" s="13" t="inlineStr">
        <is>
          <t>AUTH-03</t>
        </is>
      </c>
      <c r="C93" s="13" t="inlineStr">
        <is>
          <t>TC-AUTH-03-01</t>
        </is>
      </c>
      <c r="D93" s="13" t="inlineStr">
        <is>
          <t>기능</t>
        </is>
      </c>
      <c r="E93" s="13" t="inlineStr">
        <is>
          <t>미실행</t>
        </is>
      </c>
    </row>
    <row r="94">
      <c r="A94" s="13" t="inlineStr">
        <is>
          <t>요건</t>
        </is>
      </c>
      <c r="B94" s="13" t="inlineStr">
        <is>
          <t>V-1</t>
        </is>
      </c>
      <c r="C94" s="13" t="inlineStr">
        <is>
          <t>TC-AUTH-03-01</t>
        </is>
      </c>
      <c r="D94" s="13" t="inlineStr">
        <is>
          <t>기능</t>
        </is>
      </c>
      <c r="E94" s="13" t="inlineStr">
        <is>
          <t>미실행</t>
        </is>
      </c>
    </row>
    <row r="95">
      <c r="A95" s="13" t="inlineStr">
        <is>
          <t>화면</t>
        </is>
      </c>
      <c r="B95" s="13" t="inlineStr">
        <is>
          <t>AUTH-03</t>
        </is>
      </c>
      <c r="C95" s="13" t="inlineStr">
        <is>
          <t>TC-AUTH-03-02</t>
        </is>
      </c>
      <c r="D95" s="13" t="inlineStr">
        <is>
          <t>기능</t>
        </is>
      </c>
      <c r="E95" s="13" t="inlineStr">
        <is>
          <t>미실행</t>
        </is>
      </c>
    </row>
    <row r="96">
      <c r="A96" s="13" t="inlineStr">
        <is>
          <t>화면</t>
        </is>
      </c>
      <c r="B96" s="13" t="inlineStr">
        <is>
          <t>AUTH-04</t>
        </is>
      </c>
      <c r="C96" s="13" t="inlineStr">
        <is>
          <t>TC-AUTH-03-02</t>
        </is>
      </c>
      <c r="D96" s="13" t="inlineStr">
        <is>
          <t>기능</t>
        </is>
      </c>
      <c r="E96" s="13" t="inlineStr">
        <is>
          <t>미실행</t>
        </is>
      </c>
    </row>
    <row r="97">
      <c r="A97" s="13" t="inlineStr">
        <is>
          <t>요건</t>
        </is>
      </c>
      <c r="B97" s="13" t="inlineStr">
        <is>
          <t>V-13</t>
        </is>
      </c>
      <c r="C97" s="13" t="inlineStr">
        <is>
          <t>TC-AUTH-03-02</t>
        </is>
      </c>
      <c r="D97" s="13" t="inlineStr">
        <is>
          <t>기능</t>
        </is>
      </c>
      <c r="E97" s="13" t="inlineStr">
        <is>
          <t>미실행</t>
        </is>
      </c>
    </row>
    <row r="98">
      <c r="A98" s="13" t="inlineStr">
        <is>
          <t>화면</t>
        </is>
      </c>
      <c r="B98" s="13" t="inlineStr">
        <is>
          <t>AUTH-03</t>
        </is>
      </c>
      <c r="C98" s="13" t="inlineStr">
        <is>
          <t>TC-AUTH-03-03</t>
        </is>
      </c>
      <c r="D98" s="13" t="inlineStr">
        <is>
          <t>기능</t>
        </is>
      </c>
      <c r="E98" s="13" t="inlineStr">
        <is>
          <t>미실행</t>
        </is>
      </c>
    </row>
    <row r="99">
      <c r="A99" s="13" t="inlineStr">
        <is>
          <t>화면</t>
        </is>
      </c>
      <c r="B99" s="13" t="inlineStr">
        <is>
          <t>AUTH-04</t>
        </is>
      </c>
      <c r="C99" s="13" t="inlineStr">
        <is>
          <t>TC-AUTH-03-03</t>
        </is>
      </c>
      <c r="D99" s="13" t="inlineStr">
        <is>
          <t>기능</t>
        </is>
      </c>
      <c r="E99" s="13" t="inlineStr">
        <is>
          <t>미실행</t>
        </is>
      </c>
    </row>
    <row r="100">
      <c r="A100" s="13" t="inlineStr">
        <is>
          <t>요건</t>
        </is>
      </c>
      <c r="B100" s="13" t="inlineStr">
        <is>
          <t>V-13</t>
        </is>
      </c>
      <c r="C100" s="13" t="inlineStr">
        <is>
          <t>TC-AUTH-03-03</t>
        </is>
      </c>
      <c r="D100" s="13" t="inlineStr">
        <is>
          <t>기능</t>
        </is>
      </c>
      <c r="E100" s="13" t="inlineStr">
        <is>
          <t>미실행</t>
        </is>
      </c>
    </row>
    <row r="101">
      <c r="A101" s="13" t="inlineStr">
        <is>
          <t>요건</t>
        </is>
      </c>
      <c r="B101" s="13" t="inlineStr">
        <is>
          <t>V-14</t>
        </is>
      </c>
      <c r="C101" s="13" t="inlineStr">
        <is>
          <t>TC-AUTH-03-03</t>
        </is>
      </c>
      <c r="D101" s="13" t="inlineStr">
        <is>
          <t>기능</t>
        </is>
      </c>
      <c r="E101" s="13" t="inlineStr">
        <is>
          <t>미실행</t>
        </is>
      </c>
    </row>
    <row r="102">
      <c r="A102" s="13" t="inlineStr">
        <is>
          <t>화면</t>
        </is>
      </c>
      <c r="B102" s="13" t="inlineStr">
        <is>
          <t>AUTH-03</t>
        </is>
      </c>
      <c r="C102" s="13" t="inlineStr">
        <is>
          <t>TC-AUTH-03-04</t>
        </is>
      </c>
      <c r="D102" s="13" t="inlineStr">
        <is>
          <t>기능</t>
        </is>
      </c>
      <c r="E102" s="13" t="inlineStr">
        <is>
          <t>보류</t>
        </is>
      </c>
    </row>
    <row r="103">
      <c r="A103" s="13" t="inlineStr">
        <is>
          <t>요건</t>
        </is>
      </c>
      <c r="B103" s="13" t="inlineStr">
        <is>
          <t>V-13</t>
        </is>
      </c>
      <c r="C103" s="13" t="inlineStr">
        <is>
          <t>TC-AUTH-03-04</t>
        </is>
      </c>
      <c r="D103" s="13" t="inlineStr">
        <is>
          <t>기능</t>
        </is>
      </c>
      <c r="E103" s="13" t="inlineStr">
        <is>
          <t>보류</t>
        </is>
      </c>
    </row>
    <row r="104">
      <c r="A104" s="13" t="inlineStr">
        <is>
          <t>화면</t>
        </is>
      </c>
      <c r="B104" s="13" t="inlineStr">
        <is>
          <t>AUTH-03</t>
        </is>
      </c>
      <c r="C104" s="13" t="inlineStr">
        <is>
          <t>TC-AUTH-03-05</t>
        </is>
      </c>
      <c r="D104" s="13" t="inlineStr">
        <is>
          <t>접근성</t>
        </is>
      </c>
      <c r="E104" s="13" t="inlineStr">
        <is>
          <t>미실행</t>
        </is>
      </c>
    </row>
    <row r="105">
      <c r="A105" s="13" t="inlineStr">
        <is>
          <t>요건</t>
        </is>
      </c>
      <c r="B105" s="13" t="inlineStr">
        <is>
          <t>NFR-05</t>
        </is>
      </c>
      <c r="C105" s="13" t="inlineStr">
        <is>
          <t>TC-AUTH-03-05</t>
        </is>
      </c>
      <c r="D105" s="13" t="inlineStr">
        <is>
          <t>접근성</t>
        </is>
      </c>
      <c r="E105" s="13" t="inlineStr">
        <is>
          <t>미실행</t>
        </is>
      </c>
    </row>
    <row r="106">
      <c r="A106" s="13" t="inlineStr">
        <is>
          <t>화면</t>
        </is>
      </c>
      <c r="B106" s="13" t="inlineStr">
        <is>
          <t>AUTH-03</t>
        </is>
      </c>
      <c r="C106" s="13" t="inlineStr">
        <is>
          <t>TC-AUTH-03-06</t>
        </is>
      </c>
      <c r="D106" s="13" t="inlineStr">
        <is>
          <t>기능</t>
        </is>
      </c>
      <c r="E106" s="13" t="inlineStr">
        <is>
          <t>미실행</t>
        </is>
      </c>
    </row>
    <row r="107">
      <c r="A107" s="13" t="inlineStr">
        <is>
          <t>요건</t>
        </is>
      </c>
      <c r="B107" s="13" t="inlineStr">
        <is>
          <t>V-6</t>
        </is>
      </c>
      <c r="C107" s="13" t="inlineStr">
        <is>
          <t>TC-AUTH-03-06</t>
        </is>
      </c>
      <c r="D107" s="13" t="inlineStr">
        <is>
          <t>기능</t>
        </is>
      </c>
      <c r="E107" s="13" t="inlineStr">
        <is>
          <t>미실행</t>
        </is>
      </c>
    </row>
    <row r="108">
      <c r="A108" s="13" t="inlineStr">
        <is>
          <t>화면</t>
        </is>
      </c>
      <c r="B108" s="13" t="inlineStr">
        <is>
          <t>AUTH-03</t>
        </is>
      </c>
      <c r="C108" s="13" t="inlineStr">
        <is>
          <t>TC-AUTH-03-07</t>
        </is>
      </c>
      <c r="D108" s="13" t="inlineStr">
        <is>
          <t>접근성</t>
        </is>
      </c>
      <c r="E108" s="13" t="inlineStr">
        <is>
          <t>보류</t>
        </is>
      </c>
    </row>
    <row r="109">
      <c r="A109" s="13" t="inlineStr">
        <is>
          <t>요건</t>
        </is>
      </c>
      <c r="B109" s="13" t="inlineStr">
        <is>
          <t>V-6</t>
        </is>
      </c>
      <c r="C109" s="13" t="inlineStr">
        <is>
          <t>TC-AUTH-03-07</t>
        </is>
      </c>
      <c r="D109" s="13" t="inlineStr">
        <is>
          <t>접근성</t>
        </is>
      </c>
      <c r="E109" s="13" t="inlineStr">
        <is>
          <t>보류</t>
        </is>
      </c>
    </row>
    <row r="110">
      <c r="A110" s="13" t="inlineStr">
        <is>
          <t>요건</t>
        </is>
      </c>
      <c r="B110" s="13" t="inlineStr">
        <is>
          <t>AC-05</t>
        </is>
      </c>
      <c r="C110" s="13" t="inlineStr">
        <is>
          <t>TC-AUTH-03-07</t>
        </is>
      </c>
      <c r="D110" s="13" t="inlineStr">
        <is>
          <t>접근성</t>
        </is>
      </c>
      <c r="E110" s="13" t="inlineStr">
        <is>
          <t>보류</t>
        </is>
      </c>
    </row>
    <row r="111">
      <c r="A111" s="13" t="inlineStr">
        <is>
          <t>화면</t>
        </is>
      </c>
      <c r="B111" s="13" t="inlineStr">
        <is>
          <t>AUTH-03</t>
        </is>
      </c>
      <c r="C111" s="13" t="inlineStr">
        <is>
          <t>TC-AUTH-03-08</t>
        </is>
      </c>
      <c r="D111" s="13" t="inlineStr">
        <is>
          <t>기능</t>
        </is>
      </c>
      <c r="E111" s="13" t="inlineStr">
        <is>
          <t>미실행</t>
        </is>
      </c>
    </row>
    <row r="112">
      <c r="A112" s="13" t="inlineStr">
        <is>
          <t>요건</t>
        </is>
      </c>
      <c r="B112" s="13" t="inlineStr">
        <is>
          <t>V-3</t>
        </is>
      </c>
      <c r="C112" s="13" t="inlineStr">
        <is>
          <t>TC-AUTH-03-08</t>
        </is>
      </c>
      <c r="D112" s="13" t="inlineStr">
        <is>
          <t>기능</t>
        </is>
      </c>
      <c r="E112" s="13" t="inlineStr">
        <is>
          <t>미실행</t>
        </is>
      </c>
    </row>
    <row r="113">
      <c r="A113" s="13" t="inlineStr">
        <is>
          <t>요건</t>
        </is>
      </c>
      <c r="B113" s="13" t="inlineStr">
        <is>
          <t>V-6</t>
        </is>
      </c>
      <c r="C113" s="13" t="inlineStr">
        <is>
          <t>TC-AUTH-03-08</t>
        </is>
      </c>
      <c r="D113" s="13" t="inlineStr">
        <is>
          <t>기능</t>
        </is>
      </c>
      <c r="E113" s="13" t="inlineStr">
        <is>
          <t>미실행</t>
        </is>
      </c>
    </row>
    <row r="114">
      <c r="A114" s="13" t="inlineStr">
        <is>
          <t>요건</t>
        </is>
      </c>
      <c r="B114" s="13" t="inlineStr">
        <is>
          <t>NFR-04</t>
        </is>
      </c>
      <c r="C114" s="13" t="inlineStr">
        <is>
          <t>TC-AUTH-03-08</t>
        </is>
      </c>
      <c r="D114" s="13" t="inlineStr">
        <is>
          <t>기능</t>
        </is>
      </c>
      <c r="E114" s="13" t="inlineStr">
        <is>
          <t>미실행</t>
        </is>
      </c>
    </row>
    <row r="115">
      <c r="A115" s="13" t="inlineStr">
        <is>
          <t>화면</t>
        </is>
      </c>
      <c r="B115" s="13" t="inlineStr">
        <is>
          <t>AUTH-03</t>
        </is>
      </c>
      <c r="C115" s="13" t="inlineStr">
        <is>
          <t>TC-AUTH-03-09</t>
        </is>
      </c>
      <c r="D115" s="13" t="inlineStr">
        <is>
          <t>기능</t>
        </is>
      </c>
      <c r="E115" s="13" t="inlineStr">
        <is>
          <t>보류</t>
        </is>
      </c>
    </row>
    <row r="116">
      <c r="A116" s="13" t="inlineStr">
        <is>
          <t>요건</t>
        </is>
      </c>
      <c r="B116" s="13" t="inlineStr">
        <is>
          <t>V-6</t>
        </is>
      </c>
      <c r="C116" s="13" t="inlineStr">
        <is>
          <t>TC-AUTH-03-09</t>
        </is>
      </c>
      <c r="D116" s="13" t="inlineStr">
        <is>
          <t>기능</t>
        </is>
      </c>
      <c r="E116" s="13" t="inlineStr">
        <is>
          <t>보류</t>
        </is>
      </c>
    </row>
    <row r="117">
      <c r="A117" s="13" t="inlineStr">
        <is>
          <t>화면</t>
        </is>
      </c>
      <c r="B117" s="13" t="inlineStr">
        <is>
          <t>AUTH-03</t>
        </is>
      </c>
      <c r="C117" s="13" t="inlineStr">
        <is>
          <t>TC-AUTH-03-10</t>
        </is>
      </c>
      <c r="D117" s="13" t="inlineStr">
        <is>
          <t>기능</t>
        </is>
      </c>
      <c r="E117" s="13" t="inlineStr">
        <is>
          <t>미실행</t>
        </is>
      </c>
    </row>
    <row r="118">
      <c r="A118" s="13" t="inlineStr">
        <is>
          <t>요건</t>
        </is>
      </c>
      <c r="B118" s="13" t="inlineStr">
        <is>
          <t>V-14</t>
        </is>
      </c>
      <c r="C118" s="13" t="inlineStr">
        <is>
          <t>TC-AUTH-03-10</t>
        </is>
      </c>
      <c r="D118" s="13" t="inlineStr">
        <is>
          <t>기능</t>
        </is>
      </c>
      <c r="E118" s="13" t="inlineStr">
        <is>
          <t>미실행</t>
        </is>
      </c>
    </row>
    <row r="119">
      <c r="A119" s="13" t="inlineStr">
        <is>
          <t>요건</t>
        </is>
      </c>
      <c r="B119" s="13" t="inlineStr">
        <is>
          <t>V-3</t>
        </is>
      </c>
      <c r="C119" s="13" t="inlineStr">
        <is>
          <t>TC-AUTH-03-10</t>
        </is>
      </c>
      <c r="D119" s="13" t="inlineStr">
        <is>
          <t>기능</t>
        </is>
      </c>
      <c r="E119" s="13" t="inlineStr">
        <is>
          <t>미실행</t>
        </is>
      </c>
    </row>
    <row r="120">
      <c r="A120" s="13" t="inlineStr">
        <is>
          <t>화면</t>
        </is>
      </c>
      <c r="B120" s="13" t="inlineStr">
        <is>
          <t>AUTH-03</t>
        </is>
      </c>
      <c r="C120" s="13" t="inlineStr">
        <is>
          <t>TC-AUTH-03-11</t>
        </is>
      </c>
      <c r="D120" s="13" t="inlineStr">
        <is>
          <t>기능</t>
        </is>
      </c>
      <c r="E120" s="13" t="inlineStr">
        <is>
          <t>미실행</t>
        </is>
      </c>
    </row>
    <row r="121">
      <c r="A121" s="13" t="inlineStr">
        <is>
          <t>요건</t>
        </is>
      </c>
      <c r="B121" s="13" t="inlineStr">
        <is>
          <t>V-14</t>
        </is>
      </c>
      <c r="C121" s="13" t="inlineStr">
        <is>
          <t>TC-AUTH-03-11</t>
        </is>
      </c>
      <c r="D121" s="13" t="inlineStr">
        <is>
          <t>기능</t>
        </is>
      </c>
      <c r="E121" s="13" t="inlineStr">
        <is>
          <t>미실행</t>
        </is>
      </c>
    </row>
    <row r="122">
      <c r="A122" s="13" t="inlineStr">
        <is>
          <t>화면</t>
        </is>
      </c>
      <c r="B122" s="13" t="inlineStr">
        <is>
          <t>AUTH-03</t>
        </is>
      </c>
      <c r="C122" s="13" t="inlineStr">
        <is>
          <t>TC-AUTH-03-12</t>
        </is>
      </c>
      <c r="D122" s="13" t="inlineStr">
        <is>
          <t>접근성</t>
        </is>
      </c>
      <c r="E122" s="13" t="inlineStr">
        <is>
          <t>미실행</t>
        </is>
      </c>
    </row>
    <row r="123">
      <c r="A123" s="13" t="inlineStr">
        <is>
          <t>요건</t>
        </is>
      </c>
      <c r="B123" s="13" t="inlineStr">
        <is>
          <t>V-14</t>
        </is>
      </c>
      <c r="C123" s="13" t="inlineStr">
        <is>
          <t>TC-AUTH-03-12</t>
        </is>
      </c>
      <c r="D123" s="13" t="inlineStr">
        <is>
          <t>접근성</t>
        </is>
      </c>
      <c r="E123" s="13" t="inlineStr">
        <is>
          <t>미실행</t>
        </is>
      </c>
    </row>
    <row r="124">
      <c r="A124" s="13" t="inlineStr">
        <is>
          <t>요건</t>
        </is>
      </c>
      <c r="B124" s="13" t="inlineStr">
        <is>
          <t>V-6</t>
        </is>
      </c>
      <c r="C124" s="13" t="inlineStr">
        <is>
          <t>TC-AUTH-03-12</t>
        </is>
      </c>
      <c r="D124" s="13" t="inlineStr">
        <is>
          <t>접근성</t>
        </is>
      </c>
      <c r="E124" s="13" t="inlineStr">
        <is>
          <t>미실행</t>
        </is>
      </c>
    </row>
    <row r="125">
      <c r="A125" s="13" t="inlineStr">
        <is>
          <t>화면</t>
        </is>
      </c>
      <c r="B125" s="13" t="inlineStr">
        <is>
          <t>AUTH-03</t>
        </is>
      </c>
      <c r="C125" s="13" t="inlineStr">
        <is>
          <t>TC-AUTH-03-13</t>
        </is>
      </c>
      <c r="D125" s="13" t="inlineStr">
        <is>
          <t>접근성</t>
        </is>
      </c>
      <c r="E125" s="13" t="inlineStr">
        <is>
          <t>미실행</t>
        </is>
      </c>
    </row>
    <row r="126">
      <c r="A126" s="13" t="inlineStr">
        <is>
          <t>요건</t>
        </is>
      </c>
      <c r="B126" s="13" t="inlineStr">
        <is>
          <t>V-14</t>
        </is>
      </c>
      <c r="C126" s="13" t="inlineStr">
        <is>
          <t>TC-AUTH-03-13</t>
        </is>
      </c>
      <c r="D126" s="13" t="inlineStr">
        <is>
          <t>접근성</t>
        </is>
      </c>
      <c r="E126" s="13" t="inlineStr">
        <is>
          <t>미실행</t>
        </is>
      </c>
    </row>
    <row r="127">
      <c r="A127" s="13" t="inlineStr">
        <is>
          <t>요건</t>
        </is>
      </c>
      <c r="B127" s="13" t="inlineStr">
        <is>
          <t>AC-05</t>
        </is>
      </c>
      <c r="C127" s="13" t="inlineStr">
        <is>
          <t>TC-AUTH-03-13</t>
        </is>
      </c>
      <c r="D127" s="13" t="inlineStr">
        <is>
          <t>접근성</t>
        </is>
      </c>
      <c r="E127" s="13" t="inlineStr">
        <is>
          <t>미실행</t>
        </is>
      </c>
    </row>
    <row r="128">
      <c r="A128" s="13" t="inlineStr">
        <is>
          <t>화면</t>
        </is>
      </c>
      <c r="B128" s="13" t="inlineStr">
        <is>
          <t>AUTH-03</t>
        </is>
      </c>
      <c r="C128" s="13" t="inlineStr">
        <is>
          <t>TC-AUTH-03-14</t>
        </is>
      </c>
      <c r="D128" s="13" t="inlineStr">
        <is>
          <t>기능</t>
        </is>
      </c>
      <c r="E128" s="13" t="inlineStr">
        <is>
          <t>보류</t>
        </is>
      </c>
    </row>
    <row r="129">
      <c r="A129" s="13" t="inlineStr">
        <is>
          <t>요건</t>
        </is>
      </c>
      <c r="B129" s="13" t="inlineStr">
        <is>
          <t>V-14</t>
        </is>
      </c>
      <c r="C129" s="13" t="inlineStr">
        <is>
          <t>TC-AUTH-03-14</t>
        </is>
      </c>
      <c r="D129" s="13" t="inlineStr">
        <is>
          <t>기능</t>
        </is>
      </c>
      <c r="E129" s="13" t="inlineStr">
        <is>
          <t>보류</t>
        </is>
      </c>
    </row>
    <row r="130">
      <c r="A130" s="13" t="inlineStr">
        <is>
          <t>화면</t>
        </is>
      </c>
      <c r="B130" s="13" t="inlineStr">
        <is>
          <t>AUTH-03</t>
        </is>
      </c>
      <c r="C130" s="13" t="inlineStr">
        <is>
          <t>TC-AUTH-03-15</t>
        </is>
      </c>
      <c r="D130" s="13" t="inlineStr">
        <is>
          <t>접근성</t>
        </is>
      </c>
      <c r="E130" s="13" t="inlineStr">
        <is>
          <t>미실행</t>
        </is>
      </c>
    </row>
    <row r="131">
      <c r="A131" s="13" t="inlineStr">
        <is>
          <t>요건</t>
        </is>
      </c>
      <c r="B131" s="13" t="inlineStr">
        <is>
          <t>NFR-04</t>
        </is>
      </c>
      <c r="C131" s="13" t="inlineStr">
        <is>
          <t>TC-AUTH-03-15</t>
        </is>
      </c>
      <c r="D131" s="13" t="inlineStr">
        <is>
          <t>접근성</t>
        </is>
      </c>
      <c r="E131" s="13" t="inlineStr">
        <is>
          <t>미실행</t>
        </is>
      </c>
    </row>
    <row r="132">
      <c r="A132" s="13" t="inlineStr">
        <is>
          <t>요건</t>
        </is>
      </c>
      <c r="B132" s="13" t="inlineStr">
        <is>
          <t>AC-05</t>
        </is>
      </c>
      <c r="C132" s="13" t="inlineStr">
        <is>
          <t>TC-AUTH-03-15</t>
        </is>
      </c>
      <c r="D132" s="13" t="inlineStr">
        <is>
          <t>접근성</t>
        </is>
      </c>
      <c r="E132" s="13" t="inlineStr">
        <is>
          <t>미실행</t>
        </is>
      </c>
    </row>
    <row r="133">
      <c r="A133" s="13" t="inlineStr">
        <is>
          <t>화면</t>
        </is>
      </c>
      <c r="B133" s="13" t="inlineStr">
        <is>
          <t>AUTH-03</t>
        </is>
      </c>
      <c r="C133" s="13" t="inlineStr">
        <is>
          <t>TC-AUTH-03-16</t>
        </is>
      </c>
      <c r="D133" s="13" t="inlineStr">
        <is>
          <t>접근성</t>
        </is>
      </c>
      <c r="E133" s="13" t="inlineStr">
        <is>
          <t>미실행</t>
        </is>
      </c>
    </row>
    <row r="134">
      <c r="A134" s="13" t="inlineStr">
        <is>
          <t>요건</t>
        </is>
      </c>
      <c r="B134" s="13" t="inlineStr">
        <is>
          <t>NFR-05</t>
        </is>
      </c>
      <c r="C134" s="13" t="inlineStr">
        <is>
          <t>TC-AUTH-03-16</t>
        </is>
      </c>
      <c r="D134" s="13" t="inlineStr">
        <is>
          <t>접근성</t>
        </is>
      </c>
      <c r="E134" s="13" t="inlineStr">
        <is>
          <t>미실행</t>
        </is>
      </c>
    </row>
    <row r="135">
      <c r="A135" s="13" t="inlineStr">
        <is>
          <t>화면</t>
        </is>
      </c>
      <c r="B135" s="13" t="inlineStr">
        <is>
          <t>AUTH-03</t>
        </is>
      </c>
      <c r="C135" s="13" t="inlineStr">
        <is>
          <t>TC-AUTH-03-17</t>
        </is>
      </c>
      <c r="D135" s="13" t="inlineStr">
        <is>
          <t>기능</t>
        </is>
      </c>
      <c r="E135" s="13" t="inlineStr">
        <is>
          <t>보류</t>
        </is>
      </c>
    </row>
    <row r="136">
      <c r="A136" s="13" t="inlineStr">
        <is>
          <t>요건</t>
        </is>
      </c>
      <c r="B136" s="13" t="inlineStr">
        <is>
          <t>V-1</t>
        </is>
      </c>
      <c r="C136" s="13" t="inlineStr">
        <is>
          <t>TC-AUTH-03-17</t>
        </is>
      </c>
      <c r="D136" s="13" t="inlineStr">
        <is>
          <t>기능</t>
        </is>
      </c>
      <c r="E136" s="13" t="inlineStr">
        <is>
          <t>보류</t>
        </is>
      </c>
    </row>
    <row r="137">
      <c r="A137" s="13" t="inlineStr">
        <is>
          <t>화면</t>
        </is>
      </c>
      <c r="B137" s="13" t="inlineStr">
        <is>
          <t>AUTH-03</t>
        </is>
      </c>
      <c r="C137" s="13" t="inlineStr">
        <is>
          <t>TC-AUTH-03-18</t>
        </is>
      </c>
      <c r="D137" s="13" t="inlineStr">
        <is>
          <t>비기능</t>
        </is>
      </c>
      <c r="E137" s="13" t="inlineStr">
        <is>
          <t>미실행</t>
        </is>
      </c>
    </row>
    <row r="138">
      <c r="A138" s="13" t="inlineStr">
        <is>
          <t>요건</t>
        </is>
      </c>
      <c r="B138" s="13" t="inlineStr">
        <is>
          <t>NFR-02</t>
        </is>
      </c>
      <c r="C138" s="13" t="inlineStr">
        <is>
          <t>TC-AUTH-03-18</t>
        </is>
      </c>
      <c r="D138" s="13" t="inlineStr">
        <is>
          <t>비기능</t>
        </is>
      </c>
      <c r="E138" s="13" t="inlineStr">
        <is>
          <t>미실행</t>
        </is>
      </c>
    </row>
    <row r="139">
      <c r="A139" s="13" t="inlineStr">
        <is>
          <t>요건</t>
        </is>
      </c>
      <c r="B139" s="13" t="inlineStr">
        <is>
          <t>S-1</t>
        </is>
      </c>
      <c r="C139" s="13" t="inlineStr">
        <is>
          <t>TC-AUTH-03-18</t>
        </is>
      </c>
      <c r="D139" s="13" t="inlineStr">
        <is>
          <t>비기능</t>
        </is>
      </c>
      <c r="E139" s="13" t="inlineStr">
        <is>
          <t>미실행</t>
        </is>
      </c>
    </row>
    <row r="140">
      <c r="A140" s="13" t="inlineStr">
        <is>
          <t>요건</t>
        </is>
      </c>
      <c r="B140" s="13" t="inlineStr">
        <is>
          <t>S-2</t>
        </is>
      </c>
      <c r="C140" s="13" t="inlineStr">
        <is>
          <t>TC-AUTH-03-18</t>
        </is>
      </c>
      <c r="D140" s="13" t="inlineStr">
        <is>
          <t>비기능</t>
        </is>
      </c>
      <c r="E140" s="13" t="inlineStr">
        <is>
          <t>미실행</t>
        </is>
      </c>
    </row>
    <row r="141">
      <c r="A141" s="13" t="inlineStr">
        <is>
          <t>화면</t>
        </is>
      </c>
      <c r="B141" s="13" t="inlineStr">
        <is>
          <t>AUTH-03</t>
        </is>
      </c>
      <c r="C141" s="13" t="inlineStr">
        <is>
          <t>TC-AUTH-03-19</t>
        </is>
      </c>
      <c r="D141" s="13" t="inlineStr">
        <is>
          <t>비기능</t>
        </is>
      </c>
      <c r="E141" s="13" t="inlineStr">
        <is>
          <t>미실행</t>
        </is>
      </c>
    </row>
    <row r="142">
      <c r="A142" s="13" t="inlineStr">
        <is>
          <t>요건</t>
        </is>
      </c>
      <c r="B142" s="13" t="inlineStr">
        <is>
          <t>AC-06</t>
        </is>
      </c>
      <c r="C142" s="13" t="inlineStr">
        <is>
          <t>TC-AUTH-03-19</t>
        </is>
      </c>
      <c r="D142" s="13" t="inlineStr">
        <is>
          <t>비기능</t>
        </is>
      </c>
      <c r="E142" s="13" t="inlineStr">
        <is>
          <t>미실행</t>
        </is>
      </c>
    </row>
    <row r="143">
      <c r="A143" s="13" t="inlineStr">
        <is>
          <t>요건</t>
        </is>
      </c>
      <c r="B143" s="13" t="inlineStr">
        <is>
          <t>T-4</t>
        </is>
      </c>
      <c r="C143" s="13" t="inlineStr">
        <is>
          <t>TC-AUTH-03-19</t>
        </is>
      </c>
      <c r="D143" s="13" t="inlineStr">
        <is>
          <t>비기능</t>
        </is>
      </c>
      <c r="E143" s="13" t="inlineStr">
        <is>
          <t>미실행</t>
        </is>
      </c>
    </row>
    <row r="144">
      <c r="A144" s="13" t="inlineStr">
        <is>
          <t>화면</t>
        </is>
      </c>
      <c r="B144" s="13" t="inlineStr">
        <is>
          <t>AUTH-03</t>
        </is>
      </c>
      <c r="C144" s="13" t="inlineStr">
        <is>
          <t>TC-AUTH-03-20</t>
        </is>
      </c>
      <c r="D144" s="13" t="inlineStr">
        <is>
          <t>접근성</t>
        </is>
      </c>
      <c r="E144" s="13" t="inlineStr">
        <is>
          <t>보류</t>
        </is>
      </c>
    </row>
    <row r="145">
      <c r="A145" s="13" t="inlineStr">
        <is>
          <t>요건</t>
        </is>
      </c>
      <c r="B145" s="13" t="inlineStr">
        <is>
          <t>V-1</t>
        </is>
      </c>
      <c r="C145" s="13" t="inlineStr">
        <is>
          <t>TC-AUTH-03-20</t>
        </is>
      </c>
      <c r="D145" s="13" t="inlineStr">
        <is>
          <t>접근성</t>
        </is>
      </c>
      <c r="E145" s="13" t="inlineStr">
        <is>
          <t>보류</t>
        </is>
      </c>
    </row>
    <row r="146">
      <c r="A146" s="13" t="inlineStr">
        <is>
          <t>요건</t>
        </is>
      </c>
      <c r="B146" s="13" t="inlineStr">
        <is>
          <t>AC-05</t>
        </is>
      </c>
      <c r="C146" s="13" t="inlineStr">
        <is>
          <t>TC-AUTH-03-20</t>
        </is>
      </c>
      <c r="D146" s="13" t="inlineStr">
        <is>
          <t>접근성</t>
        </is>
      </c>
      <c r="E146" s="13" t="inlineStr">
        <is>
          <t>보류</t>
        </is>
      </c>
    </row>
    <row r="147">
      <c r="A147" s="13" t="inlineStr">
        <is>
          <t>화면</t>
        </is>
      </c>
      <c r="B147" s="13" t="inlineStr">
        <is>
          <t>HOME-01</t>
        </is>
      </c>
      <c r="C147" s="13" t="inlineStr">
        <is>
          <t>TC-HOME-01-01</t>
        </is>
      </c>
      <c r="D147" s="13" t="inlineStr">
        <is>
          <t>기능</t>
        </is>
      </c>
      <c r="E147" s="13" t="inlineStr">
        <is>
          <t>미실행</t>
        </is>
      </c>
    </row>
    <row r="148">
      <c r="A148" s="13" t="inlineStr">
        <is>
          <t>요건</t>
        </is>
      </c>
      <c r="B148" s="13" t="inlineStr">
        <is>
          <t>SC-01</t>
        </is>
      </c>
      <c r="C148" s="13" t="inlineStr">
        <is>
          <t>TC-HOME-01-01</t>
        </is>
      </c>
      <c r="D148" s="13" t="inlineStr">
        <is>
          <t>기능</t>
        </is>
      </c>
      <c r="E148" s="13" t="inlineStr">
        <is>
          <t>미실행</t>
        </is>
      </c>
    </row>
    <row r="149">
      <c r="A149" s="13" t="inlineStr">
        <is>
          <t>화면</t>
        </is>
      </c>
      <c r="B149" s="13" t="inlineStr">
        <is>
          <t>HOME-01</t>
        </is>
      </c>
      <c r="C149" s="13" t="inlineStr">
        <is>
          <t>TC-HOME-01-02</t>
        </is>
      </c>
      <c r="D149" s="13" t="inlineStr">
        <is>
          <t>기능</t>
        </is>
      </c>
      <c r="E149" s="13" t="inlineStr">
        <is>
          <t>미실행</t>
        </is>
      </c>
    </row>
    <row r="150">
      <c r="A150" s="13" t="inlineStr">
        <is>
          <t>요건</t>
        </is>
      </c>
      <c r="B150" s="13" t="inlineStr">
        <is>
          <t>SC-01</t>
        </is>
      </c>
      <c r="C150" s="13" t="inlineStr">
        <is>
          <t>TC-HOME-01-02</t>
        </is>
      </c>
      <c r="D150" s="13" t="inlineStr">
        <is>
          <t>기능</t>
        </is>
      </c>
      <c r="E150" s="13" t="inlineStr">
        <is>
          <t>미실행</t>
        </is>
      </c>
    </row>
    <row r="151">
      <c r="A151" s="13" t="inlineStr">
        <is>
          <t>화면</t>
        </is>
      </c>
      <c r="B151" s="13" t="inlineStr">
        <is>
          <t>HOME-01</t>
        </is>
      </c>
      <c r="C151" s="13" t="inlineStr">
        <is>
          <t>TC-HOME-01-03</t>
        </is>
      </c>
      <c r="D151" s="13" t="inlineStr">
        <is>
          <t>기능</t>
        </is>
      </c>
      <c r="E151" s="13" t="inlineStr">
        <is>
          <t>미실행</t>
        </is>
      </c>
    </row>
    <row r="152">
      <c r="A152" s="13" t="inlineStr">
        <is>
          <t>요건</t>
        </is>
      </c>
      <c r="B152" s="13" t="inlineStr">
        <is>
          <t>SC-01</t>
        </is>
      </c>
      <c r="C152" s="13" t="inlineStr">
        <is>
          <t>TC-HOME-01-03</t>
        </is>
      </c>
      <c r="D152" s="13" t="inlineStr">
        <is>
          <t>기능</t>
        </is>
      </c>
      <c r="E152" s="13" t="inlineStr">
        <is>
          <t>미실행</t>
        </is>
      </c>
    </row>
    <row r="153">
      <c r="A153" s="13" t="inlineStr">
        <is>
          <t>화면</t>
        </is>
      </c>
      <c r="B153" s="13" t="inlineStr">
        <is>
          <t>HOME-01</t>
        </is>
      </c>
      <c r="C153" s="13" t="inlineStr">
        <is>
          <t>TC-HOME-01-04</t>
        </is>
      </c>
      <c r="D153" s="13" t="inlineStr">
        <is>
          <t>기능</t>
        </is>
      </c>
      <c r="E153" s="13" t="inlineStr">
        <is>
          <t>미실행</t>
        </is>
      </c>
    </row>
    <row r="154">
      <c r="A154" s="13" t="inlineStr">
        <is>
          <t>요건</t>
        </is>
      </c>
      <c r="B154" s="13" t="inlineStr">
        <is>
          <t>SC-01</t>
        </is>
      </c>
      <c r="C154" s="13" t="inlineStr">
        <is>
          <t>TC-HOME-01-04</t>
        </is>
      </c>
      <c r="D154" s="13" t="inlineStr">
        <is>
          <t>기능</t>
        </is>
      </c>
      <c r="E154" s="13" t="inlineStr">
        <is>
          <t>미실행</t>
        </is>
      </c>
    </row>
    <row r="155">
      <c r="A155" s="13" t="inlineStr">
        <is>
          <t>화면</t>
        </is>
      </c>
      <c r="B155" s="13" t="inlineStr">
        <is>
          <t>HOME-01</t>
        </is>
      </c>
      <c r="C155" s="13" t="inlineStr">
        <is>
          <t>TC-HOME-01-05</t>
        </is>
      </c>
      <c r="D155" s="13" t="inlineStr">
        <is>
          <t>기능</t>
        </is>
      </c>
      <c r="E155" s="13" t="inlineStr">
        <is>
          <t>미실행</t>
        </is>
      </c>
    </row>
    <row r="156">
      <c r="A156" s="13" t="inlineStr">
        <is>
          <t>요건</t>
        </is>
      </c>
      <c r="B156" s="13" t="inlineStr">
        <is>
          <t>SC-01</t>
        </is>
      </c>
      <c r="C156" s="13" t="inlineStr">
        <is>
          <t>TC-HOME-01-05</t>
        </is>
      </c>
      <c r="D156" s="13" t="inlineStr">
        <is>
          <t>기능</t>
        </is>
      </c>
      <c r="E156" s="13" t="inlineStr">
        <is>
          <t>미실행</t>
        </is>
      </c>
    </row>
    <row r="157">
      <c r="A157" s="13" t="inlineStr">
        <is>
          <t>화면</t>
        </is>
      </c>
      <c r="B157" s="13" t="inlineStr">
        <is>
          <t>HOME-01</t>
        </is>
      </c>
      <c r="C157" s="13" t="inlineStr">
        <is>
          <t>TC-HOME-01-06</t>
        </is>
      </c>
      <c r="D157" s="13" t="inlineStr">
        <is>
          <t>기능</t>
        </is>
      </c>
      <c r="E157" s="13" t="inlineStr">
        <is>
          <t>미실행</t>
        </is>
      </c>
    </row>
    <row r="158">
      <c r="A158" s="13" t="inlineStr">
        <is>
          <t>요건</t>
        </is>
      </c>
      <c r="B158" s="13" t="inlineStr">
        <is>
          <t>SC-01</t>
        </is>
      </c>
      <c r="C158" s="13" t="inlineStr">
        <is>
          <t>TC-HOME-01-06</t>
        </is>
      </c>
      <c r="D158" s="13" t="inlineStr">
        <is>
          <t>기능</t>
        </is>
      </c>
      <c r="E158" s="13" t="inlineStr">
        <is>
          <t>미실행</t>
        </is>
      </c>
    </row>
    <row r="159">
      <c r="A159" s="13" t="inlineStr">
        <is>
          <t>요건</t>
        </is>
      </c>
      <c r="B159" s="13" t="inlineStr">
        <is>
          <t>V-3</t>
        </is>
      </c>
      <c r="C159" s="13" t="inlineStr">
        <is>
          <t>TC-HOME-01-06</t>
        </is>
      </c>
      <c r="D159" s="13" t="inlineStr">
        <is>
          <t>기능</t>
        </is>
      </c>
      <c r="E159" s="13" t="inlineStr">
        <is>
          <t>미실행</t>
        </is>
      </c>
    </row>
    <row r="160">
      <c r="A160" s="13" t="inlineStr">
        <is>
          <t>화면</t>
        </is>
      </c>
      <c r="B160" s="13" t="inlineStr">
        <is>
          <t>HOME-01</t>
        </is>
      </c>
      <c r="C160" s="13" t="inlineStr">
        <is>
          <t>TC-HOME-01-07</t>
        </is>
      </c>
      <c r="D160" s="13" t="inlineStr">
        <is>
          <t>접근성</t>
        </is>
      </c>
      <c r="E160" s="13" t="inlineStr">
        <is>
          <t>미실행</t>
        </is>
      </c>
    </row>
    <row r="161">
      <c r="A161" s="13" t="inlineStr">
        <is>
          <t>요건</t>
        </is>
      </c>
      <c r="B161" s="13" t="inlineStr">
        <is>
          <t>SC-01</t>
        </is>
      </c>
      <c r="C161" s="13" t="inlineStr">
        <is>
          <t>TC-HOME-01-07</t>
        </is>
      </c>
      <c r="D161" s="13" t="inlineStr">
        <is>
          <t>접근성</t>
        </is>
      </c>
      <c r="E161" s="13" t="inlineStr">
        <is>
          <t>미실행</t>
        </is>
      </c>
    </row>
    <row r="162">
      <c r="A162" s="13" t="inlineStr">
        <is>
          <t>요건</t>
        </is>
      </c>
      <c r="B162" s="13" t="inlineStr">
        <is>
          <t>V-3</t>
        </is>
      </c>
      <c r="C162" s="13" t="inlineStr">
        <is>
          <t>TC-HOME-01-07</t>
        </is>
      </c>
      <c r="D162" s="13" t="inlineStr">
        <is>
          <t>접근성</t>
        </is>
      </c>
      <c r="E162" s="13" t="inlineStr">
        <is>
          <t>미실행</t>
        </is>
      </c>
    </row>
    <row r="163">
      <c r="A163" s="13" t="inlineStr">
        <is>
          <t>요건</t>
        </is>
      </c>
      <c r="B163" s="13" t="inlineStr">
        <is>
          <t>NFR-05</t>
        </is>
      </c>
      <c r="C163" s="13" t="inlineStr">
        <is>
          <t>TC-HOME-01-07</t>
        </is>
      </c>
      <c r="D163" s="13" t="inlineStr">
        <is>
          <t>접근성</t>
        </is>
      </c>
      <c r="E163" s="13" t="inlineStr">
        <is>
          <t>미실행</t>
        </is>
      </c>
    </row>
    <row r="164">
      <c r="A164" s="13" t="inlineStr">
        <is>
          <t>화면</t>
        </is>
      </c>
      <c r="B164" s="13" t="inlineStr">
        <is>
          <t>HOME-01</t>
        </is>
      </c>
      <c r="C164" s="13" t="inlineStr">
        <is>
          <t>TC-HOME-01-08</t>
        </is>
      </c>
      <c r="D164" s="13" t="inlineStr">
        <is>
          <t>접근성</t>
        </is>
      </c>
      <c r="E164" s="13" t="inlineStr">
        <is>
          <t>미실행</t>
        </is>
      </c>
    </row>
    <row r="165">
      <c r="A165" s="13" t="inlineStr">
        <is>
          <t>요건</t>
        </is>
      </c>
      <c r="B165" s="13" t="inlineStr">
        <is>
          <t>V-6</t>
        </is>
      </c>
      <c r="C165" s="13" t="inlineStr">
        <is>
          <t>TC-HOME-01-08</t>
        </is>
      </c>
      <c r="D165" s="13" t="inlineStr">
        <is>
          <t>접근성</t>
        </is>
      </c>
      <c r="E165" s="13" t="inlineStr">
        <is>
          <t>미실행</t>
        </is>
      </c>
    </row>
    <row r="166">
      <c r="A166" s="13" t="inlineStr">
        <is>
          <t>요건</t>
        </is>
      </c>
      <c r="B166" s="13" t="inlineStr">
        <is>
          <t>AC-05</t>
        </is>
      </c>
      <c r="C166" s="13" t="inlineStr">
        <is>
          <t>TC-HOME-01-08</t>
        </is>
      </c>
      <c r="D166" s="13" t="inlineStr">
        <is>
          <t>접근성</t>
        </is>
      </c>
      <c r="E166" s="13" t="inlineStr">
        <is>
          <t>미실행</t>
        </is>
      </c>
    </row>
    <row r="167">
      <c r="A167" s="13" t="inlineStr">
        <is>
          <t>화면</t>
        </is>
      </c>
      <c r="B167" s="13" t="inlineStr">
        <is>
          <t>HOME-01</t>
        </is>
      </c>
      <c r="C167" s="13" t="inlineStr">
        <is>
          <t>TC-HOME-01-09</t>
        </is>
      </c>
      <c r="D167" s="13" t="inlineStr">
        <is>
          <t>기능</t>
        </is>
      </c>
      <c r="E167" s="13" t="inlineStr">
        <is>
          <t>미실행</t>
        </is>
      </c>
    </row>
    <row r="168">
      <c r="A168" s="13" t="inlineStr">
        <is>
          <t>요건</t>
        </is>
      </c>
      <c r="B168" s="13" t="inlineStr">
        <is>
          <t>SC-01</t>
        </is>
      </c>
      <c r="C168" s="13" t="inlineStr">
        <is>
          <t>TC-HOME-01-09</t>
        </is>
      </c>
      <c r="D168" s="13" t="inlineStr">
        <is>
          <t>기능</t>
        </is>
      </c>
      <c r="E168" s="13" t="inlineStr">
        <is>
          <t>미실행</t>
        </is>
      </c>
    </row>
    <row r="169">
      <c r="A169" s="13" t="inlineStr">
        <is>
          <t>화면</t>
        </is>
      </c>
      <c r="B169" s="13" t="inlineStr">
        <is>
          <t>HOME-01</t>
        </is>
      </c>
      <c r="C169" s="13" t="inlineStr">
        <is>
          <t>TC-HOME-01-10</t>
        </is>
      </c>
      <c r="D169" s="13" t="inlineStr">
        <is>
          <t>접근성</t>
        </is>
      </c>
      <c r="E169" s="13" t="inlineStr">
        <is>
          <t>미실행</t>
        </is>
      </c>
    </row>
    <row r="170">
      <c r="A170" s="13" t="inlineStr">
        <is>
          <t>요건</t>
        </is>
      </c>
      <c r="B170" s="13" t="inlineStr">
        <is>
          <t>V-1</t>
        </is>
      </c>
      <c r="C170" s="13" t="inlineStr">
        <is>
          <t>TC-HOME-01-10</t>
        </is>
      </c>
      <c r="D170" s="13" t="inlineStr">
        <is>
          <t>접근성</t>
        </is>
      </c>
      <c r="E170" s="13" t="inlineStr">
        <is>
          <t>미실행</t>
        </is>
      </c>
    </row>
    <row r="171">
      <c r="A171" s="13" t="inlineStr">
        <is>
          <t>요건</t>
        </is>
      </c>
      <c r="B171" s="13" t="inlineStr">
        <is>
          <t>AC-05</t>
        </is>
      </c>
      <c r="C171" s="13" t="inlineStr">
        <is>
          <t>TC-HOME-01-10</t>
        </is>
      </c>
      <c r="D171" s="13" t="inlineStr">
        <is>
          <t>접근성</t>
        </is>
      </c>
      <c r="E171" s="13" t="inlineStr">
        <is>
          <t>미실행</t>
        </is>
      </c>
    </row>
    <row r="172">
      <c r="A172" s="13" t="inlineStr">
        <is>
          <t>요건</t>
        </is>
      </c>
      <c r="B172" s="13" t="inlineStr">
        <is>
          <t>NFR-04</t>
        </is>
      </c>
      <c r="C172" s="13" t="inlineStr">
        <is>
          <t>TC-HOME-01-10</t>
        </is>
      </c>
      <c r="D172" s="13" t="inlineStr">
        <is>
          <t>접근성</t>
        </is>
      </c>
      <c r="E172" s="13" t="inlineStr">
        <is>
          <t>미실행</t>
        </is>
      </c>
    </row>
    <row r="173">
      <c r="A173" s="13" t="inlineStr">
        <is>
          <t>화면</t>
        </is>
      </c>
      <c r="B173" s="13" t="inlineStr">
        <is>
          <t>HOME-01</t>
        </is>
      </c>
      <c r="C173" s="13" t="inlineStr">
        <is>
          <t>TC-HOME-01-11</t>
        </is>
      </c>
      <c r="D173" s="13" t="inlineStr">
        <is>
          <t>접근성</t>
        </is>
      </c>
      <c r="E173" s="13" t="inlineStr">
        <is>
          <t>미실행</t>
        </is>
      </c>
    </row>
    <row r="174">
      <c r="A174" s="13" t="inlineStr">
        <is>
          <t>요건</t>
        </is>
      </c>
      <c r="B174" s="13" t="inlineStr">
        <is>
          <t>NFR-02</t>
        </is>
      </c>
      <c r="C174" s="13" t="inlineStr">
        <is>
          <t>TC-HOME-01-11</t>
        </is>
      </c>
      <c r="D174" s="13" t="inlineStr">
        <is>
          <t>접근성</t>
        </is>
      </c>
      <c r="E174" s="13" t="inlineStr">
        <is>
          <t>미실행</t>
        </is>
      </c>
    </row>
    <row r="175">
      <c r="A175" s="13" t="inlineStr">
        <is>
          <t>요건</t>
        </is>
      </c>
      <c r="B175" s="13" t="inlineStr">
        <is>
          <t>S-1</t>
        </is>
      </c>
      <c r="C175" s="13" t="inlineStr">
        <is>
          <t>TC-HOME-01-11</t>
        </is>
      </c>
      <c r="D175" s="13" t="inlineStr">
        <is>
          <t>접근성</t>
        </is>
      </c>
      <c r="E175" s="13" t="inlineStr">
        <is>
          <t>미실행</t>
        </is>
      </c>
    </row>
    <row r="176">
      <c r="A176" s="13" t="inlineStr">
        <is>
          <t>요건</t>
        </is>
      </c>
      <c r="B176" s="13" t="inlineStr">
        <is>
          <t>S-2</t>
        </is>
      </c>
      <c r="C176" s="13" t="inlineStr">
        <is>
          <t>TC-HOME-01-11</t>
        </is>
      </c>
      <c r="D176" s="13" t="inlineStr">
        <is>
          <t>접근성</t>
        </is>
      </c>
      <c r="E176" s="13" t="inlineStr">
        <is>
          <t>미실행</t>
        </is>
      </c>
    </row>
    <row r="177">
      <c r="A177" s="13" t="inlineStr">
        <is>
          <t>화면</t>
        </is>
      </c>
      <c r="B177" s="13" t="inlineStr">
        <is>
          <t>HOME-01</t>
        </is>
      </c>
      <c r="C177" s="13" t="inlineStr">
        <is>
          <t>TC-HOME-01-12</t>
        </is>
      </c>
      <c r="D177" s="13" t="inlineStr">
        <is>
          <t>접근성</t>
        </is>
      </c>
      <c r="E177" s="13" t="inlineStr">
        <is>
          <t>미실행</t>
        </is>
      </c>
    </row>
    <row r="178">
      <c r="A178" s="13" t="inlineStr">
        <is>
          <t>요건</t>
        </is>
      </c>
      <c r="B178" s="13" t="inlineStr">
        <is>
          <t>AC-06</t>
        </is>
      </c>
      <c r="C178" s="13" t="inlineStr">
        <is>
          <t>TC-HOME-01-12</t>
        </is>
      </c>
      <c r="D178" s="13" t="inlineStr">
        <is>
          <t>접근성</t>
        </is>
      </c>
      <c r="E178" s="13" t="inlineStr">
        <is>
          <t>미실행</t>
        </is>
      </c>
    </row>
    <row r="179">
      <c r="A179" s="13" t="inlineStr">
        <is>
          <t>요건</t>
        </is>
      </c>
      <c r="B179" s="13" t="inlineStr">
        <is>
          <t>T-4</t>
        </is>
      </c>
      <c r="C179" s="13" t="inlineStr">
        <is>
          <t>TC-HOME-01-12</t>
        </is>
      </c>
      <c r="D179" s="13" t="inlineStr">
        <is>
          <t>접근성</t>
        </is>
      </c>
      <c r="E179" s="13" t="inlineStr">
        <is>
          <t>미실행</t>
        </is>
      </c>
    </row>
    <row r="180">
      <c r="A180" s="13" t="inlineStr">
        <is>
          <t>화면</t>
        </is>
      </c>
      <c r="B180" s="13" t="inlineStr">
        <is>
          <t>HOME-01</t>
        </is>
      </c>
      <c r="C180" s="13" t="inlineStr">
        <is>
          <t>TC-HOME-01-13</t>
        </is>
      </c>
      <c r="D180" s="13" t="inlineStr">
        <is>
          <t>접근성</t>
        </is>
      </c>
      <c r="E180" s="13" t="inlineStr">
        <is>
          <t>미실행</t>
        </is>
      </c>
    </row>
    <row r="181">
      <c r="A181" s="13" t="inlineStr">
        <is>
          <t>요건</t>
        </is>
      </c>
      <c r="B181" s="13" t="inlineStr">
        <is>
          <t>NFR-05</t>
        </is>
      </c>
      <c r="C181" s="13" t="inlineStr">
        <is>
          <t>TC-HOME-01-13</t>
        </is>
      </c>
      <c r="D181" s="13" t="inlineStr">
        <is>
          <t>접근성</t>
        </is>
      </c>
      <c r="E181" s="13" t="inlineStr">
        <is>
          <t>미실행</t>
        </is>
      </c>
    </row>
    <row r="182">
      <c r="A182" s="13" t="inlineStr">
        <is>
          <t>요건</t>
        </is>
      </c>
      <c r="B182" s="13" t="inlineStr">
        <is>
          <t>AC-05</t>
        </is>
      </c>
      <c r="C182" s="13" t="inlineStr">
        <is>
          <t>TC-HOME-01-13</t>
        </is>
      </c>
      <c r="D182" s="13" t="inlineStr">
        <is>
          <t>접근성</t>
        </is>
      </c>
      <c r="E182" s="13" t="inlineStr">
        <is>
          <t>미실행</t>
        </is>
      </c>
    </row>
    <row r="183">
      <c r="A183" s="13" t="inlineStr">
        <is>
          <t>화면</t>
        </is>
      </c>
      <c r="B183" s="13" t="inlineStr">
        <is>
          <t>HOME-01</t>
        </is>
      </c>
      <c r="C183" s="13" t="inlineStr">
        <is>
          <t>TC-HOME-01-14</t>
        </is>
      </c>
      <c r="D183" s="13" t="inlineStr">
        <is>
          <t>접근성</t>
        </is>
      </c>
      <c r="E183" s="13" t="inlineStr">
        <is>
          <t>미실행</t>
        </is>
      </c>
    </row>
    <row r="184">
      <c r="A184" s="13" t="inlineStr">
        <is>
          <t>요건</t>
        </is>
      </c>
      <c r="B184" s="13" t="inlineStr">
        <is>
          <t>NFR-04</t>
        </is>
      </c>
      <c r="C184" s="13" t="inlineStr">
        <is>
          <t>TC-HOME-01-14</t>
        </is>
      </c>
      <c r="D184" s="13" t="inlineStr">
        <is>
          <t>접근성</t>
        </is>
      </c>
      <c r="E184" s="13" t="inlineStr">
        <is>
          <t>미실행</t>
        </is>
      </c>
    </row>
    <row r="185">
      <c r="A185" s="13" t="inlineStr">
        <is>
          <t>화면</t>
        </is>
      </c>
      <c r="B185" s="13" t="inlineStr">
        <is>
          <t>HOME-01</t>
        </is>
      </c>
      <c r="C185" s="13" t="inlineStr">
        <is>
          <t>TC-HOME-01-15</t>
        </is>
      </c>
      <c r="D185" s="13" t="inlineStr">
        <is>
          <t>기능</t>
        </is>
      </c>
      <c r="E185" s="13" t="inlineStr">
        <is>
          <t>미실행</t>
        </is>
      </c>
    </row>
    <row r="186">
      <c r="A186" s="13" t="inlineStr">
        <is>
          <t>요건</t>
        </is>
      </c>
      <c r="B186" s="13" t="inlineStr">
        <is>
          <t>SC-01</t>
        </is>
      </c>
      <c r="C186" s="13" t="inlineStr">
        <is>
          <t>TC-HOME-01-15</t>
        </is>
      </c>
      <c r="D186" s="13" t="inlineStr">
        <is>
          <t>기능</t>
        </is>
      </c>
      <c r="E186" s="13" t="inlineStr">
        <is>
          <t>미실행</t>
        </is>
      </c>
    </row>
    <row r="187">
      <c r="A187" s="13" t="inlineStr">
        <is>
          <t>요건</t>
        </is>
      </c>
      <c r="B187" s="13" t="inlineStr">
        <is>
          <t>V-6</t>
        </is>
      </c>
      <c r="C187" s="13" t="inlineStr">
        <is>
          <t>TC-HOME-01-15</t>
        </is>
      </c>
      <c r="D187" s="13" t="inlineStr">
        <is>
          <t>기능</t>
        </is>
      </c>
      <c r="E187" s="13" t="inlineStr">
        <is>
          <t>미실행</t>
        </is>
      </c>
    </row>
    <row r="188">
      <c r="A188" s="13" t="inlineStr">
        <is>
          <t>화면</t>
        </is>
      </c>
      <c r="B188" s="13" t="inlineStr">
        <is>
          <t>HOME-01</t>
        </is>
      </c>
      <c r="C188" s="13" t="inlineStr">
        <is>
          <t>TC-HOME-01-16</t>
        </is>
      </c>
      <c r="D188" s="13" t="inlineStr">
        <is>
          <t>기능</t>
        </is>
      </c>
      <c r="E188" s="13" t="inlineStr">
        <is>
          <t>보류</t>
        </is>
      </c>
    </row>
    <row r="189">
      <c r="A189" s="13" t="inlineStr">
        <is>
          <t>요건</t>
        </is>
      </c>
      <c r="B189" s="13" t="inlineStr">
        <is>
          <t>SC-01</t>
        </is>
      </c>
      <c r="C189" s="13" t="inlineStr">
        <is>
          <t>TC-HOME-01-16</t>
        </is>
      </c>
      <c r="D189" s="13" t="inlineStr">
        <is>
          <t>기능</t>
        </is>
      </c>
      <c r="E189" s="13" t="inlineStr">
        <is>
          <t>보류</t>
        </is>
      </c>
    </row>
    <row r="190">
      <c r="A190" s="13" t="inlineStr">
        <is>
          <t>화면</t>
        </is>
      </c>
      <c r="B190" s="13" t="inlineStr">
        <is>
          <t>HOME-01</t>
        </is>
      </c>
      <c r="C190" s="13" t="inlineStr">
        <is>
          <t>TC-HOME-01-17</t>
        </is>
      </c>
      <c r="D190" s="13" t="inlineStr">
        <is>
          <t>기능</t>
        </is>
      </c>
      <c r="E190" s="13" t="inlineStr">
        <is>
          <t>보류</t>
        </is>
      </c>
    </row>
    <row r="191">
      <c r="A191" s="13" t="inlineStr">
        <is>
          <t>요건</t>
        </is>
      </c>
      <c r="B191" s="13" t="inlineStr">
        <is>
          <t>SC-01</t>
        </is>
      </c>
      <c r="C191" s="13" t="inlineStr">
        <is>
          <t>TC-HOME-01-17</t>
        </is>
      </c>
      <c r="D191" s="13" t="inlineStr">
        <is>
          <t>기능</t>
        </is>
      </c>
      <c r="E191" s="13" t="inlineStr">
        <is>
          <t>보류</t>
        </is>
      </c>
    </row>
    <row r="192">
      <c r="A192" s="13" t="inlineStr">
        <is>
          <t>요건</t>
        </is>
      </c>
      <c r="B192" s="13" t="inlineStr">
        <is>
          <t>US-01</t>
        </is>
      </c>
      <c r="C192" s="13" t="inlineStr">
        <is>
          <t>TC-HOME-01-17</t>
        </is>
      </c>
      <c r="D192" s="13" t="inlineStr">
        <is>
          <t>기능</t>
        </is>
      </c>
      <c r="E192" s="13" t="inlineStr">
        <is>
          <t>보류</t>
        </is>
      </c>
    </row>
    <row r="193">
      <c r="A193" s="13" t="inlineStr">
        <is>
          <t>화면</t>
        </is>
      </c>
      <c r="B193" s="13" t="inlineStr">
        <is>
          <t>HOME-01</t>
        </is>
      </c>
      <c r="C193" s="13" t="inlineStr">
        <is>
          <t>TC-HOME-01-18</t>
        </is>
      </c>
      <c r="D193" s="13" t="inlineStr">
        <is>
          <t>기능</t>
        </is>
      </c>
      <c r="E193" s="13" t="inlineStr">
        <is>
          <t>보류</t>
        </is>
      </c>
    </row>
    <row r="194">
      <c r="A194" s="13" t="inlineStr">
        <is>
          <t>요건</t>
        </is>
      </c>
      <c r="B194" s="13" t="inlineStr">
        <is>
          <t>V-10</t>
        </is>
      </c>
      <c r="C194" s="13" t="inlineStr">
        <is>
          <t>TC-HOME-01-18</t>
        </is>
      </c>
      <c r="D194" s="13" t="inlineStr">
        <is>
          <t>기능</t>
        </is>
      </c>
      <c r="E194" s="13" t="inlineStr">
        <is>
          <t>보류</t>
        </is>
      </c>
    </row>
    <row r="195">
      <c r="A195" s="13" t="inlineStr">
        <is>
          <t>화면</t>
        </is>
      </c>
      <c r="B195" s="13" t="inlineStr">
        <is>
          <t>ROUTE-01</t>
        </is>
      </c>
      <c r="C195" s="13" t="inlineStr">
        <is>
          <t>TC-ROUTE-01-01</t>
        </is>
      </c>
      <c r="D195" s="13" t="inlineStr">
        <is>
          <t>기능</t>
        </is>
      </c>
      <c r="E195" s="13" t="inlineStr">
        <is>
          <t>미실행</t>
        </is>
      </c>
    </row>
    <row r="196">
      <c r="A196" s="13" t="inlineStr">
        <is>
          <t>요건</t>
        </is>
      </c>
      <c r="B196" s="13" t="inlineStr">
        <is>
          <t>SC-02</t>
        </is>
      </c>
      <c r="C196" s="13" t="inlineStr">
        <is>
          <t>TC-ROUTE-01-01</t>
        </is>
      </c>
      <c r="D196" s="13" t="inlineStr">
        <is>
          <t>기능</t>
        </is>
      </c>
      <c r="E196" s="13" t="inlineStr">
        <is>
          <t>미실행</t>
        </is>
      </c>
    </row>
    <row r="197">
      <c r="A197" s="13" t="inlineStr">
        <is>
          <t>화면</t>
        </is>
      </c>
      <c r="B197" s="13" t="inlineStr">
        <is>
          <t>ROUTE-01</t>
        </is>
      </c>
      <c r="C197" s="13" t="inlineStr">
        <is>
          <t>TC-ROUTE-01-02</t>
        </is>
      </c>
      <c r="D197" s="13" t="inlineStr">
        <is>
          <t>기능</t>
        </is>
      </c>
      <c r="E197" s="13" t="inlineStr">
        <is>
          <t>미실행</t>
        </is>
      </c>
    </row>
    <row r="198">
      <c r="A198" s="13" t="inlineStr">
        <is>
          <t>요건</t>
        </is>
      </c>
      <c r="B198" s="13" t="inlineStr">
        <is>
          <t>SC-02</t>
        </is>
      </c>
      <c r="C198" s="13" t="inlineStr">
        <is>
          <t>TC-ROUTE-01-02</t>
        </is>
      </c>
      <c r="D198" s="13" t="inlineStr">
        <is>
          <t>기능</t>
        </is>
      </c>
      <c r="E198" s="13" t="inlineStr">
        <is>
          <t>미실행</t>
        </is>
      </c>
    </row>
    <row r="199">
      <c r="A199" s="13" t="inlineStr">
        <is>
          <t>요건</t>
        </is>
      </c>
      <c r="B199" s="13" t="inlineStr">
        <is>
          <t>NFR-04</t>
        </is>
      </c>
      <c r="C199" s="13" t="inlineStr">
        <is>
          <t>TC-ROUTE-01-02</t>
        </is>
      </c>
      <c r="D199" s="13" t="inlineStr">
        <is>
          <t>기능</t>
        </is>
      </c>
      <c r="E199" s="13" t="inlineStr">
        <is>
          <t>미실행</t>
        </is>
      </c>
    </row>
    <row r="200">
      <c r="A200" s="13" t="inlineStr">
        <is>
          <t>화면</t>
        </is>
      </c>
      <c r="B200" s="13" t="inlineStr">
        <is>
          <t>ROUTE-01</t>
        </is>
      </c>
      <c r="C200" s="13" t="inlineStr">
        <is>
          <t>TC-ROUTE-01-03</t>
        </is>
      </c>
      <c r="D200" s="13" t="inlineStr">
        <is>
          <t>기능</t>
        </is>
      </c>
      <c r="E200" s="13" t="inlineStr">
        <is>
          <t>미실행</t>
        </is>
      </c>
    </row>
    <row r="201">
      <c r="A201" s="13" t="inlineStr">
        <is>
          <t>요건</t>
        </is>
      </c>
      <c r="B201" s="13" t="inlineStr">
        <is>
          <t>SC-02</t>
        </is>
      </c>
      <c r="C201" s="13" t="inlineStr">
        <is>
          <t>TC-ROUTE-01-03</t>
        </is>
      </c>
      <c r="D201" s="13" t="inlineStr">
        <is>
          <t>기능</t>
        </is>
      </c>
      <c r="E201" s="13" t="inlineStr">
        <is>
          <t>미실행</t>
        </is>
      </c>
    </row>
    <row r="202">
      <c r="A202" s="13" t="inlineStr">
        <is>
          <t>화면</t>
        </is>
      </c>
      <c r="B202" s="13" t="inlineStr">
        <is>
          <t>ROUTE-01</t>
        </is>
      </c>
      <c r="C202" s="13" t="inlineStr">
        <is>
          <t>TC-ROUTE-01-04</t>
        </is>
      </c>
      <c r="D202" s="13" t="inlineStr">
        <is>
          <t>접근성</t>
        </is>
      </c>
      <c r="E202" s="13" t="inlineStr">
        <is>
          <t>미실행</t>
        </is>
      </c>
    </row>
    <row r="203">
      <c r="A203" s="13" t="inlineStr">
        <is>
          <t>요건</t>
        </is>
      </c>
      <c r="B203" s="13" t="inlineStr">
        <is>
          <t>V-10</t>
        </is>
      </c>
      <c r="C203" s="13" t="inlineStr">
        <is>
          <t>TC-ROUTE-01-04</t>
        </is>
      </c>
      <c r="D203" s="13" t="inlineStr">
        <is>
          <t>접근성</t>
        </is>
      </c>
      <c r="E203" s="13" t="inlineStr">
        <is>
          <t>미실행</t>
        </is>
      </c>
    </row>
    <row r="204">
      <c r="A204" s="13" t="inlineStr">
        <is>
          <t>요건</t>
        </is>
      </c>
      <c r="B204" s="13" t="inlineStr">
        <is>
          <t>NFR-04</t>
        </is>
      </c>
      <c r="C204" s="13" t="inlineStr">
        <is>
          <t>TC-ROUTE-01-04</t>
        </is>
      </c>
      <c r="D204" s="13" t="inlineStr">
        <is>
          <t>접근성</t>
        </is>
      </c>
      <c r="E204" s="13" t="inlineStr">
        <is>
          <t>미실행</t>
        </is>
      </c>
    </row>
    <row r="205">
      <c r="A205" s="13" t="inlineStr">
        <is>
          <t>화면</t>
        </is>
      </c>
      <c r="B205" s="13" t="inlineStr">
        <is>
          <t>ROUTE-01</t>
        </is>
      </c>
      <c r="C205" s="13" t="inlineStr">
        <is>
          <t>TC-ROUTE-01-05</t>
        </is>
      </c>
      <c r="D205" s="13" t="inlineStr">
        <is>
          <t>접근성</t>
        </is>
      </c>
      <c r="E205" s="13" t="inlineStr">
        <is>
          <t>미실행</t>
        </is>
      </c>
    </row>
    <row r="206">
      <c r="A206" s="13" t="inlineStr">
        <is>
          <t>화면</t>
        </is>
      </c>
      <c r="B206" s="13" t="inlineStr">
        <is>
          <t>ROUTE-02</t>
        </is>
      </c>
      <c r="C206" s="13" t="inlineStr">
        <is>
          <t>TC-ROUTE-01-05</t>
        </is>
      </c>
      <c r="D206" s="13" t="inlineStr">
        <is>
          <t>접근성</t>
        </is>
      </c>
      <c r="E206" s="13" t="inlineStr">
        <is>
          <t>미실행</t>
        </is>
      </c>
    </row>
    <row r="207">
      <c r="A207" s="13" t="inlineStr">
        <is>
          <t>요건</t>
        </is>
      </c>
      <c r="B207" s="13" t="inlineStr">
        <is>
          <t>V-1</t>
        </is>
      </c>
      <c r="C207" s="13" t="inlineStr">
        <is>
          <t>TC-ROUTE-01-05</t>
        </is>
      </c>
      <c r="D207" s="13" t="inlineStr">
        <is>
          <t>접근성</t>
        </is>
      </c>
      <c r="E207" s="13" t="inlineStr">
        <is>
          <t>미실행</t>
        </is>
      </c>
    </row>
    <row r="208">
      <c r="A208" s="13" t="inlineStr">
        <is>
          <t>요건</t>
        </is>
      </c>
      <c r="B208" s="13" t="inlineStr">
        <is>
          <t>AC-05</t>
        </is>
      </c>
      <c r="C208" s="13" t="inlineStr">
        <is>
          <t>TC-ROUTE-01-05</t>
        </is>
      </c>
      <c r="D208" s="13" t="inlineStr">
        <is>
          <t>접근성</t>
        </is>
      </c>
      <c r="E208" s="13" t="inlineStr">
        <is>
          <t>미실행</t>
        </is>
      </c>
    </row>
    <row r="209">
      <c r="A209" s="13" t="inlineStr">
        <is>
          <t>화면</t>
        </is>
      </c>
      <c r="B209" s="13" t="inlineStr">
        <is>
          <t>ROUTE-01</t>
        </is>
      </c>
      <c r="C209" s="13" t="inlineStr">
        <is>
          <t>TC-ROUTE-01-06</t>
        </is>
      </c>
      <c r="D209" s="13" t="inlineStr">
        <is>
          <t>기능</t>
        </is>
      </c>
      <c r="E209" s="13" t="inlineStr">
        <is>
          <t>미실행</t>
        </is>
      </c>
    </row>
    <row r="210">
      <c r="A210" s="13" t="inlineStr">
        <is>
          <t>요건</t>
        </is>
      </c>
      <c r="B210" s="13" t="inlineStr">
        <is>
          <t>V-10</t>
        </is>
      </c>
      <c r="C210" s="13" t="inlineStr">
        <is>
          <t>TC-ROUTE-01-06</t>
        </is>
      </c>
      <c r="D210" s="13" t="inlineStr">
        <is>
          <t>기능</t>
        </is>
      </c>
      <c r="E210" s="13" t="inlineStr">
        <is>
          <t>미실행</t>
        </is>
      </c>
    </row>
    <row r="211">
      <c r="A211" s="13" t="inlineStr">
        <is>
          <t>화면</t>
        </is>
      </c>
      <c r="B211" s="13" t="inlineStr">
        <is>
          <t>ROUTE-01</t>
        </is>
      </c>
      <c r="C211" s="13" t="inlineStr">
        <is>
          <t>TC-ROUTE-01-07</t>
        </is>
      </c>
      <c r="D211" s="13" t="inlineStr">
        <is>
          <t>접근성</t>
        </is>
      </c>
      <c r="E211" s="13" t="inlineStr">
        <is>
          <t>미실행</t>
        </is>
      </c>
    </row>
    <row r="212">
      <c r="A212" s="13" t="inlineStr">
        <is>
          <t>요건</t>
        </is>
      </c>
      <c r="B212" s="13" t="inlineStr">
        <is>
          <t>V-3</t>
        </is>
      </c>
      <c r="C212" s="13" t="inlineStr">
        <is>
          <t>TC-ROUTE-01-07</t>
        </is>
      </c>
      <c r="D212" s="13" t="inlineStr">
        <is>
          <t>접근성</t>
        </is>
      </c>
      <c r="E212" s="13" t="inlineStr">
        <is>
          <t>미실행</t>
        </is>
      </c>
    </row>
    <row r="213">
      <c r="A213" s="13" t="inlineStr">
        <is>
          <t>화면</t>
        </is>
      </c>
      <c r="B213" s="13" t="inlineStr">
        <is>
          <t>ROUTE-01</t>
        </is>
      </c>
      <c r="C213" s="13" t="inlineStr">
        <is>
          <t>TC-ROUTE-01-08</t>
        </is>
      </c>
      <c r="D213" s="13" t="inlineStr">
        <is>
          <t>기능</t>
        </is>
      </c>
      <c r="E213" s="13" t="inlineStr">
        <is>
          <t>보류</t>
        </is>
      </c>
    </row>
    <row r="214">
      <c r="A214" s="13" t="inlineStr">
        <is>
          <t>요건</t>
        </is>
      </c>
      <c r="B214" s="13" t="inlineStr">
        <is>
          <t>V-10</t>
        </is>
      </c>
      <c r="C214" s="13" t="inlineStr">
        <is>
          <t>TC-ROUTE-01-08</t>
        </is>
      </c>
      <c r="D214" s="13" t="inlineStr">
        <is>
          <t>기능</t>
        </is>
      </c>
      <c r="E214" s="13" t="inlineStr">
        <is>
          <t>보류</t>
        </is>
      </c>
    </row>
    <row r="215">
      <c r="A215" s="13" t="inlineStr">
        <is>
          <t>화면</t>
        </is>
      </c>
      <c r="B215" s="13" t="inlineStr">
        <is>
          <t>ROUTE-01</t>
        </is>
      </c>
      <c r="C215" s="13" t="inlineStr">
        <is>
          <t>TC-ROUTE-01-09</t>
        </is>
      </c>
      <c r="D215" s="13" t="inlineStr">
        <is>
          <t>접근성</t>
        </is>
      </c>
      <c r="E215" s="13" t="inlineStr">
        <is>
          <t>미실행</t>
        </is>
      </c>
    </row>
    <row r="216">
      <c r="A216" s="13" t="inlineStr">
        <is>
          <t>요건</t>
        </is>
      </c>
      <c r="B216" s="13" t="inlineStr">
        <is>
          <t>C-4</t>
        </is>
      </c>
      <c r="C216" s="13" t="inlineStr">
        <is>
          <t>TC-ROUTE-01-09</t>
        </is>
      </c>
      <c r="D216" s="13" t="inlineStr">
        <is>
          <t>접근성</t>
        </is>
      </c>
      <c r="E216" s="13" t="inlineStr">
        <is>
          <t>미실행</t>
        </is>
      </c>
    </row>
    <row r="217">
      <c r="A217" s="13" t="inlineStr">
        <is>
          <t>화면</t>
        </is>
      </c>
      <c r="B217" s="13" t="inlineStr">
        <is>
          <t>ROUTE-01</t>
        </is>
      </c>
      <c r="C217" s="13" t="inlineStr">
        <is>
          <t>TC-ROUTE-01-10</t>
        </is>
      </c>
      <c r="D217" s="13" t="inlineStr">
        <is>
          <t>비기능</t>
        </is>
      </c>
      <c r="E217" s="13" t="inlineStr">
        <is>
          <t>미실행</t>
        </is>
      </c>
    </row>
    <row r="218">
      <c r="A218" s="13" t="inlineStr">
        <is>
          <t>요건</t>
        </is>
      </c>
      <c r="B218" s="13" t="inlineStr">
        <is>
          <t>MB-3</t>
        </is>
      </c>
      <c r="C218" s="13" t="inlineStr">
        <is>
          <t>TC-ROUTE-01-10</t>
        </is>
      </c>
      <c r="D218" s="13" t="inlineStr">
        <is>
          <t>비기능</t>
        </is>
      </c>
      <c r="E218" s="13" t="inlineStr">
        <is>
          <t>미실행</t>
        </is>
      </c>
    </row>
    <row r="219">
      <c r="A219" s="13" t="inlineStr">
        <is>
          <t>화면</t>
        </is>
      </c>
      <c r="B219" s="13" t="inlineStr">
        <is>
          <t>ROUTE-01</t>
        </is>
      </c>
      <c r="C219" s="13" t="inlineStr">
        <is>
          <t>TC-ROUTE-01-11</t>
        </is>
      </c>
      <c r="D219" s="13" t="inlineStr">
        <is>
          <t>기능</t>
        </is>
      </c>
      <c r="E219" s="13" t="inlineStr">
        <is>
          <t>미실행</t>
        </is>
      </c>
    </row>
    <row r="220">
      <c r="A220" s="13" t="inlineStr">
        <is>
          <t>요건</t>
        </is>
      </c>
      <c r="B220" s="13" t="inlineStr">
        <is>
          <t>SC-02</t>
        </is>
      </c>
      <c r="C220" s="13" t="inlineStr">
        <is>
          <t>TC-ROUTE-01-11</t>
        </is>
      </c>
      <c r="D220" s="13" t="inlineStr">
        <is>
          <t>기능</t>
        </is>
      </c>
      <c r="E220" s="13" t="inlineStr">
        <is>
          <t>미실행</t>
        </is>
      </c>
    </row>
    <row r="221">
      <c r="A221" s="13" t="inlineStr">
        <is>
          <t>요건</t>
        </is>
      </c>
      <c r="B221" s="13" t="inlineStr">
        <is>
          <t>AC-05</t>
        </is>
      </c>
      <c r="C221" s="13" t="inlineStr">
        <is>
          <t>TC-ROUTE-01-11</t>
        </is>
      </c>
      <c r="D221" s="13" t="inlineStr">
        <is>
          <t>기능</t>
        </is>
      </c>
      <c r="E221" s="13" t="inlineStr">
        <is>
          <t>미실행</t>
        </is>
      </c>
    </row>
    <row r="222">
      <c r="A222" s="13" t="inlineStr">
        <is>
          <t>화면</t>
        </is>
      </c>
      <c r="B222" s="13" t="inlineStr">
        <is>
          <t>ROUTE-01</t>
        </is>
      </c>
      <c r="C222" s="13" t="inlineStr">
        <is>
          <t>TC-ROUTE-01-12</t>
        </is>
      </c>
      <c r="D222" s="13" t="inlineStr">
        <is>
          <t>기능</t>
        </is>
      </c>
      <c r="E222" s="13" t="inlineStr">
        <is>
          <t>미실행</t>
        </is>
      </c>
    </row>
    <row r="223">
      <c r="A223" s="13" t="inlineStr">
        <is>
          <t>요건</t>
        </is>
      </c>
      <c r="B223" s="13" t="inlineStr">
        <is>
          <t>SC-02</t>
        </is>
      </c>
      <c r="C223" s="13" t="inlineStr">
        <is>
          <t>TC-ROUTE-01-12</t>
        </is>
      </c>
      <c r="D223" s="13" t="inlineStr">
        <is>
          <t>기능</t>
        </is>
      </c>
      <c r="E223" s="13" t="inlineStr">
        <is>
          <t>미실행</t>
        </is>
      </c>
    </row>
    <row r="224">
      <c r="A224" s="13" t="inlineStr">
        <is>
          <t>화면</t>
        </is>
      </c>
      <c r="B224" s="13" t="inlineStr">
        <is>
          <t>ROUTE-01</t>
        </is>
      </c>
      <c r="C224" s="13" t="inlineStr">
        <is>
          <t>TC-ROUTE-01-13</t>
        </is>
      </c>
      <c r="D224" s="13" t="inlineStr">
        <is>
          <t>접근성</t>
        </is>
      </c>
      <c r="E224" s="13" t="inlineStr">
        <is>
          <t>미실행</t>
        </is>
      </c>
    </row>
    <row r="225">
      <c r="A225" s="13" t="inlineStr">
        <is>
          <t>요건</t>
        </is>
      </c>
      <c r="B225" s="13" t="inlineStr">
        <is>
          <t>V-1</t>
        </is>
      </c>
      <c r="C225" s="13" t="inlineStr">
        <is>
          <t>TC-ROUTE-01-13</t>
        </is>
      </c>
      <c r="D225" s="13" t="inlineStr">
        <is>
          <t>접근성</t>
        </is>
      </c>
      <c r="E225" s="13" t="inlineStr">
        <is>
          <t>미실행</t>
        </is>
      </c>
    </row>
    <row r="226">
      <c r="A226" s="13" t="inlineStr">
        <is>
          <t>요건</t>
        </is>
      </c>
      <c r="B226" s="13" t="inlineStr">
        <is>
          <t>AC-05</t>
        </is>
      </c>
      <c r="C226" s="13" t="inlineStr">
        <is>
          <t>TC-ROUTE-01-13</t>
        </is>
      </c>
      <c r="D226" s="13" t="inlineStr">
        <is>
          <t>접근성</t>
        </is>
      </c>
      <c r="E226" s="13" t="inlineStr">
        <is>
          <t>미실행</t>
        </is>
      </c>
    </row>
    <row r="227">
      <c r="A227" s="13" t="inlineStr">
        <is>
          <t>화면</t>
        </is>
      </c>
      <c r="B227" s="13" t="inlineStr">
        <is>
          <t>ROUTE-01</t>
        </is>
      </c>
      <c r="C227" s="13" t="inlineStr">
        <is>
          <t>TC-ROUTE-01-14</t>
        </is>
      </c>
      <c r="D227" s="13" t="inlineStr">
        <is>
          <t>접근성</t>
        </is>
      </c>
      <c r="E227" s="13" t="inlineStr">
        <is>
          <t>미실행</t>
        </is>
      </c>
    </row>
    <row r="228">
      <c r="A228" s="13" t="inlineStr">
        <is>
          <t>요건</t>
        </is>
      </c>
      <c r="B228" s="13" t="inlineStr">
        <is>
          <t>NFR-04</t>
        </is>
      </c>
      <c r="C228" s="13" t="inlineStr">
        <is>
          <t>TC-ROUTE-01-14</t>
        </is>
      </c>
      <c r="D228" s="13" t="inlineStr">
        <is>
          <t>접근성</t>
        </is>
      </c>
      <c r="E228" s="13" t="inlineStr">
        <is>
          <t>미실행</t>
        </is>
      </c>
    </row>
    <row r="229">
      <c r="A229" s="13" t="inlineStr">
        <is>
          <t>요건</t>
        </is>
      </c>
      <c r="B229" s="13" t="inlineStr">
        <is>
          <t>AC-05</t>
        </is>
      </c>
      <c r="C229" s="13" t="inlineStr">
        <is>
          <t>TC-ROUTE-01-14</t>
        </is>
      </c>
      <c r="D229" s="13" t="inlineStr">
        <is>
          <t>접근성</t>
        </is>
      </c>
      <c r="E229" s="13" t="inlineStr">
        <is>
          <t>미실행</t>
        </is>
      </c>
    </row>
    <row r="230">
      <c r="A230" s="13" t="inlineStr">
        <is>
          <t>화면</t>
        </is>
      </c>
      <c r="B230" s="13" t="inlineStr">
        <is>
          <t>ROUTE-01</t>
        </is>
      </c>
      <c r="C230" s="13" t="inlineStr">
        <is>
          <t>TC-ROUTE-01-15</t>
        </is>
      </c>
      <c r="D230" s="13" t="inlineStr">
        <is>
          <t>접근성</t>
        </is>
      </c>
      <c r="E230" s="13" t="inlineStr">
        <is>
          <t>미실행</t>
        </is>
      </c>
    </row>
    <row r="231">
      <c r="A231" s="13" t="inlineStr">
        <is>
          <t>요건</t>
        </is>
      </c>
      <c r="B231" s="13" t="inlineStr">
        <is>
          <t>NFR-02</t>
        </is>
      </c>
      <c r="C231" s="13" t="inlineStr">
        <is>
          <t>TC-ROUTE-01-15</t>
        </is>
      </c>
      <c r="D231" s="13" t="inlineStr">
        <is>
          <t>접근성</t>
        </is>
      </c>
      <c r="E231" s="13" t="inlineStr">
        <is>
          <t>미실행</t>
        </is>
      </c>
    </row>
    <row r="232">
      <c r="A232" s="13" t="inlineStr">
        <is>
          <t>요건</t>
        </is>
      </c>
      <c r="B232" s="13" t="inlineStr">
        <is>
          <t>S-1</t>
        </is>
      </c>
      <c r="C232" s="13" t="inlineStr">
        <is>
          <t>TC-ROUTE-01-15</t>
        </is>
      </c>
      <c r="D232" s="13" t="inlineStr">
        <is>
          <t>접근성</t>
        </is>
      </c>
      <c r="E232" s="13" t="inlineStr">
        <is>
          <t>미실행</t>
        </is>
      </c>
    </row>
    <row r="233">
      <c r="A233" s="13" t="inlineStr">
        <is>
          <t>요건</t>
        </is>
      </c>
      <c r="B233" s="13" t="inlineStr">
        <is>
          <t>S-2</t>
        </is>
      </c>
      <c r="C233" s="13" t="inlineStr">
        <is>
          <t>TC-ROUTE-01-15</t>
        </is>
      </c>
      <c r="D233" s="13" t="inlineStr">
        <is>
          <t>접근성</t>
        </is>
      </c>
      <c r="E233" s="13" t="inlineStr">
        <is>
          <t>미실행</t>
        </is>
      </c>
    </row>
    <row r="234">
      <c r="A234" s="13" t="inlineStr">
        <is>
          <t>화면</t>
        </is>
      </c>
      <c r="B234" s="13" t="inlineStr">
        <is>
          <t>ROUTE-01</t>
        </is>
      </c>
      <c r="C234" s="13" t="inlineStr">
        <is>
          <t>TC-ROUTE-01-16</t>
        </is>
      </c>
      <c r="D234" s="13" t="inlineStr">
        <is>
          <t>접근성</t>
        </is>
      </c>
      <c r="E234" s="13" t="inlineStr">
        <is>
          <t>미실행</t>
        </is>
      </c>
    </row>
    <row r="235">
      <c r="A235" s="13" t="inlineStr">
        <is>
          <t>요건</t>
        </is>
      </c>
      <c r="B235" s="13" t="inlineStr">
        <is>
          <t>AC-06</t>
        </is>
      </c>
      <c r="C235" s="13" t="inlineStr">
        <is>
          <t>TC-ROUTE-01-16</t>
        </is>
      </c>
      <c r="D235" s="13" t="inlineStr">
        <is>
          <t>접근성</t>
        </is>
      </c>
      <c r="E235" s="13" t="inlineStr">
        <is>
          <t>미실행</t>
        </is>
      </c>
    </row>
    <row r="236">
      <c r="A236" s="13" t="inlineStr">
        <is>
          <t>요건</t>
        </is>
      </c>
      <c r="B236" s="13" t="inlineStr">
        <is>
          <t>T-4</t>
        </is>
      </c>
      <c r="C236" s="13" t="inlineStr">
        <is>
          <t>TC-ROUTE-01-16</t>
        </is>
      </c>
      <c r="D236" s="13" t="inlineStr">
        <is>
          <t>접근성</t>
        </is>
      </c>
      <c r="E236" s="13" t="inlineStr">
        <is>
          <t>미실행</t>
        </is>
      </c>
    </row>
    <row r="237">
      <c r="A237" s="13" t="inlineStr">
        <is>
          <t>화면</t>
        </is>
      </c>
      <c r="B237" s="13" t="inlineStr">
        <is>
          <t>ROUTE-01</t>
        </is>
      </c>
      <c r="C237" s="13" t="inlineStr">
        <is>
          <t>TC-ROUTE-01-17</t>
        </is>
      </c>
      <c r="D237" s="13" t="inlineStr">
        <is>
          <t>접근성</t>
        </is>
      </c>
      <c r="E237" s="13" t="inlineStr">
        <is>
          <t>미실행</t>
        </is>
      </c>
    </row>
    <row r="238">
      <c r="A238" s="13" t="inlineStr">
        <is>
          <t>요건</t>
        </is>
      </c>
      <c r="B238" s="13" t="inlineStr">
        <is>
          <t>NFR-05</t>
        </is>
      </c>
      <c r="C238" s="13" t="inlineStr">
        <is>
          <t>TC-ROUTE-01-17</t>
        </is>
      </c>
      <c r="D238" s="13" t="inlineStr">
        <is>
          <t>접근성</t>
        </is>
      </c>
      <c r="E238" s="13" t="inlineStr">
        <is>
          <t>미실행</t>
        </is>
      </c>
    </row>
    <row r="239">
      <c r="A239" s="13" t="inlineStr">
        <is>
          <t>화면</t>
        </is>
      </c>
      <c r="B239" s="13" t="inlineStr">
        <is>
          <t>ROUTE-02</t>
        </is>
      </c>
      <c r="C239" s="13" t="inlineStr">
        <is>
          <t>TC-ROUTE-02-01</t>
        </is>
      </c>
      <c r="D239" s="13" t="inlineStr">
        <is>
          <t>기능</t>
        </is>
      </c>
      <c r="E239" s="13" t="inlineStr">
        <is>
          <t>미실행</t>
        </is>
      </c>
    </row>
    <row r="240">
      <c r="A240" s="13" t="inlineStr">
        <is>
          <t>요건</t>
        </is>
      </c>
      <c r="B240" s="13" t="inlineStr">
        <is>
          <t>SC-02</t>
        </is>
      </c>
      <c r="C240" s="13" t="inlineStr">
        <is>
          <t>TC-ROUTE-02-01</t>
        </is>
      </c>
      <c r="D240" s="13" t="inlineStr">
        <is>
          <t>기능</t>
        </is>
      </c>
      <c r="E240" s="13" t="inlineStr">
        <is>
          <t>미실행</t>
        </is>
      </c>
    </row>
    <row r="241">
      <c r="A241" s="13" t="inlineStr">
        <is>
          <t>요건</t>
        </is>
      </c>
      <c r="B241" s="13" t="inlineStr">
        <is>
          <t>V-6</t>
        </is>
      </c>
      <c r="C241" s="13" t="inlineStr">
        <is>
          <t>TC-ROUTE-02-01</t>
        </is>
      </c>
      <c r="D241" s="13" t="inlineStr">
        <is>
          <t>기능</t>
        </is>
      </c>
      <c r="E241" s="13" t="inlineStr">
        <is>
          <t>미실행</t>
        </is>
      </c>
    </row>
    <row r="242">
      <c r="A242" s="13" t="inlineStr">
        <is>
          <t>화면</t>
        </is>
      </c>
      <c r="B242" s="13" t="inlineStr">
        <is>
          <t>ROUTE-02</t>
        </is>
      </c>
      <c r="C242" s="13" t="inlineStr">
        <is>
          <t>TC-ROUTE-02-02</t>
        </is>
      </c>
      <c r="D242" s="13" t="inlineStr">
        <is>
          <t>기능</t>
        </is>
      </c>
      <c r="E242" s="13" t="inlineStr">
        <is>
          <t>미실행</t>
        </is>
      </c>
    </row>
    <row r="243">
      <c r="A243" s="13" t="inlineStr">
        <is>
          <t>요건</t>
        </is>
      </c>
      <c r="B243" s="13" t="inlineStr">
        <is>
          <t>FR-R10</t>
        </is>
      </c>
      <c r="C243" s="13" t="inlineStr">
        <is>
          <t>TC-ROUTE-02-02</t>
        </is>
      </c>
      <c r="D243" s="13" t="inlineStr">
        <is>
          <t>기능</t>
        </is>
      </c>
      <c r="E243" s="13" t="inlineStr">
        <is>
          <t>미실행</t>
        </is>
      </c>
    </row>
    <row r="244">
      <c r="A244" s="13" t="inlineStr">
        <is>
          <t>화면</t>
        </is>
      </c>
      <c r="B244" s="13" t="inlineStr">
        <is>
          <t>ROUTE-02</t>
        </is>
      </c>
      <c r="C244" s="13" t="inlineStr">
        <is>
          <t>TC-ROUTE-02-03</t>
        </is>
      </c>
      <c r="D244" s="13" t="inlineStr">
        <is>
          <t>기능</t>
        </is>
      </c>
      <c r="E244" s="13" t="inlineStr">
        <is>
          <t>미실행</t>
        </is>
      </c>
    </row>
    <row r="245">
      <c r="A245" s="13" t="inlineStr">
        <is>
          <t>요건</t>
        </is>
      </c>
      <c r="B245" s="13" t="inlineStr">
        <is>
          <t>FR-R10</t>
        </is>
      </c>
      <c r="C245" s="13" t="inlineStr">
        <is>
          <t>TC-ROUTE-02-03</t>
        </is>
      </c>
      <c r="D245" s="13" t="inlineStr">
        <is>
          <t>기능</t>
        </is>
      </c>
      <c r="E245" s="13" t="inlineStr">
        <is>
          <t>미실행</t>
        </is>
      </c>
    </row>
    <row r="246">
      <c r="A246" s="13" t="inlineStr">
        <is>
          <t>요건</t>
        </is>
      </c>
      <c r="B246" s="13" t="inlineStr">
        <is>
          <t>SC-02</t>
        </is>
      </c>
      <c r="C246" s="13" t="inlineStr">
        <is>
          <t>TC-ROUTE-02-03</t>
        </is>
      </c>
      <c r="D246" s="13" t="inlineStr">
        <is>
          <t>기능</t>
        </is>
      </c>
      <c r="E246" s="13" t="inlineStr">
        <is>
          <t>미실행</t>
        </is>
      </c>
    </row>
    <row r="247">
      <c r="A247" s="13" t="inlineStr">
        <is>
          <t>화면</t>
        </is>
      </c>
      <c r="B247" s="13" t="inlineStr">
        <is>
          <t>ROUTE-02</t>
        </is>
      </c>
      <c r="C247" s="13" t="inlineStr">
        <is>
          <t>TC-ROUTE-02-04</t>
        </is>
      </c>
      <c r="D247" s="13" t="inlineStr">
        <is>
          <t>기능</t>
        </is>
      </c>
      <c r="E247" s="13" t="inlineStr">
        <is>
          <t>보류</t>
        </is>
      </c>
    </row>
    <row r="248">
      <c r="A248" s="13" t="inlineStr">
        <is>
          <t>요건</t>
        </is>
      </c>
      <c r="B248" s="13" t="inlineStr">
        <is>
          <t>FR-R10</t>
        </is>
      </c>
      <c r="C248" s="13" t="inlineStr">
        <is>
          <t>TC-ROUTE-02-04</t>
        </is>
      </c>
      <c r="D248" s="13" t="inlineStr">
        <is>
          <t>기능</t>
        </is>
      </c>
      <c r="E248" s="13" t="inlineStr">
        <is>
          <t>보류</t>
        </is>
      </c>
    </row>
    <row r="249">
      <c r="A249" s="13" t="inlineStr">
        <is>
          <t>화면</t>
        </is>
      </c>
      <c r="B249" s="13" t="inlineStr">
        <is>
          <t>ROUTE-02</t>
        </is>
      </c>
      <c r="C249" s="13" t="inlineStr">
        <is>
          <t>TC-ROUTE-02-05</t>
        </is>
      </c>
      <c r="D249" s="13" t="inlineStr">
        <is>
          <t>기능</t>
        </is>
      </c>
      <c r="E249" s="13" t="inlineStr">
        <is>
          <t>미실행</t>
        </is>
      </c>
    </row>
    <row r="250">
      <c r="A250" s="13" t="inlineStr">
        <is>
          <t>요건</t>
        </is>
      </c>
      <c r="B250" s="13" t="inlineStr">
        <is>
          <t>AC-07</t>
        </is>
      </c>
      <c r="C250" s="13" t="inlineStr">
        <is>
          <t>TC-ROUTE-02-05</t>
        </is>
      </c>
      <c r="D250" s="13" t="inlineStr">
        <is>
          <t>기능</t>
        </is>
      </c>
      <c r="E250" s="13" t="inlineStr">
        <is>
          <t>미실행</t>
        </is>
      </c>
    </row>
    <row r="251">
      <c r="A251" s="13" t="inlineStr">
        <is>
          <t>요건</t>
        </is>
      </c>
      <c r="B251" s="13" t="inlineStr">
        <is>
          <t>SC-02</t>
        </is>
      </c>
      <c r="C251" s="13" t="inlineStr">
        <is>
          <t>TC-ROUTE-02-05</t>
        </is>
      </c>
      <c r="D251" s="13" t="inlineStr">
        <is>
          <t>기능</t>
        </is>
      </c>
      <c r="E251" s="13" t="inlineStr">
        <is>
          <t>미실행</t>
        </is>
      </c>
    </row>
    <row r="252">
      <c r="A252" s="13" t="inlineStr">
        <is>
          <t>화면</t>
        </is>
      </c>
      <c r="B252" s="13" t="inlineStr">
        <is>
          <t>ROUTE-02</t>
        </is>
      </c>
      <c r="C252" s="13" t="inlineStr">
        <is>
          <t>TC-ROUTE-02-06</t>
        </is>
      </c>
      <c r="D252" s="13" t="inlineStr">
        <is>
          <t>기능</t>
        </is>
      </c>
      <c r="E252" s="13" t="inlineStr">
        <is>
          <t>보류</t>
        </is>
      </c>
    </row>
    <row r="253">
      <c r="A253" s="13" t="inlineStr">
        <is>
          <t>요건</t>
        </is>
      </c>
      <c r="B253" s="13" t="inlineStr">
        <is>
          <t>V-5</t>
        </is>
      </c>
      <c r="C253" s="13" t="inlineStr">
        <is>
          <t>TC-ROUTE-02-06</t>
        </is>
      </c>
      <c r="D253" s="13" t="inlineStr">
        <is>
          <t>기능</t>
        </is>
      </c>
      <c r="E253" s="13" t="inlineStr">
        <is>
          <t>보류</t>
        </is>
      </c>
    </row>
    <row r="254">
      <c r="A254" s="13" t="inlineStr">
        <is>
          <t>화면</t>
        </is>
      </c>
      <c r="B254" s="13" t="inlineStr">
        <is>
          <t>ROUTE-02</t>
        </is>
      </c>
      <c r="C254" s="13" t="inlineStr">
        <is>
          <t>TC-ROUTE-02-07</t>
        </is>
      </c>
      <c r="D254" s="13" t="inlineStr">
        <is>
          <t>기능</t>
        </is>
      </c>
      <c r="E254" s="13" t="inlineStr">
        <is>
          <t>미실행</t>
        </is>
      </c>
    </row>
    <row r="255">
      <c r="A255" s="13" t="inlineStr">
        <is>
          <t>요건</t>
        </is>
      </c>
      <c r="B255" s="13" t="inlineStr">
        <is>
          <t>SC-02</t>
        </is>
      </c>
      <c r="C255" s="13" t="inlineStr">
        <is>
          <t>TC-ROUTE-02-07</t>
        </is>
      </c>
      <c r="D255" s="13" t="inlineStr">
        <is>
          <t>기능</t>
        </is>
      </c>
      <c r="E255" s="13" t="inlineStr">
        <is>
          <t>미실행</t>
        </is>
      </c>
    </row>
    <row r="256">
      <c r="A256" s="13" t="inlineStr">
        <is>
          <t>화면</t>
        </is>
      </c>
      <c r="B256" s="13" t="inlineStr">
        <is>
          <t>ROUTE-02</t>
        </is>
      </c>
      <c r="C256" s="13" t="inlineStr">
        <is>
          <t>TC-ROUTE-02-08</t>
        </is>
      </c>
      <c r="D256" s="13" t="inlineStr">
        <is>
          <t>기능</t>
        </is>
      </c>
      <c r="E256" s="13" t="inlineStr">
        <is>
          <t>미실행</t>
        </is>
      </c>
    </row>
    <row r="257">
      <c r="A257" s="13" t="inlineStr">
        <is>
          <t>요건</t>
        </is>
      </c>
      <c r="B257" s="13" t="inlineStr">
        <is>
          <t>SC-02</t>
        </is>
      </c>
      <c r="C257" s="13" t="inlineStr">
        <is>
          <t>TC-ROUTE-02-08</t>
        </is>
      </c>
      <c r="D257" s="13" t="inlineStr">
        <is>
          <t>기능</t>
        </is>
      </c>
      <c r="E257" s="13" t="inlineStr">
        <is>
          <t>미실행</t>
        </is>
      </c>
    </row>
    <row r="258">
      <c r="A258" s="13" t="inlineStr">
        <is>
          <t>화면</t>
        </is>
      </c>
      <c r="B258" s="13" t="inlineStr">
        <is>
          <t>ROUTE-02</t>
        </is>
      </c>
      <c r="C258" s="13" t="inlineStr">
        <is>
          <t>TC-ROUTE-02-09</t>
        </is>
      </c>
      <c r="D258" s="13" t="inlineStr">
        <is>
          <t>기능</t>
        </is>
      </c>
      <c r="E258" s="13" t="inlineStr">
        <is>
          <t>보류</t>
        </is>
      </c>
    </row>
    <row r="259">
      <c r="A259" s="13" t="inlineStr">
        <is>
          <t>요건</t>
        </is>
      </c>
      <c r="B259" s="13" t="inlineStr">
        <is>
          <t>FR-R10</t>
        </is>
      </c>
      <c r="C259" s="13" t="inlineStr">
        <is>
          <t>TC-ROUTE-02-09</t>
        </is>
      </c>
      <c r="D259" s="13" t="inlineStr">
        <is>
          <t>기능</t>
        </is>
      </c>
      <c r="E259" s="13" t="inlineStr">
        <is>
          <t>보류</t>
        </is>
      </c>
    </row>
    <row r="260">
      <c r="A260" s="13" t="inlineStr">
        <is>
          <t>요건</t>
        </is>
      </c>
      <c r="B260" s="13" t="inlineStr">
        <is>
          <t>SC-02</t>
        </is>
      </c>
      <c r="C260" s="13" t="inlineStr">
        <is>
          <t>TC-ROUTE-02-09</t>
        </is>
      </c>
      <c r="D260" s="13" t="inlineStr">
        <is>
          <t>기능</t>
        </is>
      </c>
      <c r="E260" s="13" t="inlineStr">
        <is>
          <t>보류</t>
        </is>
      </c>
    </row>
    <row r="261">
      <c r="A261" s="13" t="inlineStr">
        <is>
          <t>화면</t>
        </is>
      </c>
      <c r="B261" s="13" t="inlineStr">
        <is>
          <t>ROUTE-02</t>
        </is>
      </c>
      <c r="C261" s="13" t="inlineStr">
        <is>
          <t>TC-ROUTE-02-10</t>
        </is>
      </c>
      <c r="D261" s="13" t="inlineStr">
        <is>
          <t>접근성</t>
        </is>
      </c>
      <c r="E261" s="13" t="inlineStr">
        <is>
          <t>미실행</t>
        </is>
      </c>
    </row>
    <row r="262">
      <c r="A262" s="13" t="inlineStr">
        <is>
          <t>요건</t>
        </is>
      </c>
      <c r="B262" s="13" t="inlineStr">
        <is>
          <t>V-6</t>
        </is>
      </c>
      <c r="C262" s="13" t="inlineStr">
        <is>
          <t>TC-ROUTE-02-10</t>
        </is>
      </c>
      <c r="D262" s="13" t="inlineStr">
        <is>
          <t>접근성</t>
        </is>
      </c>
      <c r="E262" s="13" t="inlineStr">
        <is>
          <t>미실행</t>
        </is>
      </c>
    </row>
    <row r="263">
      <c r="A263" s="13" t="inlineStr">
        <is>
          <t>요건</t>
        </is>
      </c>
      <c r="B263" s="13" t="inlineStr">
        <is>
          <t>AC-05</t>
        </is>
      </c>
      <c r="C263" s="13" t="inlineStr">
        <is>
          <t>TC-ROUTE-02-10</t>
        </is>
      </c>
      <c r="D263" s="13" t="inlineStr">
        <is>
          <t>접근성</t>
        </is>
      </c>
      <c r="E263" s="13" t="inlineStr">
        <is>
          <t>미실행</t>
        </is>
      </c>
    </row>
    <row r="264">
      <c r="A264" s="13" t="inlineStr">
        <is>
          <t>화면</t>
        </is>
      </c>
      <c r="B264" s="13" t="inlineStr">
        <is>
          <t>ROUTE-02</t>
        </is>
      </c>
      <c r="C264" s="13" t="inlineStr">
        <is>
          <t>TC-ROUTE-02-11</t>
        </is>
      </c>
      <c r="D264" s="13" t="inlineStr">
        <is>
          <t>접근성</t>
        </is>
      </c>
      <c r="E264" s="13" t="inlineStr">
        <is>
          <t>미실행</t>
        </is>
      </c>
    </row>
    <row r="265">
      <c r="A265" s="13" t="inlineStr">
        <is>
          <t>요건</t>
        </is>
      </c>
      <c r="B265" s="13" t="inlineStr">
        <is>
          <t>AC-05</t>
        </is>
      </c>
      <c r="C265" s="13" t="inlineStr">
        <is>
          <t>TC-ROUTE-02-11</t>
        </is>
      </c>
      <c r="D265" s="13" t="inlineStr">
        <is>
          <t>접근성</t>
        </is>
      </c>
      <c r="E265" s="13" t="inlineStr">
        <is>
          <t>미실행</t>
        </is>
      </c>
    </row>
    <row r="266">
      <c r="A266" s="13" t="inlineStr">
        <is>
          <t>요건</t>
        </is>
      </c>
      <c r="B266" s="13" t="inlineStr">
        <is>
          <t>NFR-04</t>
        </is>
      </c>
      <c r="C266" s="13" t="inlineStr">
        <is>
          <t>TC-ROUTE-02-11</t>
        </is>
      </c>
      <c r="D266" s="13" t="inlineStr">
        <is>
          <t>접근성</t>
        </is>
      </c>
      <c r="E266" s="13" t="inlineStr">
        <is>
          <t>미실행</t>
        </is>
      </c>
    </row>
    <row r="267">
      <c r="A267" s="13" t="inlineStr">
        <is>
          <t>화면</t>
        </is>
      </c>
      <c r="B267" s="13" t="inlineStr">
        <is>
          <t>ROUTE-02</t>
        </is>
      </c>
      <c r="C267" s="13" t="inlineStr">
        <is>
          <t>TC-ROUTE-02-12</t>
        </is>
      </c>
      <c r="D267" s="13" t="inlineStr">
        <is>
          <t>기능</t>
        </is>
      </c>
      <c r="E267" s="13" t="inlineStr">
        <is>
          <t>미실행</t>
        </is>
      </c>
    </row>
    <row r="268">
      <c r="A268" s="13" t="inlineStr">
        <is>
          <t>요건</t>
        </is>
      </c>
      <c r="B268" s="13" t="inlineStr">
        <is>
          <t>SC-02</t>
        </is>
      </c>
      <c r="C268" s="13" t="inlineStr">
        <is>
          <t>TC-ROUTE-02-12</t>
        </is>
      </c>
      <c r="D268" s="13" t="inlineStr">
        <is>
          <t>기능</t>
        </is>
      </c>
      <c r="E268" s="13" t="inlineStr">
        <is>
          <t>미실행</t>
        </is>
      </c>
    </row>
    <row r="269">
      <c r="A269" s="13" t="inlineStr">
        <is>
          <t>요건</t>
        </is>
      </c>
      <c r="B269" s="13" t="inlineStr">
        <is>
          <t>V-6</t>
        </is>
      </c>
      <c r="C269" s="13" t="inlineStr">
        <is>
          <t>TC-ROUTE-02-12</t>
        </is>
      </c>
      <c r="D269" s="13" t="inlineStr">
        <is>
          <t>기능</t>
        </is>
      </c>
      <c r="E269" s="13" t="inlineStr">
        <is>
          <t>미실행</t>
        </is>
      </c>
    </row>
    <row r="270">
      <c r="A270" s="13" t="inlineStr">
        <is>
          <t>화면</t>
        </is>
      </c>
      <c r="B270" s="13" t="inlineStr">
        <is>
          <t>ROUTE-02</t>
        </is>
      </c>
      <c r="C270" s="13" t="inlineStr">
        <is>
          <t>TC-ROUTE-02-13</t>
        </is>
      </c>
      <c r="D270" s="13" t="inlineStr">
        <is>
          <t>접근성</t>
        </is>
      </c>
      <c r="E270" s="13" t="inlineStr">
        <is>
          <t>보류</t>
        </is>
      </c>
    </row>
    <row r="271">
      <c r="A271" s="13" t="inlineStr">
        <is>
          <t>요건</t>
        </is>
      </c>
      <c r="B271" s="13" t="inlineStr">
        <is>
          <t>AC-05</t>
        </is>
      </c>
      <c r="C271" s="13" t="inlineStr">
        <is>
          <t>TC-ROUTE-02-13</t>
        </is>
      </c>
      <c r="D271" s="13" t="inlineStr">
        <is>
          <t>접근성</t>
        </is>
      </c>
      <c r="E271" s="13" t="inlineStr">
        <is>
          <t>보류</t>
        </is>
      </c>
    </row>
    <row r="272">
      <c r="A272" s="13" t="inlineStr">
        <is>
          <t>화면</t>
        </is>
      </c>
      <c r="B272" s="13" t="inlineStr">
        <is>
          <t>SEARCH-01</t>
        </is>
      </c>
      <c r="C272" s="13" t="inlineStr">
        <is>
          <t>TC-SEARCH-01-01</t>
        </is>
      </c>
      <c r="D272" s="13" t="inlineStr">
        <is>
          <t>기능</t>
        </is>
      </c>
      <c r="E272" s="13" t="inlineStr">
        <is>
          <t>미실행</t>
        </is>
      </c>
    </row>
    <row r="273">
      <c r="A273" s="13" t="inlineStr">
        <is>
          <t>요건</t>
        </is>
      </c>
      <c r="B273" s="13" t="inlineStr">
        <is>
          <t>V-5</t>
        </is>
      </c>
      <c r="C273" s="13" t="inlineStr">
        <is>
          <t>TC-SEARCH-01-01</t>
        </is>
      </c>
      <c r="D273" s="13" t="inlineStr">
        <is>
          <t>기능</t>
        </is>
      </c>
      <c r="E273" s="13" t="inlineStr">
        <is>
          <t>미실행</t>
        </is>
      </c>
    </row>
    <row r="274">
      <c r="A274" s="13" t="inlineStr">
        <is>
          <t>화면</t>
        </is>
      </c>
      <c r="B274" s="13" t="inlineStr">
        <is>
          <t>SEARCH-01</t>
        </is>
      </c>
      <c r="C274" s="13" t="inlineStr">
        <is>
          <t>TC-SEARCH-01-02</t>
        </is>
      </c>
      <c r="D274" s="13" t="inlineStr">
        <is>
          <t>기능</t>
        </is>
      </c>
      <c r="E274" s="13" t="inlineStr">
        <is>
          <t>미실행</t>
        </is>
      </c>
    </row>
    <row r="275">
      <c r="A275" s="13" t="inlineStr">
        <is>
          <t>요건</t>
        </is>
      </c>
      <c r="B275" s="13" t="inlineStr">
        <is>
          <t>V-6</t>
        </is>
      </c>
      <c r="C275" s="13" t="inlineStr">
        <is>
          <t>TC-SEARCH-01-02</t>
        </is>
      </c>
      <c r="D275" s="13" t="inlineStr">
        <is>
          <t>기능</t>
        </is>
      </c>
      <c r="E275" s="13" t="inlineStr">
        <is>
          <t>미실행</t>
        </is>
      </c>
    </row>
    <row r="276">
      <c r="A276" s="13" t="inlineStr">
        <is>
          <t>화면</t>
        </is>
      </c>
      <c r="B276" s="13" t="inlineStr">
        <is>
          <t>SEARCH-01</t>
        </is>
      </c>
      <c r="C276" s="13" t="inlineStr">
        <is>
          <t>TC-SEARCH-01-03</t>
        </is>
      </c>
      <c r="D276" s="13" t="inlineStr">
        <is>
          <t>기능</t>
        </is>
      </c>
      <c r="E276" s="13" t="inlineStr">
        <is>
          <t>미실행</t>
        </is>
      </c>
    </row>
    <row r="277">
      <c r="A277" s="13" t="inlineStr">
        <is>
          <t>요건</t>
        </is>
      </c>
      <c r="B277" s="13" t="inlineStr">
        <is>
          <t>V-6</t>
        </is>
      </c>
      <c r="C277" s="13" t="inlineStr">
        <is>
          <t>TC-SEARCH-01-03</t>
        </is>
      </c>
      <c r="D277" s="13" t="inlineStr">
        <is>
          <t>기능</t>
        </is>
      </c>
      <c r="E277" s="13" t="inlineStr">
        <is>
          <t>미실행</t>
        </is>
      </c>
    </row>
    <row r="278">
      <c r="A278" s="13" t="inlineStr">
        <is>
          <t>화면</t>
        </is>
      </c>
      <c r="B278" s="13" t="inlineStr">
        <is>
          <t>SEARCH-01</t>
        </is>
      </c>
      <c r="C278" s="13" t="inlineStr">
        <is>
          <t>TC-SEARCH-01-04</t>
        </is>
      </c>
      <c r="D278" s="13" t="inlineStr">
        <is>
          <t>기능</t>
        </is>
      </c>
      <c r="E278" s="13" t="inlineStr">
        <is>
          <t>미실행</t>
        </is>
      </c>
    </row>
    <row r="279">
      <c r="A279" s="13" t="inlineStr">
        <is>
          <t>요건</t>
        </is>
      </c>
      <c r="B279" s="13" t="inlineStr">
        <is>
          <t>FR-R11</t>
        </is>
      </c>
      <c r="C279" s="13" t="inlineStr">
        <is>
          <t>TC-SEARCH-01-04</t>
        </is>
      </c>
      <c r="D279" s="13" t="inlineStr">
        <is>
          <t>기능</t>
        </is>
      </c>
      <c r="E279" s="13" t="inlineStr">
        <is>
          <t>미실행</t>
        </is>
      </c>
    </row>
    <row r="280">
      <c r="A280" s="13" t="inlineStr">
        <is>
          <t>요건</t>
        </is>
      </c>
      <c r="B280" s="13" t="inlineStr">
        <is>
          <t>V-6</t>
        </is>
      </c>
      <c r="C280" s="13" t="inlineStr">
        <is>
          <t>TC-SEARCH-01-04</t>
        </is>
      </c>
      <c r="D280" s="13" t="inlineStr">
        <is>
          <t>기능</t>
        </is>
      </c>
      <c r="E280" s="13" t="inlineStr">
        <is>
          <t>미실행</t>
        </is>
      </c>
    </row>
    <row r="281">
      <c r="A281" s="13" t="inlineStr">
        <is>
          <t>화면</t>
        </is>
      </c>
      <c r="B281" s="13" t="inlineStr">
        <is>
          <t>SEARCH-01</t>
        </is>
      </c>
      <c r="C281" s="13" t="inlineStr">
        <is>
          <t>TC-SEARCH-01-05</t>
        </is>
      </c>
      <c r="D281" s="13" t="inlineStr">
        <is>
          <t>기능</t>
        </is>
      </c>
      <c r="E281" s="13" t="inlineStr">
        <is>
          <t>미실행</t>
        </is>
      </c>
    </row>
    <row r="282">
      <c r="A282" s="13" t="inlineStr">
        <is>
          <t>요건</t>
        </is>
      </c>
      <c r="B282" s="13" t="inlineStr">
        <is>
          <t>FR-R11</t>
        </is>
      </c>
      <c r="C282" s="13" t="inlineStr">
        <is>
          <t>TC-SEARCH-01-05</t>
        </is>
      </c>
      <c r="D282" s="13" t="inlineStr">
        <is>
          <t>기능</t>
        </is>
      </c>
      <c r="E282" s="13" t="inlineStr">
        <is>
          <t>미실행</t>
        </is>
      </c>
    </row>
    <row r="283">
      <c r="A283" s="13" t="inlineStr">
        <is>
          <t>요건</t>
        </is>
      </c>
      <c r="B283" s="13" t="inlineStr">
        <is>
          <t>V-5</t>
        </is>
      </c>
      <c r="C283" s="13" t="inlineStr">
        <is>
          <t>TC-SEARCH-01-05</t>
        </is>
      </c>
      <c r="D283" s="13" t="inlineStr">
        <is>
          <t>기능</t>
        </is>
      </c>
      <c r="E283" s="13" t="inlineStr">
        <is>
          <t>미실행</t>
        </is>
      </c>
    </row>
    <row r="284">
      <c r="A284" s="13" t="inlineStr">
        <is>
          <t>화면</t>
        </is>
      </c>
      <c r="B284" s="13" t="inlineStr">
        <is>
          <t>SEARCH-01</t>
        </is>
      </c>
      <c r="C284" s="13" t="inlineStr">
        <is>
          <t>TC-SEARCH-01-06</t>
        </is>
      </c>
      <c r="D284" s="13" t="inlineStr">
        <is>
          <t>접근성</t>
        </is>
      </c>
      <c r="E284" s="13" t="inlineStr">
        <is>
          <t>미실행</t>
        </is>
      </c>
    </row>
    <row r="285">
      <c r="A285" s="13" t="inlineStr">
        <is>
          <t>요건</t>
        </is>
      </c>
      <c r="B285" s="13" t="inlineStr">
        <is>
          <t>V-3</t>
        </is>
      </c>
      <c r="C285" s="13" t="inlineStr">
        <is>
          <t>TC-SEARCH-01-06</t>
        </is>
      </c>
      <c r="D285" s="13" t="inlineStr">
        <is>
          <t>접근성</t>
        </is>
      </c>
      <c r="E285" s="13" t="inlineStr">
        <is>
          <t>미실행</t>
        </is>
      </c>
    </row>
    <row r="286">
      <c r="A286" s="13" t="inlineStr">
        <is>
          <t>화면</t>
        </is>
      </c>
      <c r="B286" s="13" t="inlineStr">
        <is>
          <t>SEARCH-01</t>
        </is>
      </c>
      <c r="C286" s="13" t="inlineStr">
        <is>
          <t>TC-SEARCH-01-07</t>
        </is>
      </c>
      <c r="D286" s="13" t="inlineStr">
        <is>
          <t>기능</t>
        </is>
      </c>
      <c r="E286" s="13" t="inlineStr">
        <is>
          <t>미실행</t>
        </is>
      </c>
    </row>
    <row r="287">
      <c r="A287" s="13" t="inlineStr">
        <is>
          <t>요건</t>
        </is>
      </c>
      <c r="B287" s="13" t="inlineStr">
        <is>
          <t>V-6</t>
        </is>
      </c>
      <c r="C287" s="13" t="inlineStr">
        <is>
          <t>TC-SEARCH-01-07</t>
        </is>
      </c>
      <c r="D287" s="13" t="inlineStr">
        <is>
          <t>기능</t>
        </is>
      </c>
      <c r="E287" s="13" t="inlineStr">
        <is>
          <t>미실행</t>
        </is>
      </c>
    </row>
    <row r="288">
      <c r="A288" s="13" t="inlineStr">
        <is>
          <t>화면</t>
        </is>
      </c>
      <c r="B288" s="13" t="inlineStr">
        <is>
          <t>SEARCH-01</t>
        </is>
      </c>
      <c r="C288" s="13" t="inlineStr">
        <is>
          <t>TC-SEARCH-01-08</t>
        </is>
      </c>
      <c r="D288" s="13" t="inlineStr">
        <is>
          <t>접근성</t>
        </is>
      </c>
      <c r="E288" s="13" t="inlineStr">
        <is>
          <t>미실행</t>
        </is>
      </c>
    </row>
    <row r="289">
      <c r="A289" s="13" t="inlineStr">
        <is>
          <t>요건</t>
        </is>
      </c>
      <c r="B289" s="13" t="inlineStr">
        <is>
          <t>V-6</t>
        </is>
      </c>
      <c r="C289" s="13" t="inlineStr">
        <is>
          <t>TC-SEARCH-01-08</t>
        </is>
      </c>
      <c r="D289" s="13" t="inlineStr">
        <is>
          <t>접근성</t>
        </is>
      </c>
      <c r="E289" s="13" t="inlineStr">
        <is>
          <t>미실행</t>
        </is>
      </c>
    </row>
    <row r="290">
      <c r="A290" s="13" t="inlineStr">
        <is>
          <t>요건</t>
        </is>
      </c>
      <c r="B290" s="13" t="inlineStr">
        <is>
          <t>AC-05</t>
        </is>
      </c>
      <c r="C290" s="13" t="inlineStr">
        <is>
          <t>TC-SEARCH-01-08</t>
        </is>
      </c>
      <c r="D290" s="13" t="inlineStr">
        <is>
          <t>접근성</t>
        </is>
      </c>
      <c r="E290" s="13" t="inlineStr">
        <is>
          <t>미실행</t>
        </is>
      </c>
    </row>
    <row r="291">
      <c r="A291" s="13" t="inlineStr">
        <is>
          <t>화면</t>
        </is>
      </c>
      <c r="B291" s="13" t="inlineStr">
        <is>
          <t>SEARCH-01</t>
        </is>
      </c>
      <c r="C291" s="13" t="inlineStr">
        <is>
          <t>TC-SEARCH-01-09</t>
        </is>
      </c>
      <c r="D291" s="13" t="inlineStr">
        <is>
          <t>접근성</t>
        </is>
      </c>
      <c r="E291" s="13" t="inlineStr">
        <is>
          <t>미실행</t>
        </is>
      </c>
    </row>
    <row r="292">
      <c r="A292" s="13" t="inlineStr">
        <is>
          <t>요건</t>
        </is>
      </c>
      <c r="B292" s="13" t="inlineStr">
        <is>
          <t>V-1</t>
        </is>
      </c>
      <c r="C292" s="13" t="inlineStr">
        <is>
          <t>TC-SEARCH-01-09</t>
        </is>
      </c>
      <c r="D292" s="13" t="inlineStr">
        <is>
          <t>접근성</t>
        </is>
      </c>
      <c r="E292" s="13" t="inlineStr">
        <is>
          <t>미실행</t>
        </is>
      </c>
    </row>
    <row r="293">
      <c r="A293" s="13" t="inlineStr">
        <is>
          <t>요건</t>
        </is>
      </c>
      <c r="B293" s="13" t="inlineStr">
        <is>
          <t>AC-05</t>
        </is>
      </c>
      <c r="C293" s="13" t="inlineStr">
        <is>
          <t>TC-SEARCH-01-09</t>
        </is>
      </c>
      <c r="D293" s="13" t="inlineStr">
        <is>
          <t>접근성</t>
        </is>
      </c>
      <c r="E293" s="13" t="inlineStr">
        <is>
          <t>미실행</t>
        </is>
      </c>
    </row>
    <row r="294">
      <c r="A294" s="13" t="inlineStr">
        <is>
          <t>화면</t>
        </is>
      </c>
      <c r="B294" s="13" t="inlineStr">
        <is>
          <t>SEARCH-01</t>
        </is>
      </c>
      <c r="C294" s="13" t="inlineStr">
        <is>
          <t>TC-SEARCH-01-10</t>
        </is>
      </c>
      <c r="D294" s="13" t="inlineStr">
        <is>
          <t>기능</t>
        </is>
      </c>
      <c r="E294" s="13" t="inlineStr">
        <is>
          <t>미실행</t>
        </is>
      </c>
    </row>
    <row r="295">
      <c r="A295" s="13" t="inlineStr">
        <is>
          <t>요건</t>
        </is>
      </c>
      <c r="B295" s="13" t="inlineStr">
        <is>
          <t>V-1</t>
        </is>
      </c>
      <c r="C295" s="13" t="inlineStr">
        <is>
          <t>TC-SEARCH-01-10</t>
        </is>
      </c>
      <c r="D295" s="13" t="inlineStr">
        <is>
          <t>기능</t>
        </is>
      </c>
      <c r="E295" s="13" t="inlineStr">
        <is>
          <t>미실행</t>
        </is>
      </c>
    </row>
    <row r="296">
      <c r="A296" s="13" t="inlineStr">
        <is>
          <t>화면</t>
        </is>
      </c>
      <c r="B296" s="13" t="inlineStr">
        <is>
          <t>SEARCH-01</t>
        </is>
      </c>
      <c r="C296" s="13" t="inlineStr">
        <is>
          <t>TC-SEARCH-01-11</t>
        </is>
      </c>
      <c r="D296" s="13" t="inlineStr">
        <is>
          <t>접근성</t>
        </is>
      </c>
      <c r="E296" s="13" t="inlineStr">
        <is>
          <t>보류</t>
        </is>
      </c>
    </row>
    <row r="297">
      <c r="A297" s="13" t="inlineStr">
        <is>
          <t>요건</t>
        </is>
      </c>
      <c r="B297" s="13" t="inlineStr">
        <is>
          <t>V-1</t>
        </is>
      </c>
      <c r="C297" s="13" t="inlineStr">
        <is>
          <t>TC-SEARCH-01-11</t>
        </is>
      </c>
      <c r="D297" s="13" t="inlineStr">
        <is>
          <t>접근성</t>
        </is>
      </c>
      <c r="E297" s="13" t="inlineStr">
        <is>
          <t>보류</t>
        </is>
      </c>
    </row>
    <row r="298">
      <c r="A298" s="13" t="inlineStr">
        <is>
          <t>요건</t>
        </is>
      </c>
      <c r="B298" s="13" t="inlineStr">
        <is>
          <t>AC-05</t>
        </is>
      </c>
      <c r="C298" s="13" t="inlineStr">
        <is>
          <t>TC-SEARCH-01-11</t>
        </is>
      </c>
      <c r="D298" s="13" t="inlineStr">
        <is>
          <t>접근성</t>
        </is>
      </c>
      <c r="E298" s="13" t="inlineStr">
        <is>
          <t>보류</t>
        </is>
      </c>
    </row>
    <row r="299">
      <c r="A299" s="13" t="inlineStr">
        <is>
          <t>화면</t>
        </is>
      </c>
      <c r="B299" s="13" t="inlineStr">
        <is>
          <t>SEARCH-01</t>
        </is>
      </c>
      <c r="C299" s="13" t="inlineStr">
        <is>
          <t>TC-SEARCH-01-12</t>
        </is>
      </c>
      <c r="D299" s="13" t="inlineStr">
        <is>
          <t>비기능</t>
        </is>
      </c>
      <c r="E299" s="13" t="inlineStr">
        <is>
          <t>미실행</t>
        </is>
      </c>
    </row>
    <row r="300">
      <c r="A300" s="13" t="inlineStr">
        <is>
          <t>요건</t>
        </is>
      </c>
      <c r="B300" s="13" t="inlineStr">
        <is>
          <t>NFR-02</t>
        </is>
      </c>
      <c r="C300" s="13" t="inlineStr">
        <is>
          <t>TC-SEARCH-01-12</t>
        </is>
      </c>
      <c r="D300" s="13" t="inlineStr">
        <is>
          <t>비기능</t>
        </is>
      </c>
      <c r="E300" s="13" t="inlineStr">
        <is>
          <t>미실행</t>
        </is>
      </c>
    </row>
    <row r="301">
      <c r="A301" s="13" t="inlineStr">
        <is>
          <t>화면</t>
        </is>
      </c>
      <c r="B301" s="13" t="inlineStr">
        <is>
          <t>SEARCH-01</t>
        </is>
      </c>
      <c r="C301" s="13" t="inlineStr">
        <is>
          <t>TC-SEARCH-01-13</t>
        </is>
      </c>
      <c r="D301" s="13" t="inlineStr">
        <is>
          <t>비기능</t>
        </is>
      </c>
      <c r="E301" s="13" t="inlineStr">
        <is>
          <t>미실행</t>
        </is>
      </c>
    </row>
    <row r="302">
      <c r="A302" s="13" t="inlineStr">
        <is>
          <t>요건</t>
        </is>
      </c>
      <c r="B302" s="13" t="inlineStr">
        <is>
          <t>AC-06</t>
        </is>
      </c>
      <c r="C302" s="13" t="inlineStr">
        <is>
          <t>TC-SEARCH-01-13</t>
        </is>
      </c>
      <c r="D302" s="13" t="inlineStr">
        <is>
          <t>비기능</t>
        </is>
      </c>
      <c r="E302" s="13" t="inlineStr">
        <is>
          <t>미실행</t>
        </is>
      </c>
    </row>
    <row r="303">
      <c r="A303" s="13" t="inlineStr">
        <is>
          <t>요건</t>
        </is>
      </c>
      <c r="B303" s="13" t="inlineStr">
        <is>
          <t>T-4</t>
        </is>
      </c>
      <c r="C303" s="13" t="inlineStr">
        <is>
          <t>TC-SEARCH-01-13</t>
        </is>
      </c>
      <c r="D303" s="13" t="inlineStr">
        <is>
          <t>비기능</t>
        </is>
      </c>
      <c r="E303" s="13" t="inlineStr">
        <is>
          <t>미실행</t>
        </is>
      </c>
    </row>
    <row r="304">
      <c r="A304" s="13" t="inlineStr">
        <is>
          <t>화면</t>
        </is>
      </c>
      <c r="B304" s="13" t="inlineStr">
        <is>
          <t>SEARCH-02</t>
        </is>
      </c>
      <c r="C304" s="13" t="inlineStr">
        <is>
          <t>TC-SEARCH-02-01</t>
        </is>
      </c>
      <c r="D304" s="13" t="inlineStr">
        <is>
          <t>기능</t>
        </is>
      </c>
      <c r="E304" s="13" t="inlineStr">
        <is>
          <t>미실행</t>
        </is>
      </c>
    </row>
    <row r="305">
      <c r="A305" s="13" t="inlineStr">
        <is>
          <t>요건</t>
        </is>
      </c>
      <c r="B305" s="13" t="inlineStr">
        <is>
          <t>SC-03</t>
        </is>
      </c>
      <c r="C305" s="13" t="inlineStr">
        <is>
          <t>TC-SEARCH-02-01</t>
        </is>
      </c>
      <c r="D305" s="13" t="inlineStr">
        <is>
          <t>기능</t>
        </is>
      </c>
      <c r="E305" s="13" t="inlineStr">
        <is>
          <t>미실행</t>
        </is>
      </c>
    </row>
    <row r="306">
      <c r="A306" s="13" t="inlineStr">
        <is>
          <t>화면</t>
        </is>
      </c>
      <c r="B306" s="13" t="inlineStr">
        <is>
          <t>SEARCH-02</t>
        </is>
      </c>
      <c r="C306" s="13" t="inlineStr">
        <is>
          <t>TC-SEARCH-02-02</t>
        </is>
      </c>
      <c r="D306" s="13" t="inlineStr">
        <is>
          <t>기능</t>
        </is>
      </c>
      <c r="E306" s="13" t="inlineStr">
        <is>
          <t>미실행</t>
        </is>
      </c>
    </row>
    <row r="307">
      <c r="A307" s="13" t="inlineStr">
        <is>
          <t>요건</t>
        </is>
      </c>
      <c r="B307" s="13" t="inlineStr">
        <is>
          <t>V-4</t>
        </is>
      </c>
      <c r="C307" s="13" t="inlineStr">
        <is>
          <t>TC-SEARCH-02-02</t>
        </is>
      </c>
      <c r="D307" s="13" t="inlineStr">
        <is>
          <t>기능</t>
        </is>
      </c>
      <c r="E307" s="13" t="inlineStr">
        <is>
          <t>미실행</t>
        </is>
      </c>
    </row>
    <row r="308">
      <c r="A308" s="13" t="inlineStr">
        <is>
          <t>요건</t>
        </is>
      </c>
      <c r="B308" s="13" t="inlineStr">
        <is>
          <t>SC-03</t>
        </is>
      </c>
      <c r="C308" s="13" t="inlineStr">
        <is>
          <t>TC-SEARCH-02-02</t>
        </is>
      </c>
      <c r="D308" s="13" t="inlineStr">
        <is>
          <t>기능</t>
        </is>
      </c>
      <c r="E308" s="13" t="inlineStr">
        <is>
          <t>미실행</t>
        </is>
      </c>
    </row>
    <row r="309">
      <c r="A309" s="13" t="inlineStr">
        <is>
          <t>화면</t>
        </is>
      </c>
      <c r="B309" s="13" t="inlineStr">
        <is>
          <t>SEARCH-02</t>
        </is>
      </c>
      <c r="C309" s="13" t="inlineStr">
        <is>
          <t>TC-SEARCH-02-03</t>
        </is>
      </c>
      <c r="D309" s="13" t="inlineStr">
        <is>
          <t>접근성</t>
        </is>
      </c>
      <c r="E309" s="13" t="inlineStr">
        <is>
          <t>미실행</t>
        </is>
      </c>
    </row>
    <row r="310">
      <c r="A310" s="13" t="inlineStr">
        <is>
          <t>요건</t>
        </is>
      </c>
      <c r="B310" s="13" t="inlineStr">
        <is>
          <t>V-4</t>
        </is>
      </c>
      <c r="C310" s="13" t="inlineStr">
        <is>
          <t>TC-SEARCH-02-03</t>
        </is>
      </c>
      <c r="D310" s="13" t="inlineStr">
        <is>
          <t>접근성</t>
        </is>
      </c>
      <c r="E310" s="13" t="inlineStr">
        <is>
          <t>미실행</t>
        </is>
      </c>
    </row>
    <row r="311">
      <c r="A311" s="13" t="inlineStr">
        <is>
          <t>요건</t>
        </is>
      </c>
      <c r="B311" s="13" t="inlineStr">
        <is>
          <t>AC-05</t>
        </is>
      </c>
      <c r="C311" s="13" t="inlineStr">
        <is>
          <t>TC-SEARCH-02-03</t>
        </is>
      </c>
      <c r="D311" s="13" t="inlineStr">
        <is>
          <t>접근성</t>
        </is>
      </c>
      <c r="E311" s="13" t="inlineStr">
        <is>
          <t>미실행</t>
        </is>
      </c>
    </row>
    <row r="312">
      <c r="A312" s="13" t="inlineStr">
        <is>
          <t>화면</t>
        </is>
      </c>
      <c r="B312" s="13" t="inlineStr">
        <is>
          <t>SEARCH-02</t>
        </is>
      </c>
      <c r="C312" s="13" t="inlineStr">
        <is>
          <t>TC-SEARCH-02-04</t>
        </is>
      </c>
      <c r="D312" s="13" t="inlineStr">
        <is>
          <t>기능</t>
        </is>
      </c>
      <c r="E312" s="13" t="inlineStr">
        <is>
          <t>미실행</t>
        </is>
      </c>
    </row>
    <row r="313">
      <c r="A313" s="13" t="inlineStr">
        <is>
          <t>요건</t>
        </is>
      </c>
      <c r="B313" s="13" t="inlineStr">
        <is>
          <t>SC-03</t>
        </is>
      </c>
      <c r="C313" s="13" t="inlineStr">
        <is>
          <t>TC-SEARCH-02-04</t>
        </is>
      </c>
      <c r="D313" s="13" t="inlineStr">
        <is>
          <t>기능</t>
        </is>
      </c>
      <c r="E313" s="13" t="inlineStr">
        <is>
          <t>미실행</t>
        </is>
      </c>
    </row>
    <row r="314">
      <c r="A314" s="13" t="inlineStr">
        <is>
          <t>화면</t>
        </is>
      </c>
      <c r="B314" s="13" t="inlineStr">
        <is>
          <t>SEARCH-02</t>
        </is>
      </c>
      <c r="C314" s="13" t="inlineStr">
        <is>
          <t>TC-SEARCH-02-05</t>
        </is>
      </c>
      <c r="D314" s="13" t="inlineStr">
        <is>
          <t>접근성</t>
        </is>
      </c>
      <c r="E314" s="13" t="inlineStr">
        <is>
          <t>미실행</t>
        </is>
      </c>
    </row>
    <row r="315">
      <c r="A315" s="13" t="inlineStr">
        <is>
          <t>요건</t>
        </is>
      </c>
      <c r="B315" s="13" t="inlineStr">
        <is>
          <t>NFR-04</t>
        </is>
      </c>
      <c r="C315" s="13" t="inlineStr">
        <is>
          <t>TC-SEARCH-02-05</t>
        </is>
      </c>
      <c r="D315" s="13" t="inlineStr">
        <is>
          <t>접근성</t>
        </is>
      </c>
      <c r="E315" s="13" t="inlineStr">
        <is>
          <t>미실행</t>
        </is>
      </c>
    </row>
    <row r="316">
      <c r="A316" s="13" t="inlineStr">
        <is>
          <t>요건</t>
        </is>
      </c>
      <c r="B316" s="13" t="inlineStr">
        <is>
          <t>AC-05</t>
        </is>
      </c>
      <c r="C316" s="13" t="inlineStr">
        <is>
          <t>TC-SEARCH-02-05</t>
        </is>
      </c>
      <c r="D316" s="13" t="inlineStr">
        <is>
          <t>접근성</t>
        </is>
      </c>
      <c r="E316" s="13" t="inlineStr">
        <is>
          <t>미실행</t>
        </is>
      </c>
    </row>
    <row r="317">
      <c r="A317" s="13" t="inlineStr">
        <is>
          <t>화면</t>
        </is>
      </c>
      <c r="B317" s="13" t="inlineStr">
        <is>
          <t>SEARCH-02</t>
        </is>
      </c>
      <c r="C317" s="13" t="inlineStr">
        <is>
          <t>TC-SEARCH-02-06</t>
        </is>
      </c>
      <c r="D317" s="13" t="inlineStr">
        <is>
          <t>접근성</t>
        </is>
      </c>
      <c r="E317" s="13" t="inlineStr">
        <is>
          <t>미실행</t>
        </is>
      </c>
    </row>
    <row r="318">
      <c r="A318" s="13" t="inlineStr">
        <is>
          <t>요건</t>
        </is>
      </c>
      <c r="B318" s="13" t="inlineStr">
        <is>
          <t>NFR-04</t>
        </is>
      </c>
      <c r="C318" s="13" t="inlineStr">
        <is>
          <t>TC-SEARCH-02-06</t>
        </is>
      </c>
      <c r="D318" s="13" t="inlineStr">
        <is>
          <t>접근성</t>
        </is>
      </c>
      <c r="E318" s="13" t="inlineStr">
        <is>
          <t>미실행</t>
        </is>
      </c>
    </row>
    <row r="319">
      <c r="A319" s="13" t="inlineStr">
        <is>
          <t>화면</t>
        </is>
      </c>
      <c r="B319" s="13" t="inlineStr">
        <is>
          <t>SEARCH-02</t>
        </is>
      </c>
      <c r="C319" s="13" t="inlineStr">
        <is>
          <t>TC-SEARCH-02-07</t>
        </is>
      </c>
      <c r="D319" s="13" t="inlineStr">
        <is>
          <t>기능</t>
        </is>
      </c>
      <c r="E319" s="13" t="inlineStr">
        <is>
          <t>미실행</t>
        </is>
      </c>
    </row>
    <row r="320">
      <c r="A320" s="13" t="inlineStr">
        <is>
          <t>요건</t>
        </is>
      </c>
      <c r="B320" s="13" t="inlineStr">
        <is>
          <t>FR-R11</t>
        </is>
      </c>
      <c r="C320" s="13" t="inlineStr">
        <is>
          <t>TC-SEARCH-02-07</t>
        </is>
      </c>
      <c r="D320" s="13" t="inlineStr">
        <is>
          <t>기능</t>
        </is>
      </c>
      <c r="E320" s="13" t="inlineStr">
        <is>
          <t>미실행</t>
        </is>
      </c>
    </row>
    <row r="321">
      <c r="A321" s="13" t="inlineStr">
        <is>
          <t>화면</t>
        </is>
      </c>
      <c r="B321" s="13" t="inlineStr">
        <is>
          <t>SEARCH-02</t>
        </is>
      </c>
      <c r="C321" s="13" t="inlineStr">
        <is>
          <t>TC-SEARCH-02-08</t>
        </is>
      </c>
      <c r="D321" s="13" t="inlineStr">
        <is>
          <t>기능</t>
        </is>
      </c>
      <c r="E321" s="13" t="inlineStr">
        <is>
          <t>미실행</t>
        </is>
      </c>
    </row>
    <row r="322">
      <c r="A322" s="13" t="inlineStr">
        <is>
          <t>요건</t>
        </is>
      </c>
      <c r="B322" s="13" t="inlineStr">
        <is>
          <t>V-6</t>
        </is>
      </c>
      <c r="C322" s="13" t="inlineStr">
        <is>
          <t>TC-SEARCH-02-08</t>
        </is>
      </c>
      <c r="D322" s="13" t="inlineStr">
        <is>
          <t>기능</t>
        </is>
      </c>
      <c r="E322" s="13" t="inlineStr">
        <is>
          <t>미실행</t>
        </is>
      </c>
    </row>
    <row r="323">
      <c r="A323" s="13" t="inlineStr">
        <is>
          <t>화면</t>
        </is>
      </c>
      <c r="B323" s="13" t="inlineStr">
        <is>
          <t>SEARCH-02</t>
        </is>
      </c>
      <c r="C323" s="13" t="inlineStr">
        <is>
          <t>TC-SEARCH-02-09</t>
        </is>
      </c>
      <c r="D323" s="13" t="inlineStr">
        <is>
          <t>접근성</t>
        </is>
      </c>
      <c r="E323" s="13" t="inlineStr">
        <is>
          <t>미실행</t>
        </is>
      </c>
    </row>
    <row r="324">
      <c r="A324" s="13" t="inlineStr">
        <is>
          <t>요건</t>
        </is>
      </c>
      <c r="B324" s="13" t="inlineStr">
        <is>
          <t>NFR-05</t>
        </is>
      </c>
      <c r="C324" s="13" t="inlineStr">
        <is>
          <t>TC-SEARCH-02-09</t>
        </is>
      </c>
      <c r="D324" s="13" t="inlineStr">
        <is>
          <t>접근성</t>
        </is>
      </c>
      <c r="E324" s="13" t="inlineStr">
        <is>
          <t>미실행</t>
        </is>
      </c>
    </row>
    <row r="325">
      <c r="A325" s="13" t="inlineStr">
        <is>
          <t>요건</t>
        </is>
      </c>
      <c r="B325" s="13" t="inlineStr">
        <is>
          <t>AC-05</t>
        </is>
      </c>
      <c r="C325" s="13" t="inlineStr">
        <is>
          <t>TC-SEARCH-02-09</t>
        </is>
      </c>
      <c r="D325" s="13" t="inlineStr">
        <is>
          <t>접근성</t>
        </is>
      </c>
      <c r="E325" s="13" t="inlineStr">
        <is>
          <t>미실행</t>
        </is>
      </c>
    </row>
    <row r="326">
      <c r="A326" s="13" t="inlineStr">
        <is>
          <t>화면</t>
        </is>
      </c>
      <c r="B326" s="13" t="inlineStr">
        <is>
          <t>SEARCH-02</t>
        </is>
      </c>
      <c r="C326" s="13" t="inlineStr">
        <is>
          <t>TC-SEARCH-02-10</t>
        </is>
      </c>
      <c r="D326" s="13" t="inlineStr">
        <is>
          <t>비기능</t>
        </is>
      </c>
      <c r="E326" s="13" t="inlineStr">
        <is>
          <t>미실행</t>
        </is>
      </c>
    </row>
    <row r="327">
      <c r="A327" s="13" t="inlineStr">
        <is>
          <t>요건</t>
        </is>
      </c>
      <c r="B327" s="13" t="inlineStr">
        <is>
          <t>C-4</t>
        </is>
      </c>
      <c r="C327" s="13" t="inlineStr">
        <is>
          <t>TC-SEARCH-02-10</t>
        </is>
      </c>
      <c r="D327" s="13" t="inlineStr">
        <is>
          <t>비기능</t>
        </is>
      </c>
      <c r="E327" s="13" t="inlineStr">
        <is>
          <t>미실행</t>
        </is>
      </c>
    </row>
    <row r="328">
      <c r="A328" s="13" t="inlineStr">
        <is>
          <t>화면</t>
        </is>
      </c>
      <c r="B328" s="13" t="inlineStr">
        <is>
          <t>SEARCH-02</t>
        </is>
      </c>
      <c r="C328" s="13" t="inlineStr">
        <is>
          <t>TC-SEARCH-02-11</t>
        </is>
      </c>
      <c r="D328" s="13" t="inlineStr">
        <is>
          <t>접근성</t>
        </is>
      </c>
      <c r="E328" s="13" t="inlineStr">
        <is>
          <t>미실행</t>
        </is>
      </c>
    </row>
    <row r="329">
      <c r="A329" s="13" t="inlineStr">
        <is>
          <t>요건</t>
        </is>
      </c>
      <c r="B329" s="13" t="inlineStr">
        <is>
          <t>V-10</t>
        </is>
      </c>
      <c r="C329" s="13" t="inlineStr">
        <is>
          <t>TC-SEARCH-02-11</t>
        </is>
      </c>
      <c r="D329" s="13" t="inlineStr">
        <is>
          <t>접근성</t>
        </is>
      </c>
      <c r="E329" s="13" t="inlineStr">
        <is>
          <t>미실행</t>
        </is>
      </c>
    </row>
    <row r="330">
      <c r="A330" s="13" t="inlineStr">
        <is>
          <t>화면</t>
        </is>
      </c>
      <c r="B330" s="13" t="inlineStr">
        <is>
          <t>SEARCH-02</t>
        </is>
      </c>
      <c r="C330" s="13" t="inlineStr">
        <is>
          <t>TC-SEARCH-02-12</t>
        </is>
      </c>
      <c r="D330" s="13" t="inlineStr">
        <is>
          <t>접근성</t>
        </is>
      </c>
      <c r="E330" s="13" t="inlineStr">
        <is>
          <t>보류</t>
        </is>
      </c>
    </row>
    <row r="331">
      <c r="A331" s="13" t="inlineStr">
        <is>
          <t>요건</t>
        </is>
      </c>
      <c r="B331" s="13" t="inlineStr">
        <is>
          <t>NFR-05</t>
        </is>
      </c>
      <c r="C331" s="13" t="inlineStr">
        <is>
          <t>TC-SEARCH-02-12</t>
        </is>
      </c>
      <c r="D331" s="13" t="inlineStr">
        <is>
          <t>접근성</t>
        </is>
      </c>
      <c r="E331" s="13" t="inlineStr">
        <is>
          <t>보류</t>
        </is>
      </c>
    </row>
    <row r="332">
      <c r="A332" s="13" t="inlineStr">
        <is>
          <t>화면</t>
        </is>
      </c>
      <c r="B332" s="13" t="inlineStr">
        <is>
          <t>ROUTE-03</t>
        </is>
      </c>
      <c r="C332" s="13" t="inlineStr">
        <is>
          <t>TC-ROUTE-03-01</t>
        </is>
      </c>
      <c r="D332" s="13" t="inlineStr">
        <is>
          <t>기능</t>
        </is>
      </c>
      <c r="E332" s="13" t="inlineStr">
        <is>
          <t>미실행</t>
        </is>
      </c>
    </row>
    <row r="333">
      <c r="A333" s="13" t="inlineStr">
        <is>
          <t>요건</t>
        </is>
      </c>
      <c r="B333" s="13" t="inlineStr">
        <is>
          <t>NFR-05</t>
        </is>
      </c>
      <c r="C333" s="13" t="inlineStr">
        <is>
          <t>TC-ROUTE-03-01</t>
        </is>
      </c>
      <c r="D333" s="13" t="inlineStr">
        <is>
          <t>기능</t>
        </is>
      </c>
      <c r="E333" s="13" t="inlineStr">
        <is>
          <t>미실행</t>
        </is>
      </c>
    </row>
    <row r="334">
      <c r="A334" s="13" t="inlineStr">
        <is>
          <t>화면</t>
        </is>
      </c>
      <c r="B334" s="13" t="inlineStr">
        <is>
          <t>ROUTE-03</t>
        </is>
      </c>
      <c r="C334" s="13" t="inlineStr">
        <is>
          <t>TC-ROUTE-03-02</t>
        </is>
      </c>
      <c r="D334" s="13" t="inlineStr">
        <is>
          <t>시나리오</t>
        </is>
      </c>
      <c r="E334" s="13" t="inlineStr">
        <is>
          <t>미실행</t>
        </is>
      </c>
    </row>
    <row r="335">
      <c r="A335" s="13" t="inlineStr">
        <is>
          <t>요건</t>
        </is>
      </c>
      <c r="B335" s="13" t="inlineStr">
        <is>
          <t>US-02</t>
        </is>
      </c>
      <c r="C335" s="13" t="inlineStr">
        <is>
          <t>TC-ROUTE-03-02</t>
        </is>
      </c>
      <c r="D335" s="13" t="inlineStr">
        <is>
          <t>시나리오</t>
        </is>
      </c>
      <c r="E335" s="13" t="inlineStr">
        <is>
          <t>미실행</t>
        </is>
      </c>
    </row>
    <row r="336">
      <c r="A336" s="13" t="inlineStr">
        <is>
          <t>화면</t>
        </is>
      </c>
      <c r="B336" s="13" t="inlineStr">
        <is>
          <t>ROUTE-03</t>
        </is>
      </c>
      <c r="C336" s="13" t="inlineStr">
        <is>
          <t>TC-ROUTE-03-03</t>
        </is>
      </c>
      <c r="D336" s="13" t="inlineStr">
        <is>
          <t>접근성</t>
        </is>
      </c>
      <c r="E336" s="13" t="inlineStr">
        <is>
          <t>미실행</t>
        </is>
      </c>
    </row>
    <row r="337">
      <c r="A337" s="13" t="inlineStr">
        <is>
          <t>요건</t>
        </is>
      </c>
      <c r="B337" s="13" t="inlineStr">
        <is>
          <t>V-3</t>
        </is>
      </c>
      <c r="C337" s="13" t="inlineStr">
        <is>
          <t>TC-ROUTE-03-03</t>
        </is>
      </c>
      <c r="D337" s="13" t="inlineStr">
        <is>
          <t>접근성</t>
        </is>
      </c>
      <c r="E337" s="13" t="inlineStr">
        <is>
          <t>미실행</t>
        </is>
      </c>
    </row>
    <row r="338">
      <c r="A338" s="13" t="inlineStr">
        <is>
          <t>화면</t>
        </is>
      </c>
      <c r="B338" s="13" t="inlineStr">
        <is>
          <t>ROUTE-03</t>
        </is>
      </c>
      <c r="C338" s="13" t="inlineStr">
        <is>
          <t>TC-ROUTE-03-04</t>
        </is>
      </c>
      <c r="D338" s="13" t="inlineStr">
        <is>
          <t>접근성</t>
        </is>
      </c>
      <c r="E338" s="13" t="inlineStr">
        <is>
          <t>미실행</t>
        </is>
      </c>
    </row>
    <row r="339">
      <c r="A339" s="13" t="inlineStr">
        <is>
          <t>요건</t>
        </is>
      </c>
      <c r="B339" s="13" t="inlineStr">
        <is>
          <t>V-6</t>
        </is>
      </c>
      <c r="C339" s="13" t="inlineStr">
        <is>
          <t>TC-ROUTE-03-04</t>
        </is>
      </c>
      <c r="D339" s="13" t="inlineStr">
        <is>
          <t>접근성</t>
        </is>
      </c>
      <c r="E339" s="13" t="inlineStr">
        <is>
          <t>미실행</t>
        </is>
      </c>
    </row>
    <row r="340">
      <c r="A340" s="13" t="inlineStr">
        <is>
          <t>요건</t>
        </is>
      </c>
      <c r="B340" s="13" t="inlineStr">
        <is>
          <t>NFR-05</t>
        </is>
      </c>
      <c r="C340" s="13" t="inlineStr">
        <is>
          <t>TC-ROUTE-03-04</t>
        </is>
      </c>
      <c r="D340" s="13" t="inlineStr">
        <is>
          <t>접근성</t>
        </is>
      </c>
      <c r="E340" s="13" t="inlineStr">
        <is>
          <t>미실행</t>
        </is>
      </c>
    </row>
    <row r="341">
      <c r="A341" s="13" t="inlineStr">
        <is>
          <t>화면</t>
        </is>
      </c>
      <c r="B341" s="13" t="inlineStr">
        <is>
          <t>ROUTE-03</t>
        </is>
      </c>
      <c r="C341" s="13" t="inlineStr">
        <is>
          <t>TC-ROUTE-03-05</t>
        </is>
      </c>
      <c r="D341" s="13" t="inlineStr">
        <is>
          <t>기능</t>
        </is>
      </c>
      <c r="E341" s="13" t="inlineStr">
        <is>
          <t>미실행</t>
        </is>
      </c>
    </row>
    <row r="342">
      <c r="A342" s="13" t="inlineStr">
        <is>
          <t>요건</t>
        </is>
      </c>
      <c r="B342" s="13" t="inlineStr">
        <is>
          <t>V-6</t>
        </is>
      </c>
      <c r="C342" s="13" t="inlineStr">
        <is>
          <t>TC-ROUTE-03-05</t>
        </is>
      </c>
      <c r="D342" s="13" t="inlineStr">
        <is>
          <t>기능</t>
        </is>
      </c>
      <c r="E342" s="13" t="inlineStr">
        <is>
          <t>미실행</t>
        </is>
      </c>
    </row>
    <row r="343">
      <c r="A343" s="13" t="inlineStr">
        <is>
          <t>화면</t>
        </is>
      </c>
      <c r="B343" s="13" t="inlineStr">
        <is>
          <t>ROUTE-03</t>
        </is>
      </c>
      <c r="C343" s="13" t="inlineStr">
        <is>
          <t>TC-ROUTE-03-06</t>
        </is>
      </c>
      <c r="D343" s="13" t="inlineStr">
        <is>
          <t>기능</t>
        </is>
      </c>
      <c r="E343" s="13" t="inlineStr">
        <is>
          <t>미실행</t>
        </is>
      </c>
    </row>
    <row r="344">
      <c r="A344" s="13" t="inlineStr">
        <is>
          <t>요건</t>
        </is>
      </c>
      <c r="B344" s="13" t="inlineStr">
        <is>
          <t>SC-04</t>
        </is>
      </c>
      <c r="C344" s="13" t="inlineStr">
        <is>
          <t>TC-ROUTE-03-06</t>
        </is>
      </c>
      <c r="D344" s="13" t="inlineStr">
        <is>
          <t>기능</t>
        </is>
      </c>
      <c r="E344" s="13" t="inlineStr">
        <is>
          <t>미실행</t>
        </is>
      </c>
    </row>
    <row r="345">
      <c r="A345" s="13" t="inlineStr">
        <is>
          <t>요건</t>
        </is>
      </c>
      <c r="B345" s="13" t="inlineStr">
        <is>
          <t>MB-5</t>
        </is>
      </c>
      <c r="C345" s="13" t="inlineStr">
        <is>
          <t>TC-ROUTE-03-06</t>
        </is>
      </c>
      <c r="D345" s="13" t="inlineStr">
        <is>
          <t>기능</t>
        </is>
      </c>
      <c r="E345" s="13" t="inlineStr">
        <is>
          <t>미실행</t>
        </is>
      </c>
    </row>
    <row r="346">
      <c r="A346" s="13" t="inlineStr">
        <is>
          <t>화면</t>
        </is>
      </c>
      <c r="B346" s="13" t="inlineStr">
        <is>
          <t>ROUTE-03</t>
        </is>
      </c>
      <c r="C346" s="13" t="inlineStr">
        <is>
          <t>TC-ROUTE-03-07</t>
        </is>
      </c>
      <c r="D346" s="13" t="inlineStr">
        <is>
          <t>접근성</t>
        </is>
      </c>
      <c r="E346" s="13" t="inlineStr">
        <is>
          <t>미실행</t>
        </is>
      </c>
    </row>
    <row r="347">
      <c r="A347" s="13" t="inlineStr">
        <is>
          <t>요건</t>
        </is>
      </c>
      <c r="B347" s="13" t="inlineStr">
        <is>
          <t>V-1</t>
        </is>
      </c>
      <c r="C347" s="13" t="inlineStr">
        <is>
          <t>TC-ROUTE-03-07</t>
        </is>
      </c>
      <c r="D347" s="13" t="inlineStr">
        <is>
          <t>접근성</t>
        </is>
      </c>
      <c r="E347" s="13" t="inlineStr">
        <is>
          <t>미실행</t>
        </is>
      </c>
    </row>
    <row r="348">
      <c r="A348" s="13" t="inlineStr">
        <is>
          <t>요건</t>
        </is>
      </c>
      <c r="B348" s="13" t="inlineStr">
        <is>
          <t>NFR-04</t>
        </is>
      </c>
      <c r="C348" s="13" t="inlineStr">
        <is>
          <t>TC-ROUTE-03-07</t>
        </is>
      </c>
      <c r="D348" s="13" t="inlineStr">
        <is>
          <t>접근성</t>
        </is>
      </c>
      <c r="E348" s="13" t="inlineStr">
        <is>
          <t>미실행</t>
        </is>
      </c>
    </row>
    <row r="349">
      <c r="A349" s="13" t="inlineStr">
        <is>
          <t>화면</t>
        </is>
      </c>
      <c r="B349" s="13" t="inlineStr">
        <is>
          <t>ROUTE-03</t>
        </is>
      </c>
      <c r="C349" s="13" t="inlineStr">
        <is>
          <t>TC-ROUTE-03-08</t>
        </is>
      </c>
      <c r="D349" s="13" t="inlineStr">
        <is>
          <t>접근성</t>
        </is>
      </c>
      <c r="E349" s="13" t="inlineStr">
        <is>
          <t>보류</t>
        </is>
      </c>
    </row>
    <row r="350">
      <c r="A350" s="13" t="inlineStr">
        <is>
          <t>요건</t>
        </is>
      </c>
      <c r="B350" s="13" t="inlineStr">
        <is>
          <t>V-1</t>
        </is>
      </c>
      <c r="C350" s="13" t="inlineStr">
        <is>
          <t>TC-ROUTE-03-08</t>
        </is>
      </c>
      <c r="D350" s="13" t="inlineStr">
        <is>
          <t>접근성</t>
        </is>
      </c>
      <c r="E350" s="13" t="inlineStr">
        <is>
          <t>보류</t>
        </is>
      </c>
    </row>
    <row r="351">
      <c r="A351" s="13" t="inlineStr">
        <is>
          <t>화면</t>
        </is>
      </c>
      <c r="B351" s="13" t="inlineStr">
        <is>
          <t>ROUTE-03</t>
        </is>
      </c>
      <c r="C351" s="13" t="inlineStr">
        <is>
          <t>TC-ROUTE-03-09</t>
        </is>
      </c>
      <c r="D351" s="13" t="inlineStr">
        <is>
          <t>기능</t>
        </is>
      </c>
      <c r="E351" s="13" t="inlineStr">
        <is>
          <t>보류</t>
        </is>
      </c>
    </row>
    <row r="352">
      <c r="A352" s="13" t="inlineStr">
        <is>
          <t>요건</t>
        </is>
      </c>
      <c r="B352" s="13" t="inlineStr">
        <is>
          <t>FR-R10</t>
        </is>
      </c>
      <c r="C352" s="13" t="inlineStr">
        <is>
          <t>TC-ROUTE-03-09</t>
        </is>
      </c>
      <c r="D352" s="13" t="inlineStr">
        <is>
          <t>기능</t>
        </is>
      </c>
      <c r="E352" s="13" t="inlineStr">
        <is>
          <t>보류</t>
        </is>
      </c>
    </row>
    <row r="353">
      <c r="A353" s="13" t="inlineStr">
        <is>
          <t>화면</t>
        </is>
      </c>
      <c r="B353" s="13" t="inlineStr">
        <is>
          <t>ROUTE-03</t>
        </is>
      </c>
      <c r="C353" s="13" t="inlineStr">
        <is>
          <t>TC-ROUTE-03-10</t>
        </is>
      </c>
      <c r="D353" s="13" t="inlineStr">
        <is>
          <t>기능</t>
        </is>
      </c>
      <c r="E353" s="13" t="inlineStr">
        <is>
          <t>보류</t>
        </is>
      </c>
    </row>
    <row r="354">
      <c r="A354" s="13" t="inlineStr">
        <is>
          <t>요건</t>
        </is>
      </c>
      <c r="B354" s="13" t="inlineStr">
        <is>
          <t>MB-2</t>
        </is>
      </c>
      <c r="C354" s="13" t="inlineStr">
        <is>
          <t>TC-ROUTE-03-10</t>
        </is>
      </c>
      <c r="D354" s="13" t="inlineStr">
        <is>
          <t>기능</t>
        </is>
      </c>
      <c r="E354" s="13" t="inlineStr">
        <is>
          <t>보류</t>
        </is>
      </c>
    </row>
    <row r="355">
      <c r="A355" s="13" t="inlineStr">
        <is>
          <t>화면</t>
        </is>
      </c>
      <c r="B355" s="13" t="inlineStr">
        <is>
          <t>ROUTE-03</t>
        </is>
      </c>
      <c r="C355" s="13" t="inlineStr">
        <is>
          <t>TC-ROUTE-03-11</t>
        </is>
      </c>
      <c r="D355" s="13" t="inlineStr">
        <is>
          <t>접근성</t>
        </is>
      </c>
      <c r="E355" s="13" t="inlineStr">
        <is>
          <t>보류</t>
        </is>
      </c>
    </row>
    <row r="356">
      <c r="A356" s="13" t="inlineStr">
        <is>
          <t>요건</t>
        </is>
      </c>
      <c r="B356" s="13" t="inlineStr">
        <is>
          <t>V-1</t>
        </is>
      </c>
      <c r="C356" s="13" t="inlineStr">
        <is>
          <t>TC-ROUTE-03-11</t>
        </is>
      </c>
      <c r="D356" s="13" t="inlineStr">
        <is>
          <t>접근성</t>
        </is>
      </c>
      <c r="E356" s="13" t="inlineStr">
        <is>
          <t>보류</t>
        </is>
      </c>
    </row>
    <row r="357">
      <c r="A357" s="13" t="inlineStr">
        <is>
          <t>요건</t>
        </is>
      </c>
      <c r="B357" s="13" t="inlineStr">
        <is>
          <t>AC-05</t>
        </is>
      </c>
      <c r="C357" s="13" t="inlineStr">
        <is>
          <t>TC-ROUTE-03-11</t>
        </is>
      </c>
      <c r="D357" s="13" t="inlineStr">
        <is>
          <t>접근성</t>
        </is>
      </c>
      <c r="E357" s="13" t="inlineStr">
        <is>
          <t>보류</t>
        </is>
      </c>
    </row>
    <row r="358">
      <c r="A358" s="13" t="inlineStr">
        <is>
          <t>화면</t>
        </is>
      </c>
      <c r="B358" s="13" t="inlineStr">
        <is>
          <t>ONAV-01</t>
        </is>
      </c>
      <c r="C358" s="13" t="inlineStr">
        <is>
          <t>TC-ONAV-01-01</t>
        </is>
      </c>
      <c r="D358" s="13" t="inlineStr">
        <is>
          <t>기능</t>
        </is>
      </c>
      <c r="E358" s="13" t="inlineStr">
        <is>
          <t>미실행</t>
        </is>
      </c>
    </row>
    <row r="359">
      <c r="A359" s="13" t="inlineStr">
        <is>
          <t>요건</t>
        </is>
      </c>
      <c r="B359" s="13" t="inlineStr">
        <is>
          <t>SC-04</t>
        </is>
      </c>
      <c r="C359" s="13" t="inlineStr">
        <is>
          <t>TC-ONAV-01-01</t>
        </is>
      </c>
      <c r="D359" s="13" t="inlineStr">
        <is>
          <t>기능</t>
        </is>
      </c>
      <c r="E359" s="13" t="inlineStr">
        <is>
          <t>미실행</t>
        </is>
      </c>
    </row>
    <row r="360">
      <c r="A360" s="13" t="inlineStr">
        <is>
          <t>요건</t>
        </is>
      </c>
      <c r="B360" s="13" t="inlineStr">
        <is>
          <t>MB-5</t>
        </is>
      </c>
      <c r="C360" s="13" t="inlineStr">
        <is>
          <t>TC-ONAV-01-01</t>
        </is>
      </c>
      <c r="D360" s="13" t="inlineStr">
        <is>
          <t>기능</t>
        </is>
      </c>
      <c r="E360" s="13" t="inlineStr">
        <is>
          <t>미실행</t>
        </is>
      </c>
    </row>
    <row r="361">
      <c r="A361" s="13" t="inlineStr">
        <is>
          <t>화면</t>
        </is>
      </c>
      <c r="B361" s="13" t="inlineStr">
        <is>
          <t>ONAV-01</t>
        </is>
      </c>
      <c r="C361" s="13" t="inlineStr">
        <is>
          <t>TC-ONAV-01-02</t>
        </is>
      </c>
      <c r="D361" s="13" t="inlineStr">
        <is>
          <t>기능</t>
        </is>
      </c>
      <c r="E361" s="13" t="inlineStr">
        <is>
          <t>미실행</t>
        </is>
      </c>
    </row>
    <row r="362">
      <c r="A362" s="13" t="inlineStr">
        <is>
          <t>요건</t>
        </is>
      </c>
      <c r="B362" s="13" t="inlineStr">
        <is>
          <t>SC-04</t>
        </is>
      </c>
      <c r="C362" s="13" t="inlineStr">
        <is>
          <t>TC-ONAV-01-02</t>
        </is>
      </c>
      <c r="D362" s="13" t="inlineStr">
        <is>
          <t>기능</t>
        </is>
      </c>
      <c r="E362" s="13" t="inlineStr">
        <is>
          <t>미실행</t>
        </is>
      </c>
    </row>
    <row r="363">
      <c r="A363" s="13" t="inlineStr">
        <is>
          <t>화면</t>
        </is>
      </c>
      <c r="B363" s="13" t="inlineStr">
        <is>
          <t>ONAV-01</t>
        </is>
      </c>
      <c r="C363" s="13" t="inlineStr">
        <is>
          <t>TC-ONAV-01-03</t>
        </is>
      </c>
      <c r="D363" s="13" t="inlineStr">
        <is>
          <t>기능</t>
        </is>
      </c>
      <c r="E363" s="13" t="inlineStr">
        <is>
          <t>미실행</t>
        </is>
      </c>
    </row>
    <row r="364">
      <c r="A364" s="13" t="inlineStr">
        <is>
          <t>요건</t>
        </is>
      </c>
      <c r="B364" s="13" t="inlineStr">
        <is>
          <t>SC-04</t>
        </is>
      </c>
      <c r="C364" s="13" t="inlineStr">
        <is>
          <t>TC-ONAV-01-03</t>
        </is>
      </c>
      <c r="D364" s="13" t="inlineStr">
        <is>
          <t>기능</t>
        </is>
      </c>
      <c r="E364" s="13" t="inlineStr">
        <is>
          <t>미실행</t>
        </is>
      </c>
    </row>
    <row r="365">
      <c r="A365" s="13" t="inlineStr">
        <is>
          <t>화면</t>
        </is>
      </c>
      <c r="B365" s="13" t="inlineStr">
        <is>
          <t>ONAV-01</t>
        </is>
      </c>
      <c r="C365" s="13" t="inlineStr">
        <is>
          <t>TC-ONAV-01-04</t>
        </is>
      </c>
      <c r="D365" s="13" t="inlineStr">
        <is>
          <t>기능</t>
        </is>
      </c>
      <c r="E365" s="13" t="inlineStr">
        <is>
          <t>미실행</t>
        </is>
      </c>
    </row>
    <row r="366">
      <c r="A366" s="13" t="inlineStr">
        <is>
          <t>요건</t>
        </is>
      </c>
      <c r="B366" s="13" t="inlineStr">
        <is>
          <t>SC-04</t>
        </is>
      </c>
      <c r="C366" s="13" t="inlineStr">
        <is>
          <t>TC-ONAV-01-04</t>
        </is>
      </c>
      <c r="D366" s="13" t="inlineStr">
        <is>
          <t>기능</t>
        </is>
      </c>
      <c r="E366" s="13" t="inlineStr">
        <is>
          <t>미실행</t>
        </is>
      </c>
    </row>
    <row r="367">
      <c r="A367" s="13" t="inlineStr">
        <is>
          <t>요건</t>
        </is>
      </c>
      <c r="B367" s="13" t="inlineStr">
        <is>
          <t>V-6</t>
        </is>
      </c>
      <c r="C367" s="13" t="inlineStr">
        <is>
          <t>TC-ONAV-01-04</t>
        </is>
      </c>
      <c r="D367" s="13" t="inlineStr">
        <is>
          <t>기능</t>
        </is>
      </c>
      <c r="E367" s="13" t="inlineStr">
        <is>
          <t>미실행</t>
        </is>
      </c>
    </row>
    <row r="368">
      <c r="A368" s="13" t="inlineStr">
        <is>
          <t>화면</t>
        </is>
      </c>
      <c r="B368" s="13" t="inlineStr">
        <is>
          <t>ONAV-01</t>
        </is>
      </c>
      <c r="C368" s="13" t="inlineStr">
        <is>
          <t>TC-ONAV-01-05</t>
        </is>
      </c>
      <c r="D368" s="13" t="inlineStr">
        <is>
          <t>기능</t>
        </is>
      </c>
      <c r="E368" s="13" t="inlineStr">
        <is>
          <t>미실행</t>
        </is>
      </c>
    </row>
    <row r="369">
      <c r="A369" s="13" t="inlineStr">
        <is>
          <t>요건</t>
        </is>
      </c>
      <c r="B369" s="13" t="inlineStr">
        <is>
          <t>SC-04</t>
        </is>
      </c>
      <c r="C369" s="13" t="inlineStr">
        <is>
          <t>TC-ONAV-01-05</t>
        </is>
      </c>
      <c r="D369" s="13" t="inlineStr">
        <is>
          <t>기능</t>
        </is>
      </c>
      <c r="E369" s="13" t="inlineStr">
        <is>
          <t>미실행</t>
        </is>
      </c>
    </row>
    <row r="370">
      <c r="A370" s="13" t="inlineStr">
        <is>
          <t>화면</t>
        </is>
      </c>
      <c r="B370" s="13" t="inlineStr">
        <is>
          <t>ONAV-01</t>
        </is>
      </c>
      <c r="C370" s="13" t="inlineStr">
        <is>
          <t>TC-ONAV-01-06</t>
        </is>
      </c>
      <c r="D370" s="13" t="inlineStr">
        <is>
          <t>접근성</t>
        </is>
      </c>
      <c r="E370" s="13" t="inlineStr">
        <is>
          <t>보류</t>
        </is>
      </c>
    </row>
    <row r="371">
      <c r="A371" s="13" t="inlineStr">
        <is>
          <t>요건</t>
        </is>
      </c>
      <c r="B371" s="13" t="inlineStr">
        <is>
          <t>SC-04</t>
        </is>
      </c>
      <c r="C371" s="13" t="inlineStr">
        <is>
          <t>TC-ONAV-01-06</t>
        </is>
      </c>
      <c r="D371" s="13" t="inlineStr">
        <is>
          <t>접근성</t>
        </is>
      </c>
      <c r="E371" s="13" t="inlineStr">
        <is>
          <t>보류</t>
        </is>
      </c>
    </row>
    <row r="372">
      <c r="A372" s="13" t="inlineStr">
        <is>
          <t>요건</t>
        </is>
      </c>
      <c r="B372" s="13" t="inlineStr">
        <is>
          <t>AC-05</t>
        </is>
      </c>
      <c r="C372" s="13" t="inlineStr">
        <is>
          <t>TC-ONAV-01-06</t>
        </is>
      </c>
      <c r="D372" s="13" t="inlineStr">
        <is>
          <t>접근성</t>
        </is>
      </c>
      <c r="E372" s="13" t="inlineStr">
        <is>
          <t>보류</t>
        </is>
      </c>
    </row>
    <row r="373">
      <c r="A373" s="13" t="inlineStr">
        <is>
          <t>화면</t>
        </is>
      </c>
      <c r="B373" s="13" t="inlineStr">
        <is>
          <t>ONAV-01</t>
        </is>
      </c>
      <c r="C373" s="13" t="inlineStr">
        <is>
          <t>TC-ONAV-01-07</t>
        </is>
      </c>
      <c r="D373" s="13" t="inlineStr">
        <is>
          <t>기능</t>
        </is>
      </c>
      <c r="E373" s="13" t="inlineStr">
        <is>
          <t>미실행</t>
        </is>
      </c>
    </row>
    <row r="374">
      <c r="A374" s="13" t="inlineStr">
        <is>
          <t>요건</t>
        </is>
      </c>
      <c r="B374" s="13" t="inlineStr">
        <is>
          <t>AC-03</t>
        </is>
      </c>
      <c r="C374" s="13" t="inlineStr">
        <is>
          <t>TC-ONAV-01-07</t>
        </is>
      </c>
      <c r="D374" s="13" t="inlineStr">
        <is>
          <t>기능</t>
        </is>
      </c>
      <c r="E374" s="13" t="inlineStr">
        <is>
          <t>미실행</t>
        </is>
      </c>
    </row>
    <row r="375">
      <c r="A375" s="13" t="inlineStr">
        <is>
          <t>화면</t>
        </is>
      </c>
      <c r="B375" s="13" t="inlineStr">
        <is>
          <t>ONAV-01</t>
        </is>
      </c>
      <c r="C375" s="13" t="inlineStr">
        <is>
          <t>TC-ONAV-01-08</t>
        </is>
      </c>
      <c r="D375" s="13" t="inlineStr">
        <is>
          <t>기능</t>
        </is>
      </c>
      <c r="E375" s="13" t="inlineStr">
        <is>
          <t>미실행</t>
        </is>
      </c>
    </row>
    <row r="376">
      <c r="A376" s="13" t="inlineStr">
        <is>
          <t>요건</t>
        </is>
      </c>
      <c r="B376" s="13" t="inlineStr">
        <is>
          <t>MB-2</t>
        </is>
      </c>
      <c r="C376" s="13" t="inlineStr">
        <is>
          <t>TC-ONAV-01-08</t>
        </is>
      </c>
      <c r="D376" s="13" t="inlineStr">
        <is>
          <t>기능</t>
        </is>
      </c>
      <c r="E376" s="13" t="inlineStr">
        <is>
          <t>미실행</t>
        </is>
      </c>
    </row>
    <row r="377">
      <c r="A377" s="13" t="inlineStr">
        <is>
          <t>화면</t>
        </is>
      </c>
      <c r="B377" s="13" t="inlineStr">
        <is>
          <t>ONAV-01</t>
        </is>
      </c>
      <c r="C377" s="13" t="inlineStr">
        <is>
          <t>TC-ONAV-01-09</t>
        </is>
      </c>
      <c r="D377" s="13" t="inlineStr">
        <is>
          <t>기능</t>
        </is>
      </c>
      <c r="E377" s="13" t="inlineStr">
        <is>
          <t>미실행</t>
        </is>
      </c>
    </row>
    <row r="378">
      <c r="A378" s="13" t="inlineStr">
        <is>
          <t>요건</t>
        </is>
      </c>
      <c r="B378" s="13" t="inlineStr">
        <is>
          <t>MB-2</t>
        </is>
      </c>
      <c r="C378" s="13" t="inlineStr">
        <is>
          <t>TC-ONAV-01-09</t>
        </is>
      </c>
      <c r="D378" s="13" t="inlineStr">
        <is>
          <t>기능</t>
        </is>
      </c>
      <c r="E378" s="13" t="inlineStr">
        <is>
          <t>미실행</t>
        </is>
      </c>
    </row>
    <row r="379">
      <c r="A379" s="13" t="inlineStr">
        <is>
          <t>화면</t>
        </is>
      </c>
      <c r="B379" s="13" t="inlineStr">
        <is>
          <t>ONAV-01</t>
        </is>
      </c>
      <c r="C379" s="13" t="inlineStr">
        <is>
          <t>TC-ONAV-01-10</t>
        </is>
      </c>
      <c r="D379" s="13" t="inlineStr">
        <is>
          <t>기능</t>
        </is>
      </c>
      <c r="E379" s="13" t="inlineStr">
        <is>
          <t>미실행</t>
        </is>
      </c>
    </row>
    <row r="380">
      <c r="A380" s="13" t="inlineStr">
        <is>
          <t>요건</t>
        </is>
      </c>
      <c r="B380" s="13" t="inlineStr">
        <is>
          <t>FR-R7</t>
        </is>
      </c>
      <c r="C380" s="13" t="inlineStr">
        <is>
          <t>TC-ONAV-01-10</t>
        </is>
      </c>
      <c r="D380" s="13" t="inlineStr">
        <is>
          <t>기능</t>
        </is>
      </c>
      <c r="E380" s="13" t="inlineStr">
        <is>
          <t>미실행</t>
        </is>
      </c>
    </row>
    <row r="381">
      <c r="A381" s="13" t="inlineStr">
        <is>
          <t>요건</t>
        </is>
      </c>
      <c r="B381" s="13" t="inlineStr">
        <is>
          <t>H-1</t>
        </is>
      </c>
      <c r="C381" s="13" t="inlineStr">
        <is>
          <t>TC-ONAV-01-10</t>
        </is>
      </c>
      <c r="D381" s="13" t="inlineStr">
        <is>
          <t>기능</t>
        </is>
      </c>
      <c r="E381" s="13" t="inlineStr">
        <is>
          <t>미실행</t>
        </is>
      </c>
    </row>
    <row r="382">
      <c r="A382" s="13" t="inlineStr">
        <is>
          <t>화면</t>
        </is>
      </c>
      <c r="B382" s="13" t="inlineStr">
        <is>
          <t>ONAV-01</t>
        </is>
      </c>
      <c r="C382" s="13" t="inlineStr">
        <is>
          <t>TC-ONAV-01-11</t>
        </is>
      </c>
      <c r="D382" s="13" t="inlineStr">
        <is>
          <t>기능</t>
        </is>
      </c>
      <c r="E382" s="13" t="inlineStr">
        <is>
          <t>미실행</t>
        </is>
      </c>
    </row>
    <row r="383">
      <c r="A383" s="13" t="inlineStr">
        <is>
          <t>요건</t>
        </is>
      </c>
      <c r="B383" s="13" t="inlineStr">
        <is>
          <t>FR-R7</t>
        </is>
      </c>
      <c r="C383" s="13" t="inlineStr">
        <is>
          <t>TC-ONAV-01-11</t>
        </is>
      </c>
      <c r="D383" s="13" t="inlineStr">
        <is>
          <t>기능</t>
        </is>
      </c>
      <c r="E383" s="13" t="inlineStr">
        <is>
          <t>미실행</t>
        </is>
      </c>
    </row>
    <row r="384">
      <c r="A384" s="13" t="inlineStr">
        <is>
          <t>요건</t>
        </is>
      </c>
      <c r="B384" s="13" t="inlineStr">
        <is>
          <t>H-2</t>
        </is>
      </c>
      <c r="C384" s="13" t="inlineStr">
        <is>
          <t>TC-ONAV-01-11</t>
        </is>
      </c>
      <c r="D384" s="13" t="inlineStr">
        <is>
          <t>기능</t>
        </is>
      </c>
      <c r="E384" s="13" t="inlineStr">
        <is>
          <t>미실행</t>
        </is>
      </c>
    </row>
    <row r="385">
      <c r="A385" s="13" t="inlineStr">
        <is>
          <t>화면</t>
        </is>
      </c>
      <c r="B385" s="13" t="inlineStr">
        <is>
          <t>ONAV-01</t>
        </is>
      </c>
      <c r="C385" s="13" t="inlineStr">
        <is>
          <t>TC-ONAV-01-12</t>
        </is>
      </c>
      <c r="D385" s="13" t="inlineStr">
        <is>
          <t>사용자평가</t>
        </is>
      </c>
      <c r="E385" s="13" t="inlineStr">
        <is>
          <t>미실행</t>
        </is>
      </c>
    </row>
    <row r="386">
      <c r="A386" s="13" t="inlineStr">
        <is>
          <t>요건</t>
        </is>
      </c>
      <c r="B386" s="13" t="inlineStr">
        <is>
          <t>H-3</t>
        </is>
      </c>
      <c r="C386" s="13" t="inlineStr">
        <is>
          <t>TC-ONAV-01-12</t>
        </is>
      </c>
      <c r="D386" s="13" t="inlineStr">
        <is>
          <t>사용자평가</t>
        </is>
      </c>
      <c r="E386" s="13" t="inlineStr">
        <is>
          <t>미실행</t>
        </is>
      </c>
    </row>
    <row r="387">
      <c r="A387" s="13" t="inlineStr">
        <is>
          <t>화면</t>
        </is>
      </c>
      <c r="B387" s="13" t="inlineStr">
        <is>
          <t>ONAV-01</t>
        </is>
      </c>
      <c r="C387" s="13" t="inlineStr">
        <is>
          <t>TC-ONAV-01-13</t>
        </is>
      </c>
      <c r="D387" s="13" t="inlineStr">
        <is>
          <t>접근성</t>
        </is>
      </c>
      <c r="E387" s="13" t="inlineStr">
        <is>
          <t>미실행</t>
        </is>
      </c>
    </row>
    <row r="388">
      <c r="A388" s="13" t="inlineStr">
        <is>
          <t>요건</t>
        </is>
      </c>
      <c r="B388" s="13" t="inlineStr">
        <is>
          <t>H-4</t>
        </is>
      </c>
      <c r="C388" s="13" t="inlineStr">
        <is>
          <t>TC-ONAV-01-13</t>
        </is>
      </c>
      <c r="D388" s="13" t="inlineStr">
        <is>
          <t>접근성</t>
        </is>
      </c>
      <c r="E388" s="13" t="inlineStr">
        <is>
          <t>미실행</t>
        </is>
      </c>
    </row>
    <row r="389">
      <c r="A389" s="13" t="inlineStr">
        <is>
          <t>요건</t>
        </is>
      </c>
      <c r="B389" s="13" t="inlineStr">
        <is>
          <t>NFR-05</t>
        </is>
      </c>
      <c r="C389" s="13" t="inlineStr">
        <is>
          <t>TC-ONAV-01-13</t>
        </is>
      </c>
      <c r="D389" s="13" t="inlineStr">
        <is>
          <t>접근성</t>
        </is>
      </c>
      <c r="E389" s="13" t="inlineStr">
        <is>
          <t>미실행</t>
        </is>
      </c>
    </row>
    <row r="390">
      <c r="A390" s="13" t="inlineStr">
        <is>
          <t>화면</t>
        </is>
      </c>
      <c r="B390" s="13" t="inlineStr">
        <is>
          <t>ONAV-01</t>
        </is>
      </c>
      <c r="C390" s="13" t="inlineStr">
        <is>
          <t>TC-ONAV-01-14</t>
        </is>
      </c>
      <c r="D390" s="13" t="inlineStr">
        <is>
          <t>기능</t>
        </is>
      </c>
      <c r="E390" s="13" t="inlineStr">
        <is>
          <t>미실행</t>
        </is>
      </c>
    </row>
    <row r="391">
      <c r="A391" s="13" t="inlineStr">
        <is>
          <t>요건</t>
        </is>
      </c>
      <c r="B391" s="13" t="inlineStr">
        <is>
          <t>FR-R8</t>
        </is>
      </c>
      <c r="C391" s="13" t="inlineStr">
        <is>
          <t>TC-ONAV-01-14</t>
        </is>
      </c>
      <c r="D391" s="13" t="inlineStr">
        <is>
          <t>기능</t>
        </is>
      </c>
      <c r="E391" s="13" t="inlineStr">
        <is>
          <t>미실행</t>
        </is>
      </c>
    </row>
    <row r="392">
      <c r="A392" s="13" t="inlineStr">
        <is>
          <t>요건</t>
        </is>
      </c>
      <c r="B392" s="13" t="inlineStr">
        <is>
          <t>H-5</t>
        </is>
      </c>
      <c r="C392" s="13" t="inlineStr">
        <is>
          <t>TC-ONAV-01-14</t>
        </is>
      </c>
      <c r="D392" s="13" t="inlineStr">
        <is>
          <t>기능</t>
        </is>
      </c>
      <c r="E392" s="13" t="inlineStr">
        <is>
          <t>미실행</t>
        </is>
      </c>
    </row>
    <row r="393">
      <c r="A393" s="13" t="inlineStr">
        <is>
          <t>화면</t>
        </is>
      </c>
      <c r="B393" s="13" t="inlineStr">
        <is>
          <t>ONAV-01</t>
        </is>
      </c>
      <c r="C393" s="13" t="inlineStr">
        <is>
          <t>TC-ONAV-01-15</t>
        </is>
      </c>
      <c r="D393" s="13" t="inlineStr">
        <is>
          <t>기능</t>
        </is>
      </c>
      <c r="E393" s="13" t="inlineStr">
        <is>
          <t>미실행</t>
        </is>
      </c>
    </row>
    <row r="394">
      <c r="A394" s="13" t="inlineStr">
        <is>
          <t>요건</t>
        </is>
      </c>
      <c r="B394" s="13" t="inlineStr">
        <is>
          <t>H-6</t>
        </is>
      </c>
      <c r="C394" s="13" t="inlineStr">
        <is>
          <t>TC-ONAV-01-15</t>
        </is>
      </c>
      <c r="D394" s="13" t="inlineStr">
        <is>
          <t>기능</t>
        </is>
      </c>
      <c r="E394" s="13" t="inlineStr">
        <is>
          <t>미실행</t>
        </is>
      </c>
    </row>
    <row r="395">
      <c r="A395" s="13" t="inlineStr">
        <is>
          <t>화면</t>
        </is>
      </c>
      <c r="B395" s="13" t="inlineStr">
        <is>
          <t>ONAV-01</t>
        </is>
      </c>
      <c r="C395" s="13" t="inlineStr">
        <is>
          <t>TC-ONAV-01-16</t>
        </is>
      </c>
      <c r="D395" s="13" t="inlineStr">
        <is>
          <t>기능</t>
        </is>
      </c>
      <c r="E395" s="13" t="inlineStr">
        <is>
          <t>보류</t>
        </is>
      </c>
    </row>
    <row r="396">
      <c r="A396" s="13" t="inlineStr">
        <is>
          <t>요건</t>
        </is>
      </c>
      <c r="B396" s="13" t="inlineStr">
        <is>
          <t>FR-R8</t>
        </is>
      </c>
      <c r="C396" s="13" t="inlineStr">
        <is>
          <t>TC-ONAV-01-16</t>
        </is>
      </c>
      <c r="D396" s="13" t="inlineStr">
        <is>
          <t>기능</t>
        </is>
      </c>
      <c r="E396" s="13" t="inlineStr">
        <is>
          <t>보류</t>
        </is>
      </c>
    </row>
    <row r="397">
      <c r="A397" s="13" t="inlineStr">
        <is>
          <t>요건</t>
        </is>
      </c>
      <c r="B397" s="13" t="inlineStr">
        <is>
          <t>H-7</t>
        </is>
      </c>
      <c r="C397" s="13" t="inlineStr">
        <is>
          <t>TC-ONAV-01-16</t>
        </is>
      </c>
      <c r="D397" s="13" t="inlineStr">
        <is>
          <t>기능</t>
        </is>
      </c>
      <c r="E397" s="13" t="inlineStr">
        <is>
          <t>보류</t>
        </is>
      </c>
    </row>
    <row r="398">
      <c r="A398" s="13" t="inlineStr">
        <is>
          <t>화면</t>
        </is>
      </c>
      <c r="B398" s="13" t="inlineStr">
        <is>
          <t>ONAV-01</t>
        </is>
      </c>
      <c r="C398" s="13" t="inlineStr">
        <is>
          <t>TC-ONAV-01-17</t>
        </is>
      </c>
      <c r="D398" s="13" t="inlineStr">
        <is>
          <t>비기능</t>
        </is>
      </c>
      <c r="E398" s="13" t="inlineStr">
        <is>
          <t>미실행</t>
        </is>
      </c>
    </row>
    <row r="399">
      <c r="A399" s="13" t="inlineStr">
        <is>
          <t>요건</t>
        </is>
      </c>
      <c r="B399" s="13" t="inlineStr">
        <is>
          <t>NFR-09</t>
        </is>
      </c>
      <c r="C399" s="13" t="inlineStr">
        <is>
          <t>TC-ONAV-01-17</t>
        </is>
      </c>
      <c r="D399" s="13" t="inlineStr">
        <is>
          <t>비기능</t>
        </is>
      </c>
      <c r="E399" s="13" t="inlineStr">
        <is>
          <t>미실행</t>
        </is>
      </c>
    </row>
    <row r="400">
      <c r="A400" s="13" t="inlineStr">
        <is>
          <t>화면</t>
        </is>
      </c>
      <c r="B400" s="13" t="inlineStr">
        <is>
          <t>ONAV-01</t>
        </is>
      </c>
      <c r="C400" s="13" t="inlineStr">
        <is>
          <t>TC-ONAV-01-18</t>
        </is>
      </c>
      <c r="D400" s="13" t="inlineStr">
        <is>
          <t>접근성</t>
        </is>
      </c>
      <c r="E400" s="13" t="inlineStr">
        <is>
          <t>미실행</t>
        </is>
      </c>
    </row>
    <row r="401">
      <c r="A401" s="13" t="inlineStr">
        <is>
          <t>요건</t>
        </is>
      </c>
      <c r="B401" s="13" t="inlineStr">
        <is>
          <t>NFR-04</t>
        </is>
      </c>
      <c r="C401" s="13" t="inlineStr">
        <is>
          <t>TC-ONAV-01-18</t>
        </is>
      </c>
      <c r="D401" s="13" t="inlineStr">
        <is>
          <t>접근성</t>
        </is>
      </c>
      <c r="E401" s="13" t="inlineStr">
        <is>
          <t>미실행</t>
        </is>
      </c>
    </row>
    <row r="402">
      <c r="A402" s="13" t="inlineStr">
        <is>
          <t>화면</t>
        </is>
      </c>
      <c r="B402" s="13" t="inlineStr">
        <is>
          <t>ONAV-01</t>
        </is>
      </c>
      <c r="C402" s="13" t="inlineStr">
        <is>
          <t>TC-ONAV-01-19</t>
        </is>
      </c>
      <c r="D402" s="13" t="inlineStr">
        <is>
          <t>접근성</t>
        </is>
      </c>
      <c r="E402" s="13" t="inlineStr">
        <is>
          <t>미실행</t>
        </is>
      </c>
    </row>
    <row r="403">
      <c r="A403" s="13" t="inlineStr">
        <is>
          <t>요건</t>
        </is>
      </c>
      <c r="B403" s="13" t="inlineStr">
        <is>
          <t>NFR-05</t>
        </is>
      </c>
      <c r="C403" s="13" t="inlineStr">
        <is>
          <t>TC-ONAV-01-19</t>
        </is>
      </c>
      <c r="D403" s="13" t="inlineStr">
        <is>
          <t>접근성</t>
        </is>
      </c>
      <c r="E403" s="13" t="inlineStr">
        <is>
          <t>미실행</t>
        </is>
      </c>
    </row>
    <row r="404">
      <c r="A404" s="13" t="inlineStr">
        <is>
          <t>요건</t>
        </is>
      </c>
      <c r="B404" s="13" t="inlineStr">
        <is>
          <t>AC-05</t>
        </is>
      </c>
      <c r="C404" s="13" t="inlineStr">
        <is>
          <t>TC-ONAV-01-19</t>
        </is>
      </c>
      <c r="D404" s="13" t="inlineStr">
        <is>
          <t>접근성</t>
        </is>
      </c>
      <c r="E404" s="13" t="inlineStr">
        <is>
          <t>미실행</t>
        </is>
      </c>
    </row>
    <row r="405">
      <c r="A405" s="13" t="inlineStr">
        <is>
          <t>화면</t>
        </is>
      </c>
      <c r="B405" s="13" t="inlineStr">
        <is>
          <t>ONAV-01</t>
        </is>
      </c>
      <c r="C405" s="13" t="inlineStr">
        <is>
          <t>TC-ONAV-01-20</t>
        </is>
      </c>
      <c r="D405" s="13" t="inlineStr">
        <is>
          <t>접근성</t>
        </is>
      </c>
      <c r="E405" s="13" t="inlineStr">
        <is>
          <t>미실행</t>
        </is>
      </c>
    </row>
    <row r="406">
      <c r="A406" s="13" t="inlineStr">
        <is>
          <t>요건</t>
        </is>
      </c>
      <c r="B406" s="13" t="inlineStr">
        <is>
          <t>V-1</t>
        </is>
      </c>
      <c r="C406" s="13" t="inlineStr">
        <is>
          <t>TC-ONAV-01-20</t>
        </is>
      </c>
      <c r="D406" s="13" t="inlineStr">
        <is>
          <t>접근성</t>
        </is>
      </c>
      <c r="E406" s="13" t="inlineStr">
        <is>
          <t>미실행</t>
        </is>
      </c>
    </row>
    <row r="407">
      <c r="A407" s="13" t="inlineStr">
        <is>
          <t>요건</t>
        </is>
      </c>
      <c r="B407" s="13" t="inlineStr">
        <is>
          <t>AC-05</t>
        </is>
      </c>
      <c r="C407" s="13" t="inlineStr">
        <is>
          <t>TC-ONAV-01-20</t>
        </is>
      </c>
      <c r="D407" s="13" t="inlineStr">
        <is>
          <t>접근성</t>
        </is>
      </c>
      <c r="E407" s="13" t="inlineStr">
        <is>
          <t>미실행</t>
        </is>
      </c>
    </row>
    <row r="408">
      <c r="A408" s="13" t="inlineStr">
        <is>
          <t>화면</t>
        </is>
      </c>
      <c r="B408" s="13" t="inlineStr">
        <is>
          <t>ONAV-01</t>
        </is>
      </c>
      <c r="C408" s="13" t="inlineStr">
        <is>
          <t>TC-ONAV-01-21</t>
        </is>
      </c>
      <c r="D408" s="13" t="inlineStr">
        <is>
          <t>접근성</t>
        </is>
      </c>
      <c r="E408" s="13" t="inlineStr">
        <is>
          <t>보류</t>
        </is>
      </c>
    </row>
    <row r="409">
      <c r="A409" s="13" t="inlineStr">
        <is>
          <t>요건</t>
        </is>
      </c>
      <c r="B409" s="13" t="inlineStr">
        <is>
          <t>V-1</t>
        </is>
      </c>
      <c r="C409" s="13" t="inlineStr">
        <is>
          <t>TC-ONAV-01-21</t>
        </is>
      </c>
      <c r="D409" s="13" t="inlineStr">
        <is>
          <t>접근성</t>
        </is>
      </c>
      <c r="E409" s="13" t="inlineStr">
        <is>
          <t>보류</t>
        </is>
      </c>
    </row>
    <row r="410">
      <c r="A410" s="13" t="inlineStr">
        <is>
          <t>화면</t>
        </is>
      </c>
      <c r="B410" s="13" t="inlineStr">
        <is>
          <t>ONAV-01</t>
        </is>
      </c>
      <c r="C410" s="13" t="inlineStr">
        <is>
          <t>TC-ONAV-01-22</t>
        </is>
      </c>
      <c r="D410" s="13" t="inlineStr">
        <is>
          <t>접근성</t>
        </is>
      </c>
      <c r="E410" s="13" t="inlineStr">
        <is>
          <t>미실행</t>
        </is>
      </c>
    </row>
    <row r="411">
      <c r="A411" s="13" t="inlineStr">
        <is>
          <t>요건</t>
        </is>
      </c>
      <c r="B411" s="13" t="inlineStr">
        <is>
          <t>AC-05</t>
        </is>
      </c>
      <c r="C411" s="13" t="inlineStr">
        <is>
          <t>TC-ONAV-01-22</t>
        </is>
      </c>
      <c r="D411" s="13" t="inlineStr">
        <is>
          <t>접근성</t>
        </is>
      </c>
      <c r="E411" s="13" t="inlineStr">
        <is>
          <t>미실행</t>
        </is>
      </c>
    </row>
    <row r="412">
      <c r="A412" s="13" t="inlineStr">
        <is>
          <t>요건</t>
        </is>
      </c>
      <c r="B412" s="13" t="inlineStr">
        <is>
          <t>NFR-04</t>
        </is>
      </c>
      <c r="C412" s="13" t="inlineStr">
        <is>
          <t>TC-ONAV-01-22</t>
        </is>
      </c>
      <c r="D412" s="13" t="inlineStr">
        <is>
          <t>접근성</t>
        </is>
      </c>
      <c r="E412" s="13" t="inlineStr">
        <is>
          <t>미실행</t>
        </is>
      </c>
    </row>
    <row r="413">
      <c r="A413" s="13" t="inlineStr">
        <is>
          <t>화면</t>
        </is>
      </c>
      <c r="B413" s="13" t="inlineStr">
        <is>
          <t>ONAV-01</t>
        </is>
      </c>
      <c r="C413" s="13" t="inlineStr">
        <is>
          <t>TC-ONAV-01-23</t>
        </is>
      </c>
      <c r="D413" s="13" t="inlineStr">
        <is>
          <t>접근성</t>
        </is>
      </c>
      <c r="E413" s="13" t="inlineStr">
        <is>
          <t>보류</t>
        </is>
      </c>
    </row>
    <row r="414">
      <c r="A414" s="13" t="inlineStr">
        <is>
          <t>요건</t>
        </is>
      </c>
      <c r="B414" s="13" t="inlineStr">
        <is>
          <t>V-6</t>
        </is>
      </c>
      <c r="C414" s="13" t="inlineStr">
        <is>
          <t>TC-ONAV-01-23</t>
        </is>
      </c>
      <c r="D414" s="13" t="inlineStr">
        <is>
          <t>접근성</t>
        </is>
      </c>
      <c r="E414" s="13" t="inlineStr">
        <is>
          <t>보류</t>
        </is>
      </c>
    </row>
    <row r="415">
      <c r="A415" s="13" t="inlineStr">
        <is>
          <t>요건</t>
        </is>
      </c>
      <c r="B415" s="13" t="inlineStr">
        <is>
          <t>AC-05</t>
        </is>
      </c>
      <c r="C415" s="13" t="inlineStr">
        <is>
          <t>TC-ONAV-01-23</t>
        </is>
      </c>
      <c r="D415" s="13" t="inlineStr">
        <is>
          <t>접근성</t>
        </is>
      </c>
      <c r="E415" s="13" t="inlineStr">
        <is>
          <t>보류</t>
        </is>
      </c>
    </row>
    <row r="416">
      <c r="A416" s="13" t="inlineStr">
        <is>
          <t>화면</t>
        </is>
      </c>
      <c r="B416" s="13" t="inlineStr">
        <is>
          <t>ONAV-01</t>
        </is>
      </c>
      <c r="C416" s="13" t="inlineStr">
        <is>
          <t>TC-ONAV-01-24</t>
        </is>
      </c>
      <c r="D416" s="13" t="inlineStr">
        <is>
          <t>기능</t>
        </is>
      </c>
      <c r="E416" s="13" t="inlineStr">
        <is>
          <t>미실행</t>
        </is>
      </c>
    </row>
    <row r="417">
      <c r="A417" s="13" t="inlineStr">
        <is>
          <t>요건</t>
        </is>
      </c>
      <c r="B417" s="13" t="inlineStr">
        <is>
          <t>V-6</t>
        </is>
      </c>
      <c r="C417" s="13" t="inlineStr">
        <is>
          <t>TC-ONAV-01-24</t>
        </is>
      </c>
      <c r="D417" s="13" t="inlineStr">
        <is>
          <t>기능</t>
        </is>
      </c>
      <c r="E417" s="13" t="inlineStr">
        <is>
          <t>미실행</t>
        </is>
      </c>
    </row>
    <row r="418">
      <c r="A418" s="13" t="inlineStr">
        <is>
          <t>화면</t>
        </is>
      </c>
      <c r="B418" s="13" t="inlineStr">
        <is>
          <t>ONAV-01</t>
        </is>
      </c>
      <c r="C418" s="13" t="inlineStr">
        <is>
          <t>TC-ONAV-01-25</t>
        </is>
      </c>
      <c r="D418" s="13" t="inlineStr">
        <is>
          <t>접근성</t>
        </is>
      </c>
      <c r="E418" s="13" t="inlineStr">
        <is>
          <t>미실행</t>
        </is>
      </c>
    </row>
    <row r="419">
      <c r="A419" s="13" t="inlineStr">
        <is>
          <t>요건</t>
        </is>
      </c>
      <c r="B419" s="13" t="inlineStr">
        <is>
          <t>V-10</t>
        </is>
      </c>
      <c r="C419" s="13" t="inlineStr">
        <is>
          <t>TC-ONAV-01-25</t>
        </is>
      </c>
      <c r="D419" s="13" t="inlineStr">
        <is>
          <t>접근성</t>
        </is>
      </c>
      <c r="E419" s="13" t="inlineStr">
        <is>
          <t>미실행</t>
        </is>
      </c>
    </row>
    <row r="420">
      <c r="A420" s="13" t="inlineStr">
        <is>
          <t>화면</t>
        </is>
      </c>
      <c r="B420" s="13" t="inlineStr">
        <is>
          <t>ONAV-01</t>
        </is>
      </c>
      <c r="C420" s="13" t="inlineStr">
        <is>
          <t>TC-ONAV-01-26</t>
        </is>
      </c>
      <c r="D420" s="13" t="inlineStr">
        <is>
          <t>비기능</t>
        </is>
      </c>
      <c r="E420" s="13" t="inlineStr">
        <is>
          <t>미실행</t>
        </is>
      </c>
    </row>
    <row r="421">
      <c r="A421" s="13" t="inlineStr">
        <is>
          <t>요건</t>
        </is>
      </c>
      <c r="B421" s="13" t="inlineStr">
        <is>
          <t>NFR-02</t>
        </is>
      </c>
      <c r="C421" s="13" t="inlineStr">
        <is>
          <t>TC-ONAV-01-26</t>
        </is>
      </c>
      <c r="D421" s="13" t="inlineStr">
        <is>
          <t>비기능</t>
        </is>
      </c>
      <c r="E421" s="13" t="inlineStr">
        <is>
          <t>미실행</t>
        </is>
      </c>
    </row>
    <row r="422">
      <c r="A422" s="13" t="inlineStr">
        <is>
          <t>요건</t>
        </is>
      </c>
      <c r="B422" s="13" t="inlineStr">
        <is>
          <t>AC-06</t>
        </is>
      </c>
      <c r="C422" s="13" t="inlineStr">
        <is>
          <t>TC-ONAV-01-26</t>
        </is>
      </c>
      <c r="D422" s="13" t="inlineStr">
        <is>
          <t>비기능</t>
        </is>
      </c>
      <c r="E422" s="13" t="inlineStr">
        <is>
          <t>미실행</t>
        </is>
      </c>
    </row>
    <row r="423">
      <c r="A423" s="13" t="inlineStr">
        <is>
          <t>요건</t>
        </is>
      </c>
      <c r="B423" s="13" t="inlineStr">
        <is>
          <t>T-4</t>
        </is>
      </c>
      <c r="C423" s="13" t="inlineStr">
        <is>
          <t>TC-ONAV-01-26</t>
        </is>
      </c>
      <c r="D423" s="13" t="inlineStr">
        <is>
          <t>비기능</t>
        </is>
      </c>
      <c r="E423" s="13" t="inlineStr">
        <is>
          <t>미실행</t>
        </is>
      </c>
    </row>
    <row r="424">
      <c r="A424" s="13" t="inlineStr">
        <is>
          <t>화면</t>
        </is>
      </c>
      <c r="B424" s="13" t="inlineStr">
        <is>
          <t>ONAV-01</t>
        </is>
      </c>
      <c r="C424" s="13" t="inlineStr">
        <is>
          <t>TC-ONAV-01-27</t>
        </is>
      </c>
      <c r="D424" s="13" t="inlineStr">
        <is>
          <t>기능</t>
        </is>
      </c>
      <c r="E424" s="13" t="inlineStr">
        <is>
          <t>보류</t>
        </is>
      </c>
    </row>
    <row r="425">
      <c r="A425" s="13" t="inlineStr">
        <is>
          <t>요건</t>
        </is>
      </c>
      <c r="B425" s="13" t="inlineStr">
        <is>
          <t>SC-04</t>
        </is>
      </c>
      <c r="C425" s="13" t="inlineStr">
        <is>
          <t>TC-ONAV-01-27</t>
        </is>
      </c>
      <c r="D425" s="13" t="inlineStr">
        <is>
          <t>기능</t>
        </is>
      </c>
      <c r="E425" s="13" t="inlineStr">
        <is>
          <t>보류</t>
        </is>
      </c>
    </row>
    <row r="426">
      <c r="A426" s="13" t="inlineStr">
        <is>
          <t>요건</t>
        </is>
      </c>
      <c r="B426" s="13" t="inlineStr">
        <is>
          <t>MB-5</t>
        </is>
      </c>
      <c r="C426" s="13" t="inlineStr">
        <is>
          <t>TC-ONAV-01-27</t>
        </is>
      </c>
      <c r="D426" s="13" t="inlineStr">
        <is>
          <t>기능</t>
        </is>
      </c>
      <c r="E426" s="13" t="inlineStr">
        <is>
          <t>보류</t>
        </is>
      </c>
    </row>
    <row r="427">
      <c r="A427" s="13" t="inlineStr">
        <is>
          <t>화면</t>
        </is>
      </c>
      <c r="B427" s="13" t="inlineStr">
        <is>
          <t>INAV-01</t>
        </is>
      </c>
      <c r="C427" s="13" t="inlineStr">
        <is>
          <t>TC-INAV-01-01</t>
        </is>
      </c>
      <c r="D427" s="13" t="inlineStr">
        <is>
          <t>기능</t>
        </is>
      </c>
      <c r="E427" s="13" t="inlineStr">
        <is>
          <t>미실행</t>
        </is>
      </c>
    </row>
    <row r="428">
      <c r="A428" s="13" t="inlineStr">
        <is>
          <t>요건</t>
        </is>
      </c>
      <c r="B428" s="13" t="inlineStr">
        <is>
          <t>US-03</t>
        </is>
      </c>
      <c r="C428" s="13" t="inlineStr">
        <is>
          <t>TC-INAV-01-01</t>
        </is>
      </c>
      <c r="D428" s="13" t="inlineStr">
        <is>
          <t>기능</t>
        </is>
      </c>
      <c r="E428" s="13" t="inlineStr">
        <is>
          <t>미실행</t>
        </is>
      </c>
    </row>
    <row r="429">
      <c r="A429" s="13" t="inlineStr">
        <is>
          <t>요건</t>
        </is>
      </c>
      <c r="B429" s="13" t="inlineStr">
        <is>
          <t>SC-05</t>
        </is>
      </c>
      <c r="C429" s="13" t="inlineStr">
        <is>
          <t>TC-INAV-01-01</t>
        </is>
      </c>
      <c r="D429" s="13" t="inlineStr">
        <is>
          <t>기능</t>
        </is>
      </c>
      <c r="E429" s="13" t="inlineStr">
        <is>
          <t>미실행</t>
        </is>
      </c>
    </row>
    <row r="430">
      <c r="A430" s="13" t="inlineStr">
        <is>
          <t>화면</t>
        </is>
      </c>
      <c r="B430" s="13" t="inlineStr">
        <is>
          <t>INAV-01</t>
        </is>
      </c>
      <c r="C430" s="13" t="inlineStr">
        <is>
          <t>TC-INAV-01-02</t>
        </is>
      </c>
      <c r="D430" s="13" t="inlineStr">
        <is>
          <t>기능</t>
        </is>
      </c>
      <c r="E430" s="13" t="inlineStr">
        <is>
          <t>미실행</t>
        </is>
      </c>
    </row>
    <row r="431">
      <c r="A431" s="13" t="inlineStr">
        <is>
          <t>요건</t>
        </is>
      </c>
      <c r="B431" s="13" t="inlineStr">
        <is>
          <t>US-03</t>
        </is>
      </c>
      <c r="C431" s="13" t="inlineStr">
        <is>
          <t>TC-INAV-01-02</t>
        </is>
      </c>
      <c r="D431" s="13" t="inlineStr">
        <is>
          <t>기능</t>
        </is>
      </c>
      <c r="E431" s="13" t="inlineStr">
        <is>
          <t>미실행</t>
        </is>
      </c>
    </row>
    <row r="432">
      <c r="A432" s="13" t="inlineStr">
        <is>
          <t>요건</t>
        </is>
      </c>
      <c r="B432" s="13" t="inlineStr">
        <is>
          <t>MB-2</t>
        </is>
      </c>
      <c r="C432" s="13" t="inlineStr">
        <is>
          <t>TC-INAV-01-02</t>
        </is>
      </c>
      <c r="D432" s="13" t="inlineStr">
        <is>
          <t>기능</t>
        </is>
      </c>
      <c r="E432" s="13" t="inlineStr">
        <is>
          <t>미실행</t>
        </is>
      </c>
    </row>
    <row r="433">
      <c r="A433" s="13" t="inlineStr">
        <is>
          <t>요건</t>
        </is>
      </c>
      <c r="B433" s="13" t="inlineStr">
        <is>
          <t>V-6</t>
        </is>
      </c>
      <c r="C433" s="13" t="inlineStr">
        <is>
          <t>TC-INAV-01-02</t>
        </is>
      </c>
      <c r="D433" s="13" t="inlineStr">
        <is>
          <t>기능</t>
        </is>
      </c>
      <c r="E433" s="13" t="inlineStr">
        <is>
          <t>미실행</t>
        </is>
      </c>
    </row>
    <row r="434">
      <c r="A434" s="13" t="inlineStr">
        <is>
          <t>화면</t>
        </is>
      </c>
      <c r="B434" s="13" t="inlineStr">
        <is>
          <t>INAV-01</t>
        </is>
      </c>
      <c r="C434" s="13" t="inlineStr">
        <is>
          <t>TC-INAV-01-03</t>
        </is>
      </c>
      <c r="D434" s="13" t="inlineStr">
        <is>
          <t>기능</t>
        </is>
      </c>
      <c r="E434" s="13" t="inlineStr">
        <is>
          <t>미실행</t>
        </is>
      </c>
    </row>
    <row r="435">
      <c r="A435" s="13" t="inlineStr">
        <is>
          <t>요건</t>
        </is>
      </c>
      <c r="B435" s="13" t="inlineStr">
        <is>
          <t>SC-05</t>
        </is>
      </c>
      <c r="C435" s="13" t="inlineStr">
        <is>
          <t>TC-INAV-01-03</t>
        </is>
      </c>
      <c r="D435" s="13" t="inlineStr">
        <is>
          <t>기능</t>
        </is>
      </c>
      <c r="E435" s="13" t="inlineStr">
        <is>
          <t>미실행</t>
        </is>
      </c>
    </row>
    <row r="436">
      <c r="A436" s="13" t="inlineStr">
        <is>
          <t>요건</t>
        </is>
      </c>
      <c r="B436" s="13" t="inlineStr">
        <is>
          <t>FR-R1</t>
        </is>
      </c>
      <c r="C436" s="13" t="inlineStr">
        <is>
          <t>TC-INAV-01-03</t>
        </is>
      </c>
      <c r="D436" s="13" t="inlineStr">
        <is>
          <t>기능</t>
        </is>
      </c>
      <c r="E436" s="13" t="inlineStr">
        <is>
          <t>미실행</t>
        </is>
      </c>
    </row>
    <row r="437">
      <c r="A437" s="13" t="inlineStr">
        <is>
          <t>화면</t>
        </is>
      </c>
      <c r="B437" s="13" t="inlineStr">
        <is>
          <t>INAV-01</t>
        </is>
      </c>
      <c r="C437" s="13" t="inlineStr">
        <is>
          <t>TC-INAV-01-04</t>
        </is>
      </c>
      <c r="D437" s="13" t="inlineStr">
        <is>
          <t>기능</t>
        </is>
      </c>
      <c r="E437" s="13" t="inlineStr">
        <is>
          <t>미실행</t>
        </is>
      </c>
    </row>
    <row r="438">
      <c r="A438" s="13" t="inlineStr">
        <is>
          <t>요건</t>
        </is>
      </c>
      <c r="B438" s="13" t="inlineStr">
        <is>
          <t>SC-05</t>
        </is>
      </c>
      <c r="C438" s="13" t="inlineStr">
        <is>
          <t>TC-INAV-01-04</t>
        </is>
      </c>
      <c r="D438" s="13" t="inlineStr">
        <is>
          <t>기능</t>
        </is>
      </c>
      <c r="E438" s="13" t="inlineStr">
        <is>
          <t>미실행</t>
        </is>
      </c>
    </row>
    <row r="439">
      <c r="A439" s="13" t="inlineStr">
        <is>
          <t>요건</t>
        </is>
      </c>
      <c r="B439" s="13" t="inlineStr">
        <is>
          <t>FR-R1</t>
        </is>
      </c>
      <c r="C439" s="13" t="inlineStr">
        <is>
          <t>TC-INAV-01-04</t>
        </is>
      </c>
      <c r="D439" s="13" t="inlineStr">
        <is>
          <t>기능</t>
        </is>
      </c>
      <c r="E439" s="13" t="inlineStr">
        <is>
          <t>미실행</t>
        </is>
      </c>
    </row>
    <row r="440">
      <c r="A440" s="13" t="inlineStr">
        <is>
          <t>요건</t>
        </is>
      </c>
      <c r="B440" s="13" t="inlineStr">
        <is>
          <t>MB-6</t>
        </is>
      </c>
      <c r="C440" s="13" t="inlineStr">
        <is>
          <t>TC-INAV-01-04</t>
        </is>
      </c>
      <c r="D440" s="13" t="inlineStr">
        <is>
          <t>기능</t>
        </is>
      </c>
      <c r="E440" s="13" t="inlineStr">
        <is>
          <t>미실행</t>
        </is>
      </c>
    </row>
    <row r="441">
      <c r="A441" s="13" t="inlineStr">
        <is>
          <t>화면</t>
        </is>
      </c>
      <c r="B441" s="13" t="inlineStr">
        <is>
          <t>INAV-01</t>
        </is>
      </c>
      <c r="C441" s="13" t="inlineStr">
        <is>
          <t>TC-INAV-01-05</t>
        </is>
      </c>
      <c r="D441" s="13" t="inlineStr">
        <is>
          <t>기능</t>
        </is>
      </c>
      <c r="E441" s="13" t="inlineStr">
        <is>
          <t>미실행</t>
        </is>
      </c>
    </row>
    <row r="442">
      <c r="A442" s="13" t="inlineStr">
        <is>
          <t>요건</t>
        </is>
      </c>
      <c r="B442" s="13" t="inlineStr">
        <is>
          <t>SC-05</t>
        </is>
      </c>
      <c r="C442" s="13" t="inlineStr">
        <is>
          <t>TC-INAV-01-05</t>
        </is>
      </c>
      <c r="D442" s="13" t="inlineStr">
        <is>
          <t>기능</t>
        </is>
      </c>
      <c r="E442" s="13" t="inlineStr">
        <is>
          <t>미실행</t>
        </is>
      </c>
    </row>
    <row r="443">
      <c r="A443" s="13" t="inlineStr">
        <is>
          <t>요건</t>
        </is>
      </c>
      <c r="B443" s="13" t="inlineStr">
        <is>
          <t>MB-6</t>
        </is>
      </c>
      <c r="C443" s="13" t="inlineStr">
        <is>
          <t>TC-INAV-01-05</t>
        </is>
      </c>
      <c r="D443" s="13" t="inlineStr">
        <is>
          <t>기능</t>
        </is>
      </c>
      <c r="E443" s="13" t="inlineStr">
        <is>
          <t>미실행</t>
        </is>
      </c>
    </row>
    <row r="444">
      <c r="A444" s="13" t="inlineStr">
        <is>
          <t>화면</t>
        </is>
      </c>
      <c r="B444" s="13" t="inlineStr">
        <is>
          <t>INAV-01</t>
        </is>
      </c>
      <c r="C444" s="13" t="inlineStr">
        <is>
          <t>TC-INAV-01-06</t>
        </is>
      </c>
      <c r="D444" s="13" t="inlineStr">
        <is>
          <t>접근성</t>
        </is>
      </c>
      <c r="E444" s="13" t="inlineStr">
        <is>
          <t>미실행</t>
        </is>
      </c>
    </row>
    <row r="445">
      <c r="A445" s="13" t="inlineStr">
        <is>
          <t>요건</t>
        </is>
      </c>
      <c r="B445" s="13" t="inlineStr">
        <is>
          <t>V-3</t>
        </is>
      </c>
      <c r="C445" s="13" t="inlineStr">
        <is>
          <t>TC-INAV-01-06</t>
        </is>
      </c>
      <c r="D445" s="13" t="inlineStr">
        <is>
          <t>접근성</t>
        </is>
      </c>
      <c r="E445" s="13" t="inlineStr">
        <is>
          <t>미실행</t>
        </is>
      </c>
    </row>
    <row r="446">
      <c r="A446" s="13" t="inlineStr">
        <is>
          <t>요건</t>
        </is>
      </c>
      <c r="B446" s="13" t="inlineStr">
        <is>
          <t>SC-05</t>
        </is>
      </c>
      <c r="C446" s="13" t="inlineStr">
        <is>
          <t>TC-INAV-01-06</t>
        </is>
      </c>
      <c r="D446" s="13" t="inlineStr">
        <is>
          <t>접근성</t>
        </is>
      </c>
      <c r="E446" s="13" t="inlineStr">
        <is>
          <t>미실행</t>
        </is>
      </c>
    </row>
    <row r="447">
      <c r="A447" s="13" t="inlineStr">
        <is>
          <t>화면</t>
        </is>
      </c>
      <c r="B447" s="13" t="inlineStr">
        <is>
          <t>INAV-01</t>
        </is>
      </c>
      <c r="C447" s="13" t="inlineStr">
        <is>
          <t>TC-INAV-01-07</t>
        </is>
      </c>
      <c r="D447" s="13" t="inlineStr">
        <is>
          <t>기능</t>
        </is>
      </c>
      <c r="E447" s="13" t="inlineStr">
        <is>
          <t>미실행</t>
        </is>
      </c>
    </row>
    <row r="448">
      <c r="A448" s="13" t="inlineStr">
        <is>
          <t>요건</t>
        </is>
      </c>
      <c r="B448" s="13" t="inlineStr">
        <is>
          <t>FR-R1</t>
        </is>
      </c>
      <c r="C448" s="13" t="inlineStr">
        <is>
          <t>TC-INAV-01-07</t>
        </is>
      </c>
      <c r="D448" s="13" t="inlineStr">
        <is>
          <t>기능</t>
        </is>
      </c>
      <c r="E448" s="13" t="inlineStr">
        <is>
          <t>미실행</t>
        </is>
      </c>
    </row>
    <row r="449">
      <c r="A449" s="13" t="inlineStr">
        <is>
          <t>요건</t>
        </is>
      </c>
      <c r="B449" s="13" t="inlineStr">
        <is>
          <t>V-1</t>
        </is>
      </c>
      <c r="C449" s="13" t="inlineStr">
        <is>
          <t>TC-INAV-01-07</t>
        </is>
      </c>
      <c r="D449" s="13" t="inlineStr">
        <is>
          <t>기능</t>
        </is>
      </c>
      <c r="E449" s="13" t="inlineStr">
        <is>
          <t>미실행</t>
        </is>
      </c>
    </row>
    <row r="450">
      <c r="A450" s="13" t="inlineStr">
        <is>
          <t>화면</t>
        </is>
      </c>
      <c r="B450" s="13" t="inlineStr">
        <is>
          <t>INAV-01</t>
        </is>
      </c>
      <c r="C450" s="13" t="inlineStr">
        <is>
          <t>TC-INAV-01-08</t>
        </is>
      </c>
      <c r="D450" s="13" t="inlineStr">
        <is>
          <t>기능</t>
        </is>
      </c>
      <c r="E450" s="13" t="inlineStr">
        <is>
          <t>미실행</t>
        </is>
      </c>
    </row>
    <row r="451">
      <c r="A451" s="13" t="inlineStr">
        <is>
          <t>요건</t>
        </is>
      </c>
      <c r="B451" s="13" t="inlineStr">
        <is>
          <t>FR-R1</t>
        </is>
      </c>
      <c r="C451" s="13" t="inlineStr">
        <is>
          <t>TC-INAV-01-08</t>
        </is>
      </c>
      <c r="D451" s="13" t="inlineStr">
        <is>
          <t>기능</t>
        </is>
      </c>
      <c r="E451" s="13" t="inlineStr">
        <is>
          <t>미실행</t>
        </is>
      </c>
    </row>
    <row r="452">
      <c r="A452" s="13" t="inlineStr">
        <is>
          <t>요건</t>
        </is>
      </c>
      <c r="B452" s="13" t="inlineStr">
        <is>
          <t>SC-05</t>
        </is>
      </c>
      <c r="C452" s="13" t="inlineStr">
        <is>
          <t>TC-INAV-01-08</t>
        </is>
      </c>
      <c r="D452" s="13" t="inlineStr">
        <is>
          <t>기능</t>
        </is>
      </c>
      <c r="E452" s="13" t="inlineStr">
        <is>
          <t>미실행</t>
        </is>
      </c>
    </row>
    <row r="453">
      <c r="A453" s="13" t="inlineStr">
        <is>
          <t>요건</t>
        </is>
      </c>
      <c r="B453" s="13" t="inlineStr">
        <is>
          <t>V-6</t>
        </is>
      </c>
      <c r="C453" s="13" t="inlineStr">
        <is>
          <t>TC-INAV-01-08</t>
        </is>
      </c>
      <c r="D453" s="13" t="inlineStr">
        <is>
          <t>기능</t>
        </is>
      </c>
      <c r="E453" s="13" t="inlineStr">
        <is>
          <t>미실행</t>
        </is>
      </c>
    </row>
    <row r="454">
      <c r="A454" s="13" t="inlineStr">
        <is>
          <t>요건</t>
        </is>
      </c>
      <c r="B454" s="13" t="inlineStr">
        <is>
          <t>MB-2</t>
        </is>
      </c>
      <c r="C454" s="13" t="inlineStr">
        <is>
          <t>TC-INAV-01-08</t>
        </is>
      </c>
      <c r="D454" s="13" t="inlineStr">
        <is>
          <t>기능</t>
        </is>
      </c>
      <c r="E454" s="13" t="inlineStr">
        <is>
          <t>미실행</t>
        </is>
      </c>
    </row>
    <row r="455">
      <c r="A455" s="13" t="inlineStr">
        <is>
          <t>화면</t>
        </is>
      </c>
      <c r="B455" s="13" t="inlineStr">
        <is>
          <t>INAV-01</t>
        </is>
      </c>
      <c r="C455" s="13" t="inlineStr">
        <is>
          <t>TC-INAV-01-09</t>
        </is>
      </c>
      <c r="D455" s="13" t="inlineStr">
        <is>
          <t>기능</t>
        </is>
      </c>
      <c r="E455" s="13" t="inlineStr">
        <is>
          <t>미실행</t>
        </is>
      </c>
    </row>
    <row r="456">
      <c r="A456" s="13" t="inlineStr">
        <is>
          <t>요건</t>
        </is>
      </c>
      <c r="B456" s="13" t="inlineStr">
        <is>
          <t>US-03</t>
        </is>
      </c>
      <c r="C456" s="13" t="inlineStr">
        <is>
          <t>TC-INAV-01-09</t>
        </is>
      </c>
      <c r="D456" s="13" t="inlineStr">
        <is>
          <t>기능</t>
        </is>
      </c>
      <c r="E456" s="13" t="inlineStr">
        <is>
          <t>미실행</t>
        </is>
      </c>
    </row>
    <row r="457">
      <c r="A457" s="13" t="inlineStr">
        <is>
          <t>요건</t>
        </is>
      </c>
      <c r="B457" s="13" t="inlineStr">
        <is>
          <t>NFR-12</t>
        </is>
      </c>
      <c r="C457" s="13" t="inlineStr">
        <is>
          <t>TC-INAV-01-09</t>
        </is>
      </c>
      <c r="D457" s="13" t="inlineStr">
        <is>
          <t>기능</t>
        </is>
      </c>
      <c r="E457" s="13" t="inlineStr">
        <is>
          <t>미실행</t>
        </is>
      </c>
    </row>
    <row r="458">
      <c r="A458" s="13" t="inlineStr">
        <is>
          <t>요건</t>
        </is>
      </c>
      <c r="B458" s="13" t="inlineStr">
        <is>
          <t>V-6</t>
        </is>
      </c>
      <c r="C458" s="13" t="inlineStr">
        <is>
          <t>TC-INAV-01-09</t>
        </is>
      </c>
      <c r="D458" s="13" t="inlineStr">
        <is>
          <t>기능</t>
        </is>
      </c>
      <c r="E458" s="13" t="inlineStr">
        <is>
          <t>미실행</t>
        </is>
      </c>
    </row>
    <row r="459">
      <c r="A459" s="13" t="inlineStr">
        <is>
          <t>화면</t>
        </is>
      </c>
      <c r="B459" s="13" t="inlineStr">
        <is>
          <t>INAV-01</t>
        </is>
      </c>
      <c r="C459" s="13" t="inlineStr">
        <is>
          <t>TC-INAV-01-10</t>
        </is>
      </c>
      <c r="D459" s="13" t="inlineStr">
        <is>
          <t>기능</t>
        </is>
      </c>
      <c r="E459" s="13" t="inlineStr">
        <is>
          <t>보류</t>
        </is>
      </c>
    </row>
    <row r="460">
      <c r="A460" s="13" t="inlineStr">
        <is>
          <t>요건</t>
        </is>
      </c>
      <c r="B460" s="13" t="inlineStr">
        <is>
          <t>US-03</t>
        </is>
      </c>
      <c r="C460" s="13" t="inlineStr">
        <is>
          <t>TC-INAV-01-10</t>
        </is>
      </c>
      <c r="D460" s="13" t="inlineStr">
        <is>
          <t>기능</t>
        </is>
      </c>
      <c r="E460" s="13" t="inlineStr">
        <is>
          <t>보류</t>
        </is>
      </c>
    </row>
    <row r="461">
      <c r="A461" s="13" t="inlineStr">
        <is>
          <t>요건</t>
        </is>
      </c>
      <c r="B461" s="13" t="inlineStr">
        <is>
          <t>NFR-12</t>
        </is>
      </c>
      <c r="C461" s="13" t="inlineStr">
        <is>
          <t>TC-INAV-01-10</t>
        </is>
      </c>
      <c r="D461" s="13" t="inlineStr">
        <is>
          <t>기능</t>
        </is>
      </c>
      <c r="E461" s="13" t="inlineStr">
        <is>
          <t>보류</t>
        </is>
      </c>
    </row>
    <row r="462">
      <c r="A462" s="13" t="inlineStr">
        <is>
          <t>화면</t>
        </is>
      </c>
      <c r="B462" s="13" t="inlineStr">
        <is>
          <t>INAV-01</t>
        </is>
      </c>
      <c r="C462" s="13" t="inlineStr">
        <is>
          <t>TC-INAV-01-11</t>
        </is>
      </c>
      <c r="D462" s="13" t="inlineStr">
        <is>
          <t>기능</t>
        </is>
      </c>
      <c r="E462" s="13" t="inlineStr">
        <is>
          <t>미실행</t>
        </is>
      </c>
    </row>
    <row r="463">
      <c r="A463" s="13" t="inlineStr">
        <is>
          <t>요건</t>
        </is>
      </c>
      <c r="B463" s="13" t="inlineStr">
        <is>
          <t>V-6</t>
        </is>
      </c>
      <c r="C463" s="13" t="inlineStr">
        <is>
          <t>TC-INAV-01-11</t>
        </is>
      </c>
      <c r="D463" s="13" t="inlineStr">
        <is>
          <t>기능</t>
        </is>
      </c>
      <c r="E463" s="13" t="inlineStr">
        <is>
          <t>미실행</t>
        </is>
      </c>
    </row>
    <row r="464">
      <c r="A464" s="13" t="inlineStr">
        <is>
          <t>요건</t>
        </is>
      </c>
      <c r="B464" s="13" t="inlineStr">
        <is>
          <t>V-4</t>
        </is>
      </c>
      <c r="C464" s="13" t="inlineStr">
        <is>
          <t>TC-INAV-01-11</t>
        </is>
      </c>
      <c r="D464" s="13" t="inlineStr">
        <is>
          <t>기능</t>
        </is>
      </c>
      <c r="E464" s="13" t="inlineStr">
        <is>
          <t>미실행</t>
        </is>
      </c>
    </row>
    <row r="465">
      <c r="A465" s="13" t="inlineStr">
        <is>
          <t>화면</t>
        </is>
      </c>
      <c r="B465" s="13" t="inlineStr">
        <is>
          <t>INAV-01</t>
        </is>
      </c>
      <c r="C465" s="13" t="inlineStr">
        <is>
          <t>TC-INAV-01-12</t>
        </is>
      </c>
      <c r="D465" s="13" t="inlineStr">
        <is>
          <t>기능</t>
        </is>
      </c>
      <c r="E465" s="13" t="inlineStr">
        <is>
          <t>미실행</t>
        </is>
      </c>
    </row>
    <row r="466">
      <c r="A466" s="13" t="inlineStr">
        <is>
          <t>요건</t>
        </is>
      </c>
      <c r="B466" s="13" t="inlineStr">
        <is>
          <t>FR-R1</t>
        </is>
      </c>
      <c r="C466" s="13" t="inlineStr">
        <is>
          <t>TC-INAV-01-12</t>
        </is>
      </c>
      <c r="D466" s="13" t="inlineStr">
        <is>
          <t>기능</t>
        </is>
      </c>
      <c r="E466" s="13" t="inlineStr">
        <is>
          <t>미실행</t>
        </is>
      </c>
    </row>
    <row r="467">
      <c r="A467" s="13" t="inlineStr">
        <is>
          <t>요건</t>
        </is>
      </c>
      <c r="B467" s="13" t="inlineStr">
        <is>
          <t>SC-05</t>
        </is>
      </c>
      <c r="C467" s="13" t="inlineStr">
        <is>
          <t>TC-INAV-01-12</t>
        </is>
      </c>
      <c r="D467" s="13" t="inlineStr">
        <is>
          <t>기능</t>
        </is>
      </c>
      <c r="E467" s="13" t="inlineStr">
        <is>
          <t>미실행</t>
        </is>
      </c>
    </row>
    <row r="468">
      <c r="A468" s="13" t="inlineStr">
        <is>
          <t>화면</t>
        </is>
      </c>
      <c r="B468" s="13" t="inlineStr">
        <is>
          <t>INAV-01</t>
        </is>
      </c>
      <c r="C468" s="13" t="inlineStr">
        <is>
          <t>TC-INAV-01-13</t>
        </is>
      </c>
      <c r="D468" s="13" t="inlineStr">
        <is>
          <t>기능</t>
        </is>
      </c>
      <c r="E468" s="13" t="inlineStr">
        <is>
          <t>미실행</t>
        </is>
      </c>
    </row>
    <row r="469">
      <c r="A469" s="13" t="inlineStr">
        <is>
          <t>요건</t>
        </is>
      </c>
      <c r="B469" s="13" t="inlineStr">
        <is>
          <t>V-4</t>
        </is>
      </c>
      <c r="C469" s="13" t="inlineStr">
        <is>
          <t>TC-INAV-01-13</t>
        </is>
      </c>
      <c r="D469" s="13" t="inlineStr">
        <is>
          <t>기능</t>
        </is>
      </c>
      <c r="E469" s="13" t="inlineStr">
        <is>
          <t>미실행</t>
        </is>
      </c>
    </row>
    <row r="470">
      <c r="A470" s="13" t="inlineStr">
        <is>
          <t>요건</t>
        </is>
      </c>
      <c r="B470" s="13" t="inlineStr">
        <is>
          <t>V-6</t>
        </is>
      </c>
      <c r="C470" s="13" t="inlineStr">
        <is>
          <t>TC-INAV-01-13</t>
        </is>
      </c>
      <c r="D470" s="13" t="inlineStr">
        <is>
          <t>기능</t>
        </is>
      </c>
      <c r="E470" s="13" t="inlineStr">
        <is>
          <t>미실행</t>
        </is>
      </c>
    </row>
    <row r="471">
      <c r="A471" s="13" t="inlineStr">
        <is>
          <t>화면</t>
        </is>
      </c>
      <c r="B471" s="13" t="inlineStr">
        <is>
          <t>INAV-01</t>
        </is>
      </c>
      <c r="C471" s="13" t="inlineStr">
        <is>
          <t>TC-INAV-01-14</t>
        </is>
      </c>
      <c r="D471" s="13" t="inlineStr">
        <is>
          <t>기능</t>
        </is>
      </c>
      <c r="E471" s="13" t="inlineStr">
        <is>
          <t>보류</t>
        </is>
      </c>
    </row>
    <row r="472">
      <c r="A472" s="13" t="inlineStr">
        <is>
          <t>요건</t>
        </is>
      </c>
      <c r="B472" s="13" t="inlineStr">
        <is>
          <t>SC-05</t>
        </is>
      </c>
      <c r="C472" s="13" t="inlineStr">
        <is>
          <t>TC-INAV-01-14</t>
        </is>
      </c>
      <c r="D472" s="13" t="inlineStr">
        <is>
          <t>기능</t>
        </is>
      </c>
      <c r="E472" s="13" t="inlineStr">
        <is>
          <t>보류</t>
        </is>
      </c>
    </row>
    <row r="473">
      <c r="A473" s="13" t="inlineStr">
        <is>
          <t>요건</t>
        </is>
      </c>
      <c r="B473" s="13" t="inlineStr">
        <is>
          <t>FR-R1</t>
        </is>
      </c>
      <c r="C473" s="13" t="inlineStr">
        <is>
          <t>TC-INAV-01-14</t>
        </is>
      </c>
      <c r="D473" s="13" t="inlineStr">
        <is>
          <t>기능</t>
        </is>
      </c>
      <c r="E473" s="13" t="inlineStr">
        <is>
          <t>보류</t>
        </is>
      </c>
    </row>
    <row r="474">
      <c r="A474" s="13" t="inlineStr">
        <is>
          <t>화면</t>
        </is>
      </c>
      <c r="B474" s="13" t="inlineStr">
        <is>
          <t>INAV-01</t>
        </is>
      </c>
      <c r="C474" s="13" t="inlineStr">
        <is>
          <t>TC-INAV-01-15</t>
        </is>
      </c>
      <c r="D474" s="13" t="inlineStr">
        <is>
          <t>기능</t>
        </is>
      </c>
      <c r="E474" s="13" t="inlineStr">
        <is>
          <t>보류</t>
        </is>
      </c>
    </row>
    <row r="475">
      <c r="A475" s="13" t="inlineStr">
        <is>
          <t>요건</t>
        </is>
      </c>
      <c r="B475" s="13" t="inlineStr">
        <is>
          <t>MB-2</t>
        </is>
      </c>
      <c r="C475" s="13" t="inlineStr">
        <is>
          <t>TC-INAV-01-15</t>
        </is>
      </c>
      <c r="D475" s="13" t="inlineStr">
        <is>
          <t>기능</t>
        </is>
      </c>
      <c r="E475" s="13" t="inlineStr">
        <is>
          <t>보류</t>
        </is>
      </c>
    </row>
    <row r="476">
      <c r="A476" s="13" t="inlineStr">
        <is>
          <t>요건</t>
        </is>
      </c>
      <c r="B476" s="13" t="inlineStr">
        <is>
          <t>AC-01</t>
        </is>
      </c>
      <c r="C476" s="13" t="inlineStr">
        <is>
          <t>TC-INAV-01-15</t>
        </is>
      </c>
      <c r="D476" s="13" t="inlineStr">
        <is>
          <t>기능</t>
        </is>
      </c>
      <c r="E476" s="13" t="inlineStr">
        <is>
          <t>보류</t>
        </is>
      </c>
    </row>
    <row r="477">
      <c r="A477" s="13" t="inlineStr">
        <is>
          <t>화면</t>
        </is>
      </c>
      <c r="B477" s="13" t="inlineStr">
        <is>
          <t>INAV-01</t>
        </is>
      </c>
      <c r="C477" s="13" t="inlineStr">
        <is>
          <t>TC-INAV-01-16</t>
        </is>
      </c>
      <c r="D477" s="13" t="inlineStr">
        <is>
          <t>기능</t>
        </is>
      </c>
      <c r="E477" s="13" t="inlineStr">
        <is>
          <t>미실행</t>
        </is>
      </c>
    </row>
    <row r="478">
      <c r="A478" s="13" t="inlineStr">
        <is>
          <t>요건</t>
        </is>
      </c>
      <c r="B478" s="13" t="inlineStr">
        <is>
          <t>V-5</t>
        </is>
      </c>
      <c r="C478" s="13" t="inlineStr">
        <is>
          <t>TC-INAV-01-16</t>
        </is>
      </c>
      <c r="D478" s="13" t="inlineStr">
        <is>
          <t>기능</t>
        </is>
      </c>
      <c r="E478" s="13" t="inlineStr">
        <is>
          <t>미실행</t>
        </is>
      </c>
    </row>
    <row r="479">
      <c r="A479" s="13" t="inlineStr">
        <is>
          <t>요건</t>
        </is>
      </c>
      <c r="B479" s="13" t="inlineStr">
        <is>
          <t>NFR-04</t>
        </is>
      </c>
      <c r="C479" s="13" t="inlineStr">
        <is>
          <t>TC-INAV-01-16</t>
        </is>
      </c>
      <c r="D479" s="13" t="inlineStr">
        <is>
          <t>기능</t>
        </is>
      </c>
      <c r="E479" s="13" t="inlineStr">
        <is>
          <t>미실행</t>
        </is>
      </c>
    </row>
    <row r="480">
      <c r="A480" s="13" t="inlineStr">
        <is>
          <t>화면</t>
        </is>
      </c>
      <c r="B480" s="13" t="inlineStr">
        <is>
          <t>INAV-01</t>
        </is>
      </c>
      <c r="C480" s="13" t="inlineStr">
        <is>
          <t>TC-INAV-01-17</t>
        </is>
      </c>
      <c r="D480" s="13" t="inlineStr">
        <is>
          <t>기능</t>
        </is>
      </c>
      <c r="E480" s="13" t="inlineStr">
        <is>
          <t>미실행</t>
        </is>
      </c>
    </row>
    <row r="481">
      <c r="A481" s="13" t="inlineStr">
        <is>
          <t>요건</t>
        </is>
      </c>
      <c r="B481" s="13" t="inlineStr">
        <is>
          <t>NFR-04</t>
        </is>
      </c>
      <c r="C481" s="13" t="inlineStr">
        <is>
          <t>TC-INAV-01-17</t>
        </is>
      </c>
      <c r="D481" s="13" t="inlineStr">
        <is>
          <t>기능</t>
        </is>
      </c>
      <c r="E481" s="13" t="inlineStr">
        <is>
          <t>미실행</t>
        </is>
      </c>
    </row>
    <row r="482">
      <c r="A482" s="13" t="inlineStr">
        <is>
          <t>화면</t>
        </is>
      </c>
      <c r="B482" s="13" t="inlineStr">
        <is>
          <t>INAV-01</t>
        </is>
      </c>
      <c r="C482" s="13" t="inlineStr">
        <is>
          <t>TC-INAV-01-18</t>
        </is>
      </c>
      <c r="D482" s="13" t="inlineStr">
        <is>
          <t>기능</t>
        </is>
      </c>
      <c r="E482" s="13" t="inlineStr">
        <is>
          <t>미실행</t>
        </is>
      </c>
    </row>
    <row r="483">
      <c r="A483" s="13" t="inlineStr">
        <is>
          <t>요건</t>
        </is>
      </c>
      <c r="B483" s="13" t="inlineStr">
        <is>
          <t>V-5</t>
        </is>
      </c>
      <c r="C483" s="13" t="inlineStr">
        <is>
          <t>TC-INAV-01-18</t>
        </is>
      </c>
      <c r="D483" s="13" t="inlineStr">
        <is>
          <t>기능</t>
        </is>
      </c>
      <c r="E483" s="13" t="inlineStr">
        <is>
          <t>미실행</t>
        </is>
      </c>
    </row>
    <row r="484">
      <c r="A484" s="13" t="inlineStr">
        <is>
          <t>요건</t>
        </is>
      </c>
      <c r="B484" s="13" t="inlineStr">
        <is>
          <t>FR-R1</t>
        </is>
      </c>
      <c r="C484" s="13" t="inlineStr">
        <is>
          <t>TC-INAV-01-18</t>
        </is>
      </c>
      <c r="D484" s="13" t="inlineStr">
        <is>
          <t>기능</t>
        </is>
      </c>
      <c r="E484" s="13" t="inlineStr">
        <is>
          <t>미실행</t>
        </is>
      </c>
    </row>
    <row r="485">
      <c r="A485" s="13" t="inlineStr">
        <is>
          <t>화면</t>
        </is>
      </c>
      <c r="B485" s="13" t="inlineStr">
        <is>
          <t>INAV-01</t>
        </is>
      </c>
      <c r="C485" s="13" t="inlineStr">
        <is>
          <t>TC-INAV-01-19</t>
        </is>
      </c>
      <c r="D485" s="13" t="inlineStr">
        <is>
          <t>기능</t>
        </is>
      </c>
      <c r="E485" s="13" t="inlineStr">
        <is>
          <t>미실행</t>
        </is>
      </c>
    </row>
    <row r="486">
      <c r="A486" s="13" t="inlineStr">
        <is>
          <t>요건</t>
        </is>
      </c>
      <c r="B486" s="13" t="inlineStr">
        <is>
          <t>FR-R1</t>
        </is>
      </c>
      <c r="C486" s="13" t="inlineStr">
        <is>
          <t>TC-INAV-01-19</t>
        </is>
      </c>
      <c r="D486" s="13" t="inlineStr">
        <is>
          <t>기능</t>
        </is>
      </c>
      <c r="E486" s="13" t="inlineStr">
        <is>
          <t>미실행</t>
        </is>
      </c>
    </row>
    <row r="487">
      <c r="A487" s="13" t="inlineStr">
        <is>
          <t>요건</t>
        </is>
      </c>
      <c r="B487" s="13" t="inlineStr">
        <is>
          <t>V-1</t>
        </is>
      </c>
      <c r="C487" s="13" t="inlineStr">
        <is>
          <t>TC-INAV-01-19</t>
        </is>
      </c>
      <c r="D487" s="13" t="inlineStr">
        <is>
          <t>기능</t>
        </is>
      </c>
      <c r="E487" s="13" t="inlineStr">
        <is>
          <t>미실행</t>
        </is>
      </c>
    </row>
    <row r="488">
      <c r="A488" s="13" t="inlineStr">
        <is>
          <t>화면</t>
        </is>
      </c>
      <c r="B488" s="13" t="inlineStr">
        <is>
          <t>INAV-01</t>
        </is>
      </c>
      <c r="C488" s="13" t="inlineStr">
        <is>
          <t>TC-INAV-01-20</t>
        </is>
      </c>
      <c r="D488" s="13" t="inlineStr">
        <is>
          <t>접근성</t>
        </is>
      </c>
      <c r="E488" s="13" t="inlineStr">
        <is>
          <t>미실행</t>
        </is>
      </c>
    </row>
    <row r="489">
      <c r="A489" s="13" t="inlineStr">
        <is>
          <t>요건</t>
        </is>
      </c>
      <c r="B489" s="13" t="inlineStr">
        <is>
          <t>SC-05</t>
        </is>
      </c>
      <c r="C489" s="13" t="inlineStr">
        <is>
          <t>TC-INAV-01-20</t>
        </is>
      </c>
      <c r="D489" s="13" t="inlineStr">
        <is>
          <t>접근성</t>
        </is>
      </c>
      <c r="E489" s="13" t="inlineStr">
        <is>
          <t>미실행</t>
        </is>
      </c>
    </row>
    <row r="490">
      <c r="A490" s="13" t="inlineStr">
        <is>
          <t>요건</t>
        </is>
      </c>
      <c r="B490" s="13" t="inlineStr">
        <is>
          <t>AC-05</t>
        </is>
      </c>
      <c r="C490" s="13" t="inlineStr">
        <is>
          <t>TC-INAV-01-20</t>
        </is>
      </c>
      <c r="D490" s="13" t="inlineStr">
        <is>
          <t>접근성</t>
        </is>
      </c>
      <c r="E490" s="13" t="inlineStr">
        <is>
          <t>미실행</t>
        </is>
      </c>
    </row>
    <row r="491">
      <c r="A491" s="13" t="inlineStr">
        <is>
          <t>화면</t>
        </is>
      </c>
      <c r="B491" s="13" t="inlineStr">
        <is>
          <t>INAV-01</t>
        </is>
      </c>
      <c r="C491" s="13" t="inlineStr">
        <is>
          <t>TC-INAV-01-21</t>
        </is>
      </c>
      <c r="D491" s="13" t="inlineStr">
        <is>
          <t>접근성</t>
        </is>
      </c>
      <c r="E491" s="13" t="inlineStr">
        <is>
          <t>미실행</t>
        </is>
      </c>
    </row>
    <row r="492">
      <c r="A492" s="13" t="inlineStr">
        <is>
          <t>요건</t>
        </is>
      </c>
      <c r="B492" s="13" t="inlineStr">
        <is>
          <t>V-9</t>
        </is>
      </c>
      <c r="C492" s="13" t="inlineStr">
        <is>
          <t>TC-INAV-01-21</t>
        </is>
      </c>
      <c r="D492" s="13" t="inlineStr">
        <is>
          <t>접근성</t>
        </is>
      </c>
      <c r="E492" s="13" t="inlineStr">
        <is>
          <t>미실행</t>
        </is>
      </c>
    </row>
    <row r="493">
      <c r="A493" s="13" t="inlineStr">
        <is>
          <t>요건</t>
        </is>
      </c>
      <c r="B493" s="13" t="inlineStr">
        <is>
          <t>V-1</t>
        </is>
      </c>
      <c r="C493" s="13" t="inlineStr">
        <is>
          <t>TC-INAV-01-21</t>
        </is>
      </c>
      <c r="D493" s="13" t="inlineStr">
        <is>
          <t>접근성</t>
        </is>
      </c>
      <c r="E493" s="13" t="inlineStr">
        <is>
          <t>미실행</t>
        </is>
      </c>
    </row>
    <row r="494">
      <c r="A494" s="13" t="inlineStr">
        <is>
          <t>화면</t>
        </is>
      </c>
      <c r="B494" s="13" t="inlineStr">
        <is>
          <t>INAV-01</t>
        </is>
      </c>
      <c r="C494" s="13" t="inlineStr">
        <is>
          <t>TC-INAV-01-22</t>
        </is>
      </c>
      <c r="D494" s="13" t="inlineStr">
        <is>
          <t>접근성</t>
        </is>
      </c>
      <c r="E494" s="13" t="inlineStr">
        <is>
          <t>미실행</t>
        </is>
      </c>
    </row>
    <row r="495">
      <c r="A495" s="13" t="inlineStr">
        <is>
          <t>요건</t>
        </is>
      </c>
      <c r="B495" s="13" t="inlineStr">
        <is>
          <t>AC-05</t>
        </is>
      </c>
      <c r="C495" s="13" t="inlineStr">
        <is>
          <t>TC-INAV-01-22</t>
        </is>
      </c>
      <c r="D495" s="13" t="inlineStr">
        <is>
          <t>접근성</t>
        </is>
      </c>
      <c r="E495" s="13" t="inlineStr">
        <is>
          <t>미실행</t>
        </is>
      </c>
    </row>
    <row r="496">
      <c r="A496" s="13" t="inlineStr">
        <is>
          <t>요건</t>
        </is>
      </c>
      <c r="B496" s="13" t="inlineStr">
        <is>
          <t>V-1</t>
        </is>
      </c>
      <c r="C496" s="13" t="inlineStr">
        <is>
          <t>TC-INAV-01-22</t>
        </is>
      </c>
      <c r="D496" s="13" t="inlineStr">
        <is>
          <t>접근성</t>
        </is>
      </c>
      <c r="E496" s="13" t="inlineStr">
        <is>
          <t>미실행</t>
        </is>
      </c>
    </row>
    <row r="497">
      <c r="A497" s="13" t="inlineStr">
        <is>
          <t>화면</t>
        </is>
      </c>
      <c r="B497" s="13" t="inlineStr">
        <is>
          <t>INAV-01</t>
        </is>
      </c>
      <c r="C497" s="13" t="inlineStr">
        <is>
          <t>TC-INAV-01-23</t>
        </is>
      </c>
      <c r="D497" s="13" t="inlineStr">
        <is>
          <t>접근성</t>
        </is>
      </c>
      <c r="E497" s="13" t="inlineStr">
        <is>
          <t>미실행</t>
        </is>
      </c>
    </row>
    <row r="498">
      <c r="A498" s="13" t="inlineStr">
        <is>
          <t>요건</t>
        </is>
      </c>
      <c r="B498" s="13" t="inlineStr">
        <is>
          <t>AC-05</t>
        </is>
      </c>
      <c r="C498" s="13" t="inlineStr">
        <is>
          <t>TC-INAV-01-23</t>
        </is>
      </c>
      <c r="D498" s="13" t="inlineStr">
        <is>
          <t>접근성</t>
        </is>
      </c>
      <c r="E498" s="13" t="inlineStr">
        <is>
          <t>미실행</t>
        </is>
      </c>
    </row>
    <row r="499">
      <c r="A499" s="13" t="inlineStr">
        <is>
          <t>요건</t>
        </is>
      </c>
      <c r="B499" s="13" t="inlineStr">
        <is>
          <t>V-6</t>
        </is>
      </c>
      <c r="C499" s="13" t="inlineStr">
        <is>
          <t>TC-INAV-01-23</t>
        </is>
      </c>
      <c r="D499" s="13" t="inlineStr">
        <is>
          <t>접근성</t>
        </is>
      </c>
      <c r="E499" s="13" t="inlineStr">
        <is>
          <t>미실행</t>
        </is>
      </c>
    </row>
    <row r="500">
      <c r="A500" s="13" t="inlineStr">
        <is>
          <t>화면</t>
        </is>
      </c>
      <c r="B500" s="13" t="inlineStr">
        <is>
          <t>INAV-01</t>
        </is>
      </c>
      <c r="C500" s="13" t="inlineStr">
        <is>
          <t>TC-INAV-01-24</t>
        </is>
      </c>
      <c r="D500" s="13" t="inlineStr">
        <is>
          <t>접근성</t>
        </is>
      </c>
      <c r="E500" s="13" t="inlineStr">
        <is>
          <t>미실행</t>
        </is>
      </c>
    </row>
    <row r="501">
      <c r="A501" s="13" t="inlineStr">
        <is>
          <t>요건</t>
        </is>
      </c>
      <c r="B501" s="13" t="inlineStr">
        <is>
          <t>NFR-02</t>
        </is>
      </c>
      <c r="C501" s="13" t="inlineStr">
        <is>
          <t>TC-INAV-01-24</t>
        </is>
      </c>
      <c r="D501" s="13" t="inlineStr">
        <is>
          <t>접근성</t>
        </is>
      </c>
      <c r="E501" s="13" t="inlineStr">
        <is>
          <t>미실행</t>
        </is>
      </c>
    </row>
    <row r="502">
      <c r="A502" s="13" t="inlineStr">
        <is>
          <t>화면</t>
        </is>
      </c>
      <c r="B502" s="13" t="inlineStr">
        <is>
          <t>INAV-01</t>
        </is>
      </c>
      <c r="C502" s="13" t="inlineStr">
        <is>
          <t>TC-INAV-01-25</t>
        </is>
      </c>
      <c r="D502" s="13" t="inlineStr">
        <is>
          <t>접근성</t>
        </is>
      </c>
      <c r="E502" s="13" t="inlineStr">
        <is>
          <t>미실행</t>
        </is>
      </c>
    </row>
    <row r="503">
      <c r="A503" s="13" t="inlineStr">
        <is>
          <t>요건</t>
        </is>
      </c>
      <c r="B503" s="13" t="inlineStr">
        <is>
          <t>AC-06</t>
        </is>
      </c>
      <c r="C503" s="13" t="inlineStr">
        <is>
          <t>TC-INAV-01-25</t>
        </is>
      </c>
      <c r="D503" s="13" t="inlineStr">
        <is>
          <t>접근성</t>
        </is>
      </c>
      <c r="E503" s="13" t="inlineStr">
        <is>
          <t>미실행</t>
        </is>
      </c>
    </row>
    <row r="504">
      <c r="A504" s="13" t="inlineStr">
        <is>
          <t>요건</t>
        </is>
      </c>
      <c r="B504" s="13" t="inlineStr">
        <is>
          <t>T-4</t>
        </is>
      </c>
      <c r="C504" s="13" t="inlineStr">
        <is>
          <t>TC-INAV-01-25</t>
        </is>
      </c>
      <c r="D504" s="13" t="inlineStr">
        <is>
          <t>접근성</t>
        </is>
      </c>
      <c r="E504" s="13" t="inlineStr">
        <is>
          <t>미실행</t>
        </is>
      </c>
    </row>
    <row r="505">
      <c r="A505" s="13" t="inlineStr">
        <is>
          <t>화면</t>
        </is>
      </c>
      <c r="B505" s="13" t="inlineStr">
        <is>
          <t>INAV-01</t>
        </is>
      </c>
      <c r="C505" s="13" t="inlineStr">
        <is>
          <t>TC-INAV-01-26</t>
        </is>
      </c>
      <c r="D505" s="13" t="inlineStr">
        <is>
          <t>접근성</t>
        </is>
      </c>
      <c r="E505" s="13" t="inlineStr">
        <is>
          <t>미실행</t>
        </is>
      </c>
    </row>
    <row r="506">
      <c r="A506" s="13" t="inlineStr">
        <is>
          <t>요건</t>
        </is>
      </c>
      <c r="B506" s="13" t="inlineStr">
        <is>
          <t>NFR-05</t>
        </is>
      </c>
      <c r="C506" s="13" t="inlineStr">
        <is>
          <t>TC-INAV-01-26</t>
        </is>
      </c>
      <c r="D506" s="13" t="inlineStr">
        <is>
          <t>접근성</t>
        </is>
      </c>
      <c r="E506" s="13" t="inlineStr">
        <is>
          <t>미실행</t>
        </is>
      </c>
    </row>
    <row r="507">
      <c r="A507" s="13" t="inlineStr">
        <is>
          <t>요건</t>
        </is>
      </c>
      <c r="B507" s="13" t="inlineStr">
        <is>
          <t>AC-05</t>
        </is>
      </c>
      <c r="C507" s="13" t="inlineStr">
        <is>
          <t>TC-INAV-01-26</t>
        </is>
      </c>
      <c r="D507" s="13" t="inlineStr">
        <is>
          <t>접근성</t>
        </is>
      </c>
      <c r="E507" s="13" t="inlineStr">
        <is>
          <t>미실행</t>
        </is>
      </c>
    </row>
    <row r="508">
      <c r="A508" s="13" t="inlineStr">
        <is>
          <t>화면</t>
        </is>
      </c>
      <c r="B508" s="13" t="inlineStr">
        <is>
          <t>ONAV-01</t>
        </is>
      </c>
      <c r="C508" s="13" t="inlineStr">
        <is>
          <t>TC-INAV-01-27</t>
        </is>
      </c>
      <c r="D508" s="13" t="inlineStr">
        <is>
          <t>시나리오</t>
        </is>
      </c>
      <c r="E508" s="13" t="inlineStr">
        <is>
          <t>미실행</t>
        </is>
      </c>
    </row>
    <row r="509">
      <c r="A509" s="13" t="inlineStr">
        <is>
          <t>화면</t>
        </is>
      </c>
      <c r="B509" s="13" t="inlineStr">
        <is>
          <t>INAV-01</t>
        </is>
      </c>
      <c r="C509" s="13" t="inlineStr">
        <is>
          <t>TC-INAV-01-27</t>
        </is>
      </c>
      <c r="D509" s="13" t="inlineStr">
        <is>
          <t>시나리오</t>
        </is>
      </c>
      <c r="E509" s="13" t="inlineStr">
        <is>
          <t>미실행</t>
        </is>
      </c>
    </row>
    <row r="510">
      <c r="A510" s="13" t="inlineStr">
        <is>
          <t>요건</t>
        </is>
      </c>
      <c r="B510" s="13" t="inlineStr">
        <is>
          <t>US-03</t>
        </is>
      </c>
      <c r="C510" s="13" t="inlineStr">
        <is>
          <t>TC-INAV-01-27</t>
        </is>
      </c>
      <c r="D510" s="13" t="inlineStr">
        <is>
          <t>시나리오</t>
        </is>
      </c>
      <c r="E510" s="13" t="inlineStr">
        <is>
          <t>미실행</t>
        </is>
      </c>
    </row>
    <row r="511">
      <c r="A511" s="13" t="inlineStr">
        <is>
          <t>요건</t>
        </is>
      </c>
      <c r="B511" s="13" t="inlineStr">
        <is>
          <t>FR-R1</t>
        </is>
      </c>
      <c r="C511" s="13" t="inlineStr">
        <is>
          <t>TC-INAV-01-27</t>
        </is>
      </c>
      <c r="D511" s="13" t="inlineStr">
        <is>
          <t>시나리오</t>
        </is>
      </c>
      <c r="E511" s="13" t="inlineStr">
        <is>
          <t>미실행</t>
        </is>
      </c>
    </row>
    <row r="512">
      <c r="A512" s="13" t="inlineStr">
        <is>
          <t>화면</t>
        </is>
      </c>
      <c r="B512" s="13" t="inlineStr">
        <is>
          <t>INAV-01</t>
        </is>
      </c>
      <c r="C512" s="13" t="inlineStr">
        <is>
          <t>TC-INAV-01-28</t>
        </is>
      </c>
      <c r="D512" s="13" t="inlineStr">
        <is>
          <t>기능</t>
        </is>
      </c>
      <c r="E512" s="13" t="inlineStr">
        <is>
          <t>보류</t>
        </is>
      </c>
    </row>
    <row r="513">
      <c r="A513" s="13" t="inlineStr">
        <is>
          <t>요건</t>
        </is>
      </c>
      <c r="B513" s="13" t="inlineStr">
        <is>
          <t>AC-04</t>
        </is>
      </c>
      <c r="C513" s="13" t="inlineStr">
        <is>
          <t>TC-INAV-01-28</t>
        </is>
      </c>
      <c r="D513" s="13" t="inlineStr">
        <is>
          <t>기능</t>
        </is>
      </c>
      <c r="E513" s="13" t="inlineStr">
        <is>
          <t>보류</t>
        </is>
      </c>
    </row>
    <row r="514">
      <c r="A514" s="13" t="inlineStr">
        <is>
          <t>요건</t>
        </is>
      </c>
      <c r="B514" s="13" t="inlineStr">
        <is>
          <t>FR-R1</t>
        </is>
      </c>
      <c r="C514" s="13" t="inlineStr">
        <is>
          <t>TC-INAV-01-28</t>
        </is>
      </c>
      <c r="D514" s="13" t="inlineStr">
        <is>
          <t>기능</t>
        </is>
      </c>
      <c r="E514" s="13" t="inlineStr">
        <is>
          <t>보류</t>
        </is>
      </c>
    </row>
    <row r="515">
      <c r="A515" s="13" t="inlineStr">
        <is>
          <t>화면</t>
        </is>
      </c>
      <c r="B515" s="13" t="inlineStr">
        <is>
          <t>INAV-01</t>
        </is>
      </c>
      <c r="C515" s="13" t="inlineStr">
        <is>
          <t>TC-INAV-01-29</t>
        </is>
      </c>
      <c r="D515" s="13" t="inlineStr">
        <is>
          <t>대상외</t>
        </is>
      </c>
      <c r="E515" s="13" t="inlineStr">
        <is>
          <t>미실행</t>
        </is>
      </c>
    </row>
    <row r="516">
      <c r="A516" s="13" t="inlineStr">
        <is>
          <t>요건</t>
        </is>
      </c>
      <c r="B516" s="13" t="inlineStr">
        <is>
          <t>AC-09</t>
        </is>
      </c>
      <c r="C516" s="13" t="inlineStr">
        <is>
          <t>TC-INAV-01-29</t>
        </is>
      </c>
      <c r="D516" s="13" t="inlineStr">
        <is>
          <t>대상외</t>
        </is>
      </c>
      <c r="E516" s="13" t="inlineStr">
        <is>
          <t>미실행</t>
        </is>
      </c>
    </row>
    <row r="517">
      <c r="A517" s="13" t="inlineStr">
        <is>
          <t>화면</t>
        </is>
      </c>
      <c r="B517" s="13" t="inlineStr">
        <is>
          <t>INAV-01</t>
        </is>
      </c>
      <c r="C517" s="13" t="inlineStr">
        <is>
          <t>TC-INAV-01-30</t>
        </is>
      </c>
      <c r="D517" s="13" t="inlineStr">
        <is>
          <t>비기능</t>
        </is>
      </c>
      <c r="E517" s="13" t="inlineStr">
        <is>
          <t>보류</t>
        </is>
      </c>
    </row>
    <row r="518">
      <c r="A518" s="13" t="inlineStr">
        <is>
          <t>요건</t>
        </is>
      </c>
      <c r="B518" s="13" t="inlineStr">
        <is>
          <t>NFR-10</t>
        </is>
      </c>
      <c r="C518" s="13" t="inlineStr">
        <is>
          <t>TC-INAV-01-30</t>
        </is>
      </c>
      <c r="D518" s="13" t="inlineStr">
        <is>
          <t>비기능</t>
        </is>
      </c>
      <c r="E518" s="13" t="inlineStr">
        <is>
          <t>보류</t>
        </is>
      </c>
    </row>
    <row r="519">
      <c r="A519" s="13" t="inlineStr">
        <is>
          <t>화면</t>
        </is>
      </c>
      <c r="B519" s="13" t="inlineStr">
        <is>
          <t>1-3</t>
        </is>
      </c>
      <c r="C519" s="13" t="inlineStr">
        <is>
          <t>TC-1-3-01</t>
        </is>
      </c>
      <c r="D519" s="13" t="inlineStr">
        <is>
          <t>기능</t>
        </is>
      </c>
      <c r="E519" s="13" t="inlineStr">
        <is>
          <t>미실행</t>
        </is>
      </c>
    </row>
    <row r="520">
      <c r="A520" s="13" t="inlineStr">
        <is>
          <t>요건</t>
        </is>
      </c>
      <c r="B520" s="13" t="inlineStr">
        <is>
          <t>V-5</t>
        </is>
      </c>
      <c r="C520" s="13" t="inlineStr">
        <is>
          <t>TC-1-3-01</t>
        </is>
      </c>
      <c r="D520" s="13" t="inlineStr">
        <is>
          <t>기능</t>
        </is>
      </c>
      <c r="E520" s="13" t="inlineStr">
        <is>
          <t>미실행</t>
        </is>
      </c>
    </row>
    <row r="521">
      <c r="A521" s="13" t="inlineStr">
        <is>
          <t>화면</t>
        </is>
      </c>
      <c r="B521" s="13" t="inlineStr">
        <is>
          <t>1-3</t>
        </is>
      </c>
      <c r="C521" s="13" t="inlineStr">
        <is>
          <t>TC-1-3-02</t>
        </is>
      </c>
      <c r="D521" s="13" t="inlineStr">
        <is>
          <t>접근성</t>
        </is>
      </c>
      <c r="E521" s="13" t="inlineStr">
        <is>
          <t>미실행</t>
        </is>
      </c>
    </row>
    <row r="522">
      <c r="A522" s="13" t="inlineStr">
        <is>
          <t>요건</t>
        </is>
      </c>
      <c r="B522" s="13" t="inlineStr">
        <is>
          <t>NFR-05</t>
        </is>
      </c>
      <c r="C522" s="13" t="inlineStr">
        <is>
          <t>TC-1-3-02</t>
        </is>
      </c>
      <c r="D522" s="13" t="inlineStr">
        <is>
          <t>접근성</t>
        </is>
      </c>
      <c r="E522" s="13" t="inlineStr">
        <is>
          <t>미실행</t>
        </is>
      </c>
    </row>
    <row r="523">
      <c r="A523" s="13" t="inlineStr">
        <is>
          <t>요건</t>
        </is>
      </c>
      <c r="B523" s="13" t="inlineStr">
        <is>
          <t>AC-05</t>
        </is>
      </c>
      <c r="C523" s="13" t="inlineStr">
        <is>
          <t>TC-1-3-02</t>
        </is>
      </c>
      <c r="D523" s="13" t="inlineStr">
        <is>
          <t>접근성</t>
        </is>
      </c>
      <c r="E523" s="13" t="inlineStr">
        <is>
          <t>미실행</t>
        </is>
      </c>
    </row>
    <row r="524">
      <c r="A524" s="13" t="inlineStr">
        <is>
          <t>화면</t>
        </is>
      </c>
      <c r="B524" s="13" t="inlineStr">
        <is>
          <t>1-3</t>
        </is>
      </c>
      <c r="C524" s="13" t="inlineStr">
        <is>
          <t>TC-1-3-03</t>
        </is>
      </c>
      <c r="D524" s="13" t="inlineStr">
        <is>
          <t>접근성</t>
        </is>
      </c>
      <c r="E524" s="13" t="inlineStr">
        <is>
          <t>미실행</t>
        </is>
      </c>
    </row>
    <row r="525">
      <c r="A525" s="13" t="inlineStr">
        <is>
          <t>요건</t>
        </is>
      </c>
      <c r="B525" s="13" t="inlineStr">
        <is>
          <t>V-3</t>
        </is>
      </c>
      <c r="C525" s="13" t="inlineStr">
        <is>
          <t>TC-1-3-03</t>
        </is>
      </c>
      <c r="D525" s="13" t="inlineStr">
        <is>
          <t>접근성</t>
        </is>
      </c>
      <c r="E525" s="13" t="inlineStr">
        <is>
          <t>미실행</t>
        </is>
      </c>
    </row>
    <row r="526">
      <c r="A526" s="13" t="inlineStr">
        <is>
          <t>요건</t>
        </is>
      </c>
      <c r="B526" s="13" t="inlineStr">
        <is>
          <t>NFR-01</t>
        </is>
      </c>
      <c r="C526" s="13" t="inlineStr">
        <is>
          <t>TC-1-3-03</t>
        </is>
      </c>
      <c r="D526" s="13" t="inlineStr">
        <is>
          <t>접근성</t>
        </is>
      </c>
      <c r="E526" s="13" t="inlineStr">
        <is>
          <t>미실행</t>
        </is>
      </c>
    </row>
    <row r="527">
      <c r="A527" s="13" t="inlineStr">
        <is>
          <t>화면</t>
        </is>
      </c>
      <c r="B527" s="13" t="inlineStr">
        <is>
          <t>1-3</t>
        </is>
      </c>
      <c r="C527" s="13" t="inlineStr">
        <is>
          <t>TC-1-3-04</t>
        </is>
      </c>
      <c r="D527" s="13" t="inlineStr">
        <is>
          <t>기능</t>
        </is>
      </c>
      <c r="E527" s="13" t="inlineStr">
        <is>
          <t>미실행</t>
        </is>
      </c>
    </row>
    <row r="528">
      <c r="A528" s="13" t="inlineStr">
        <is>
          <t>요건</t>
        </is>
      </c>
      <c r="B528" s="13" t="inlineStr">
        <is>
          <t>FR-A5</t>
        </is>
      </c>
      <c r="C528" s="13" t="inlineStr">
        <is>
          <t>TC-1-3-04</t>
        </is>
      </c>
      <c r="D528" s="13" t="inlineStr">
        <is>
          <t>기능</t>
        </is>
      </c>
      <c r="E528" s="13" t="inlineStr">
        <is>
          <t>미실행</t>
        </is>
      </c>
    </row>
    <row r="529">
      <c r="A529" s="13" t="inlineStr">
        <is>
          <t>화면</t>
        </is>
      </c>
      <c r="B529" s="13" t="inlineStr">
        <is>
          <t>1-3</t>
        </is>
      </c>
      <c r="C529" s="13" t="inlineStr">
        <is>
          <t>TC-1-3-05</t>
        </is>
      </c>
      <c r="D529" s="13" t="inlineStr">
        <is>
          <t>기능</t>
        </is>
      </c>
      <c r="E529" s="13" t="inlineStr">
        <is>
          <t>미실행</t>
        </is>
      </c>
    </row>
    <row r="530">
      <c r="A530" s="13" t="inlineStr">
        <is>
          <t>요건</t>
        </is>
      </c>
      <c r="B530" s="13" t="inlineStr">
        <is>
          <t>FR-A5</t>
        </is>
      </c>
      <c r="C530" s="13" t="inlineStr">
        <is>
          <t>TC-1-3-05</t>
        </is>
      </c>
      <c r="D530" s="13" t="inlineStr">
        <is>
          <t>기능</t>
        </is>
      </c>
      <c r="E530" s="13" t="inlineStr">
        <is>
          <t>미실행</t>
        </is>
      </c>
    </row>
    <row r="531">
      <c r="A531" s="13" t="inlineStr">
        <is>
          <t>화면</t>
        </is>
      </c>
      <c r="B531" s="13" t="inlineStr">
        <is>
          <t>1-3</t>
        </is>
      </c>
      <c r="C531" s="13" t="inlineStr">
        <is>
          <t>TC-1-3-06</t>
        </is>
      </c>
      <c r="D531" s="13" t="inlineStr">
        <is>
          <t>기능</t>
        </is>
      </c>
      <c r="E531" s="13" t="inlineStr">
        <is>
          <t>미실행</t>
        </is>
      </c>
    </row>
    <row r="532">
      <c r="A532" s="13" t="inlineStr">
        <is>
          <t>요건</t>
        </is>
      </c>
      <c r="B532" s="13" t="inlineStr">
        <is>
          <t>V-3</t>
        </is>
      </c>
      <c r="C532" s="13" t="inlineStr">
        <is>
          <t>TC-1-3-06</t>
        </is>
      </c>
      <c r="D532" s="13" t="inlineStr">
        <is>
          <t>기능</t>
        </is>
      </c>
      <c r="E532" s="13" t="inlineStr">
        <is>
          <t>미실행</t>
        </is>
      </c>
    </row>
    <row r="533">
      <c r="A533" s="13" t="inlineStr">
        <is>
          <t>요건</t>
        </is>
      </c>
      <c r="B533" s="13" t="inlineStr">
        <is>
          <t>NFR-05</t>
        </is>
      </c>
      <c r="C533" s="13" t="inlineStr">
        <is>
          <t>TC-1-3-06</t>
        </is>
      </c>
      <c r="D533" s="13" t="inlineStr">
        <is>
          <t>기능</t>
        </is>
      </c>
      <c r="E533" s="13" t="inlineStr">
        <is>
          <t>미실행</t>
        </is>
      </c>
    </row>
    <row r="534">
      <c r="A534" s="13" t="inlineStr">
        <is>
          <t>화면</t>
        </is>
      </c>
      <c r="B534" s="13" t="inlineStr">
        <is>
          <t>1-3</t>
        </is>
      </c>
      <c r="C534" s="13" t="inlineStr">
        <is>
          <t>TC-1-3-07</t>
        </is>
      </c>
      <c r="D534" s="13" t="inlineStr">
        <is>
          <t>접근성</t>
        </is>
      </c>
      <c r="E534" s="13" t="inlineStr">
        <is>
          <t>미실행</t>
        </is>
      </c>
    </row>
    <row r="535">
      <c r="A535" s="13" t="inlineStr">
        <is>
          <t>요건</t>
        </is>
      </c>
      <c r="B535" s="13" t="inlineStr">
        <is>
          <t>AC-05</t>
        </is>
      </c>
      <c r="C535" s="13" t="inlineStr">
        <is>
          <t>TC-1-3-07</t>
        </is>
      </c>
      <c r="D535" s="13" t="inlineStr">
        <is>
          <t>접근성</t>
        </is>
      </c>
      <c r="E535" s="13" t="inlineStr">
        <is>
          <t>미실행</t>
        </is>
      </c>
    </row>
    <row r="536">
      <c r="A536" s="13" t="inlineStr">
        <is>
          <t>요건</t>
        </is>
      </c>
      <c r="B536" s="13" t="inlineStr">
        <is>
          <t>NFR-05</t>
        </is>
      </c>
      <c r="C536" s="13" t="inlineStr">
        <is>
          <t>TC-1-3-07</t>
        </is>
      </c>
      <c r="D536" s="13" t="inlineStr">
        <is>
          <t>접근성</t>
        </is>
      </c>
      <c r="E536" s="13" t="inlineStr">
        <is>
          <t>미실행</t>
        </is>
      </c>
    </row>
    <row r="537">
      <c r="A537" s="13" t="inlineStr">
        <is>
          <t>화면</t>
        </is>
      </c>
      <c r="B537" s="13" t="inlineStr">
        <is>
          <t>1-3</t>
        </is>
      </c>
      <c r="C537" s="13" t="inlineStr">
        <is>
          <t>TC-1-3-08</t>
        </is>
      </c>
      <c r="D537" s="13" t="inlineStr">
        <is>
          <t>접근성</t>
        </is>
      </c>
      <c r="E537" s="13" t="inlineStr">
        <is>
          <t>미실행</t>
        </is>
      </c>
    </row>
    <row r="538">
      <c r="A538" s="13" t="inlineStr">
        <is>
          <t>요건</t>
        </is>
      </c>
      <c r="B538" s="13" t="inlineStr">
        <is>
          <t>NFR-04</t>
        </is>
      </c>
      <c r="C538" s="13" t="inlineStr">
        <is>
          <t>TC-1-3-08</t>
        </is>
      </c>
      <c r="D538" s="13" t="inlineStr">
        <is>
          <t>접근성</t>
        </is>
      </c>
      <c r="E538" s="13" t="inlineStr">
        <is>
          <t>미실행</t>
        </is>
      </c>
    </row>
    <row r="539">
      <c r="A539" s="13" t="inlineStr">
        <is>
          <t>요건</t>
        </is>
      </c>
      <c r="B539" s="13" t="inlineStr">
        <is>
          <t>AC-05</t>
        </is>
      </c>
      <c r="C539" s="13" t="inlineStr">
        <is>
          <t>TC-1-3-08</t>
        </is>
      </c>
      <c r="D539" s="13" t="inlineStr">
        <is>
          <t>접근성</t>
        </is>
      </c>
      <c r="E539" s="13" t="inlineStr">
        <is>
          <t>미실행</t>
        </is>
      </c>
    </row>
    <row r="540">
      <c r="A540" s="13" t="inlineStr">
        <is>
          <t>화면</t>
        </is>
      </c>
      <c r="B540" s="13" t="inlineStr">
        <is>
          <t>1-3</t>
        </is>
      </c>
      <c r="C540" s="13" t="inlineStr">
        <is>
          <t>TC-1-3-09</t>
        </is>
      </c>
      <c r="D540" s="13" t="inlineStr">
        <is>
          <t>기능</t>
        </is>
      </c>
      <c r="E540" s="13" t="inlineStr">
        <is>
          <t>미실행</t>
        </is>
      </c>
    </row>
    <row r="541">
      <c r="A541" s="13" t="inlineStr">
        <is>
          <t>요건</t>
        </is>
      </c>
      <c r="B541" s="13" t="inlineStr">
        <is>
          <t>V-6</t>
        </is>
      </c>
      <c r="C541" s="13" t="inlineStr">
        <is>
          <t>TC-1-3-09</t>
        </is>
      </c>
      <c r="D541" s="13" t="inlineStr">
        <is>
          <t>기능</t>
        </is>
      </c>
      <c r="E541" s="13" t="inlineStr">
        <is>
          <t>미실행</t>
        </is>
      </c>
    </row>
    <row r="542">
      <c r="A542" s="13" t="inlineStr">
        <is>
          <t>화면</t>
        </is>
      </c>
      <c r="B542" s="13" t="inlineStr">
        <is>
          <t>1-3</t>
        </is>
      </c>
      <c r="C542" s="13" t="inlineStr">
        <is>
          <t>TC-1-3-10</t>
        </is>
      </c>
      <c r="D542" s="13" t="inlineStr">
        <is>
          <t>기능</t>
        </is>
      </c>
      <c r="E542" s="13" t="inlineStr">
        <is>
          <t>미실행</t>
        </is>
      </c>
    </row>
    <row r="543">
      <c r="A543" s="13" t="inlineStr">
        <is>
          <t>화면</t>
        </is>
      </c>
      <c r="B543" s="13" t="inlineStr">
        <is>
          <t>BUS-03</t>
        </is>
      </c>
      <c r="C543" s="13" t="inlineStr">
        <is>
          <t>TC-1-3-10</t>
        </is>
      </c>
      <c r="D543" s="13" t="inlineStr">
        <is>
          <t>기능</t>
        </is>
      </c>
      <c r="E543" s="13" t="inlineStr">
        <is>
          <t>미실행</t>
        </is>
      </c>
    </row>
    <row r="544">
      <c r="A544" s="13" t="inlineStr">
        <is>
          <t>요건</t>
        </is>
      </c>
      <c r="B544" s="13" t="inlineStr">
        <is>
          <t>V-5</t>
        </is>
      </c>
      <c r="C544" s="13" t="inlineStr">
        <is>
          <t>TC-1-3-10</t>
        </is>
      </c>
      <c r="D544" s="13" t="inlineStr">
        <is>
          <t>기능</t>
        </is>
      </c>
      <c r="E544" s="13" t="inlineStr">
        <is>
          <t>미실행</t>
        </is>
      </c>
    </row>
    <row r="545">
      <c r="A545" s="13" t="inlineStr">
        <is>
          <t>요건</t>
        </is>
      </c>
      <c r="B545" s="13" t="inlineStr">
        <is>
          <t>FR-A5</t>
        </is>
      </c>
      <c r="C545" s="13" t="inlineStr">
        <is>
          <t>TC-1-3-10</t>
        </is>
      </c>
      <c r="D545" s="13" t="inlineStr">
        <is>
          <t>기능</t>
        </is>
      </c>
      <c r="E545" s="13" t="inlineStr">
        <is>
          <t>미실행</t>
        </is>
      </c>
    </row>
    <row r="546">
      <c r="A546" s="13" t="inlineStr">
        <is>
          <t>화면</t>
        </is>
      </c>
      <c r="B546" s="13" t="inlineStr">
        <is>
          <t>BUS-03</t>
        </is>
      </c>
      <c r="C546" s="13" t="inlineStr">
        <is>
          <t>TC-BUS-03-01</t>
        </is>
      </c>
      <c r="D546" s="13" t="inlineStr">
        <is>
          <t>기능</t>
        </is>
      </c>
      <c r="E546" s="13" t="inlineStr">
        <is>
          <t>미실행</t>
        </is>
      </c>
    </row>
    <row r="547">
      <c r="A547" s="13" t="inlineStr">
        <is>
          <t>요건</t>
        </is>
      </c>
      <c r="B547" s="13" t="inlineStr">
        <is>
          <t>V-3</t>
        </is>
      </c>
      <c r="C547" s="13" t="inlineStr">
        <is>
          <t>TC-BUS-03-01</t>
        </is>
      </c>
      <c r="D547" s="13" t="inlineStr">
        <is>
          <t>기능</t>
        </is>
      </c>
      <c r="E547" s="13" t="inlineStr">
        <is>
          <t>미실행</t>
        </is>
      </c>
    </row>
    <row r="548">
      <c r="A548" s="13" t="inlineStr">
        <is>
          <t>요건</t>
        </is>
      </c>
      <c r="B548" s="13" t="inlineStr">
        <is>
          <t>V-4</t>
        </is>
      </c>
      <c r="C548" s="13" t="inlineStr">
        <is>
          <t>TC-BUS-03-01</t>
        </is>
      </c>
      <c r="D548" s="13" t="inlineStr">
        <is>
          <t>기능</t>
        </is>
      </c>
      <c r="E548" s="13" t="inlineStr">
        <is>
          <t>미실행</t>
        </is>
      </c>
    </row>
    <row r="549">
      <c r="A549" s="13" t="inlineStr">
        <is>
          <t>화면</t>
        </is>
      </c>
      <c r="B549" s="13" t="inlineStr">
        <is>
          <t>BUS-03</t>
        </is>
      </c>
      <c r="C549" s="13" t="inlineStr">
        <is>
          <t>TC-BUS-03-02</t>
        </is>
      </c>
      <c r="D549" s="13" t="inlineStr">
        <is>
          <t>접근성</t>
        </is>
      </c>
      <c r="E549" s="13" t="inlineStr">
        <is>
          <t>미실행</t>
        </is>
      </c>
    </row>
    <row r="550">
      <c r="A550" s="13" t="inlineStr">
        <is>
          <t>요건</t>
        </is>
      </c>
      <c r="B550" s="13" t="inlineStr">
        <is>
          <t>V-4</t>
        </is>
      </c>
      <c r="C550" s="13" t="inlineStr">
        <is>
          <t>TC-BUS-03-02</t>
        </is>
      </c>
      <c r="D550" s="13" t="inlineStr">
        <is>
          <t>접근성</t>
        </is>
      </c>
      <c r="E550" s="13" t="inlineStr">
        <is>
          <t>미실행</t>
        </is>
      </c>
    </row>
    <row r="551">
      <c r="A551" s="13" t="inlineStr">
        <is>
          <t>요건</t>
        </is>
      </c>
      <c r="B551" s="13" t="inlineStr">
        <is>
          <t>AC-05</t>
        </is>
      </c>
      <c r="C551" s="13" t="inlineStr">
        <is>
          <t>TC-BUS-03-02</t>
        </is>
      </c>
      <c r="D551" s="13" t="inlineStr">
        <is>
          <t>접근성</t>
        </is>
      </c>
      <c r="E551" s="13" t="inlineStr">
        <is>
          <t>미실행</t>
        </is>
      </c>
    </row>
    <row r="552">
      <c r="A552" s="13" t="inlineStr">
        <is>
          <t>화면</t>
        </is>
      </c>
      <c r="B552" s="13" t="inlineStr">
        <is>
          <t>BUS-03</t>
        </is>
      </c>
      <c r="C552" s="13" t="inlineStr">
        <is>
          <t>TC-BUS-03-03</t>
        </is>
      </c>
      <c r="D552" s="13" t="inlineStr">
        <is>
          <t>기능</t>
        </is>
      </c>
      <c r="E552" s="13" t="inlineStr">
        <is>
          <t>미실행</t>
        </is>
      </c>
    </row>
    <row r="553">
      <c r="A553" s="13" t="inlineStr">
        <is>
          <t>요건</t>
        </is>
      </c>
      <c r="B553" s="13" t="inlineStr">
        <is>
          <t>V-3</t>
        </is>
      </c>
      <c r="C553" s="13" t="inlineStr">
        <is>
          <t>TC-BUS-03-03</t>
        </is>
      </c>
      <c r="D553" s="13" t="inlineStr">
        <is>
          <t>기능</t>
        </is>
      </c>
      <c r="E553" s="13" t="inlineStr">
        <is>
          <t>미실행</t>
        </is>
      </c>
    </row>
    <row r="554">
      <c r="A554" s="13" t="inlineStr">
        <is>
          <t>화면</t>
        </is>
      </c>
      <c r="B554" s="13" t="inlineStr">
        <is>
          <t>BUS-03</t>
        </is>
      </c>
      <c r="C554" s="13" t="inlineStr">
        <is>
          <t>TC-BUS-03-04</t>
        </is>
      </c>
      <c r="D554" s="13" t="inlineStr">
        <is>
          <t>접근성</t>
        </is>
      </c>
      <c r="E554" s="13" t="inlineStr">
        <is>
          <t>미실행</t>
        </is>
      </c>
    </row>
    <row r="555">
      <c r="A555" s="13" t="inlineStr">
        <is>
          <t>요건</t>
        </is>
      </c>
      <c r="B555" s="13" t="inlineStr">
        <is>
          <t>V-3</t>
        </is>
      </c>
      <c r="C555" s="13" t="inlineStr">
        <is>
          <t>TC-BUS-03-04</t>
        </is>
      </c>
      <c r="D555" s="13" t="inlineStr">
        <is>
          <t>접근성</t>
        </is>
      </c>
      <c r="E555" s="13" t="inlineStr">
        <is>
          <t>미실행</t>
        </is>
      </c>
    </row>
    <row r="556">
      <c r="A556" s="13" t="inlineStr">
        <is>
          <t>요건</t>
        </is>
      </c>
      <c r="B556" s="13" t="inlineStr">
        <is>
          <t>NFR-01</t>
        </is>
      </c>
      <c r="C556" s="13" t="inlineStr">
        <is>
          <t>TC-BUS-03-04</t>
        </is>
      </c>
      <c r="D556" s="13" t="inlineStr">
        <is>
          <t>접근성</t>
        </is>
      </c>
      <c r="E556" s="13" t="inlineStr">
        <is>
          <t>미실행</t>
        </is>
      </c>
    </row>
    <row r="557">
      <c r="A557" s="13" t="inlineStr">
        <is>
          <t>화면</t>
        </is>
      </c>
      <c r="B557" s="13" t="inlineStr">
        <is>
          <t>BUS-03</t>
        </is>
      </c>
      <c r="C557" s="13" t="inlineStr">
        <is>
          <t>TC-BUS-03-05</t>
        </is>
      </c>
      <c r="D557" s="13" t="inlineStr">
        <is>
          <t>기능</t>
        </is>
      </c>
      <c r="E557" s="13" t="inlineStr">
        <is>
          <t>미실행</t>
        </is>
      </c>
    </row>
    <row r="558">
      <c r="A558" s="13" t="inlineStr">
        <is>
          <t>요건</t>
        </is>
      </c>
      <c r="B558" s="13" t="inlineStr">
        <is>
          <t>FR-A5</t>
        </is>
      </c>
      <c r="C558" s="13" t="inlineStr">
        <is>
          <t>TC-BUS-03-05</t>
        </is>
      </c>
      <c r="D558" s="13" t="inlineStr">
        <is>
          <t>기능</t>
        </is>
      </c>
      <c r="E558" s="13" t="inlineStr">
        <is>
          <t>미실행</t>
        </is>
      </c>
    </row>
    <row r="559">
      <c r="A559" s="13" t="inlineStr">
        <is>
          <t>요건</t>
        </is>
      </c>
      <c r="B559" s="13" t="inlineStr">
        <is>
          <t>NFR-05</t>
        </is>
      </c>
      <c r="C559" s="13" t="inlineStr">
        <is>
          <t>TC-BUS-03-05</t>
        </is>
      </c>
      <c r="D559" s="13" t="inlineStr">
        <is>
          <t>기능</t>
        </is>
      </c>
      <c r="E559" s="13" t="inlineStr">
        <is>
          <t>미실행</t>
        </is>
      </c>
    </row>
    <row r="560">
      <c r="A560" s="13" t="inlineStr">
        <is>
          <t>화면</t>
        </is>
      </c>
      <c r="B560" s="13" t="inlineStr">
        <is>
          <t>BUS-03</t>
        </is>
      </c>
      <c r="C560" s="13" t="inlineStr">
        <is>
          <t>TC-BUS-03-06</t>
        </is>
      </c>
      <c r="D560" s="13" t="inlineStr">
        <is>
          <t>기능</t>
        </is>
      </c>
      <c r="E560" s="13" t="inlineStr">
        <is>
          <t>미실행</t>
        </is>
      </c>
    </row>
    <row r="561">
      <c r="A561" s="13" t="inlineStr">
        <is>
          <t>요건</t>
        </is>
      </c>
      <c r="B561" s="13" t="inlineStr">
        <is>
          <t>V-4</t>
        </is>
      </c>
      <c r="C561" s="13" t="inlineStr">
        <is>
          <t>TC-BUS-03-06</t>
        </is>
      </c>
      <c r="D561" s="13" t="inlineStr">
        <is>
          <t>기능</t>
        </is>
      </c>
      <c r="E561" s="13" t="inlineStr">
        <is>
          <t>미실행</t>
        </is>
      </c>
    </row>
    <row r="562">
      <c r="A562" s="13" t="inlineStr">
        <is>
          <t>요건</t>
        </is>
      </c>
      <c r="B562" s="13" t="inlineStr">
        <is>
          <t>V-6</t>
        </is>
      </c>
      <c r="C562" s="13" t="inlineStr">
        <is>
          <t>TC-BUS-03-06</t>
        </is>
      </c>
      <c r="D562" s="13" t="inlineStr">
        <is>
          <t>기능</t>
        </is>
      </c>
      <c r="E562" s="13" t="inlineStr">
        <is>
          <t>미실행</t>
        </is>
      </c>
    </row>
    <row r="563">
      <c r="A563" s="13" t="inlineStr">
        <is>
          <t>화면</t>
        </is>
      </c>
      <c r="B563" s="13" t="inlineStr">
        <is>
          <t>BUS-03</t>
        </is>
      </c>
      <c r="C563" s="13" t="inlineStr">
        <is>
          <t>TC-BUS-03-07</t>
        </is>
      </c>
      <c r="D563" s="13" t="inlineStr">
        <is>
          <t>기능</t>
        </is>
      </c>
      <c r="E563" s="13" t="inlineStr">
        <is>
          <t>미실행</t>
        </is>
      </c>
    </row>
    <row r="564">
      <c r="A564" s="13" t="inlineStr">
        <is>
          <t>요건</t>
        </is>
      </c>
      <c r="B564" s="13" t="inlineStr">
        <is>
          <t>V-6</t>
        </is>
      </c>
      <c r="C564" s="13" t="inlineStr">
        <is>
          <t>TC-BUS-03-07</t>
        </is>
      </c>
      <c r="D564" s="13" t="inlineStr">
        <is>
          <t>기능</t>
        </is>
      </c>
      <c r="E564" s="13" t="inlineStr">
        <is>
          <t>미실행</t>
        </is>
      </c>
    </row>
    <row r="565">
      <c r="A565" s="13" t="inlineStr">
        <is>
          <t>요건</t>
        </is>
      </c>
      <c r="B565" s="13" t="inlineStr">
        <is>
          <t>NFR-09</t>
        </is>
      </c>
      <c r="C565" s="13" t="inlineStr">
        <is>
          <t>TC-BUS-03-07</t>
        </is>
      </c>
      <c r="D565" s="13" t="inlineStr">
        <is>
          <t>기능</t>
        </is>
      </c>
      <c r="E565" s="13" t="inlineStr">
        <is>
          <t>미실행</t>
        </is>
      </c>
    </row>
    <row r="566">
      <c r="A566" s="13" t="inlineStr">
        <is>
          <t>요건</t>
        </is>
      </c>
      <c r="B566" s="13" t="inlineStr">
        <is>
          <t>E-2</t>
        </is>
      </c>
      <c r="C566" s="13" t="inlineStr">
        <is>
          <t>TC-BUS-03-07</t>
        </is>
      </c>
      <c r="D566" s="13" t="inlineStr">
        <is>
          <t>기능</t>
        </is>
      </c>
      <c r="E566" s="13" t="inlineStr">
        <is>
          <t>미실행</t>
        </is>
      </c>
    </row>
    <row r="567">
      <c r="A567" s="13" t="inlineStr">
        <is>
          <t>화면</t>
        </is>
      </c>
      <c r="B567" s="13" t="inlineStr">
        <is>
          <t>BUS-03</t>
        </is>
      </c>
      <c r="C567" s="13" t="inlineStr">
        <is>
          <t>TC-BUS-03-08</t>
        </is>
      </c>
      <c r="D567" s="13" t="inlineStr">
        <is>
          <t>접근성</t>
        </is>
      </c>
      <c r="E567" s="13" t="inlineStr">
        <is>
          <t>미실행</t>
        </is>
      </c>
    </row>
    <row r="568">
      <c r="A568" s="13" t="inlineStr">
        <is>
          <t>요건</t>
        </is>
      </c>
      <c r="B568" s="13" t="inlineStr">
        <is>
          <t>AC-05</t>
        </is>
      </c>
      <c r="C568" s="13" t="inlineStr">
        <is>
          <t>TC-BUS-03-08</t>
        </is>
      </c>
      <c r="D568" s="13" t="inlineStr">
        <is>
          <t>접근성</t>
        </is>
      </c>
      <c r="E568" s="13" t="inlineStr">
        <is>
          <t>미실행</t>
        </is>
      </c>
    </row>
    <row r="569">
      <c r="A569" s="13" t="inlineStr">
        <is>
          <t>요건</t>
        </is>
      </c>
      <c r="B569" s="13" t="inlineStr">
        <is>
          <t>NFR-05</t>
        </is>
      </c>
      <c r="C569" s="13" t="inlineStr">
        <is>
          <t>TC-BUS-03-08</t>
        </is>
      </c>
      <c r="D569" s="13" t="inlineStr">
        <is>
          <t>접근성</t>
        </is>
      </c>
      <c r="E569" s="13" t="inlineStr">
        <is>
          <t>미실행</t>
        </is>
      </c>
    </row>
    <row r="570">
      <c r="A570" s="13" t="inlineStr">
        <is>
          <t>화면</t>
        </is>
      </c>
      <c r="B570" s="13" t="inlineStr">
        <is>
          <t>BUS-03</t>
        </is>
      </c>
      <c r="C570" s="13" t="inlineStr">
        <is>
          <t>TC-BUS-03-09</t>
        </is>
      </c>
      <c r="D570" s="13" t="inlineStr">
        <is>
          <t>기능</t>
        </is>
      </c>
      <c r="E570" s="13" t="inlineStr">
        <is>
          <t>미실행</t>
        </is>
      </c>
    </row>
    <row r="571">
      <c r="A571" s="13" t="inlineStr">
        <is>
          <t>화면</t>
        </is>
      </c>
      <c r="B571" s="13" t="inlineStr">
        <is>
          <t>BUS-01</t>
        </is>
      </c>
      <c r="C571" s="13" t="inlineStr">
        <is>
          <t>TC-BUS-03-09</t>
        </is>
      </c>
      <c r="D571" s="13" t="inlineStr">
        <is>
          <t>기능</t>
        </is>
      </c>
      <c r="E571" s="13" t="inlineStr">
        <is>
          <t>미실행</t>
        </is>
      </c>
    </row>
    <row r="572">
      <c r="A572" s="13" t="inlineStr">
        <is>
          <t>요건</t>
        </is>
      </c>
      <c r="B572" s="13" t="inlineStr">
        <is>
          <t>SC-07</t>
        </is>
      </c>
      <c r="C572" s="13" t="inlineStr">
        <is>
          <t>TC-BUS-03-09</t>
        </is>
      </c>
      <c r="D572" s="13" t="inlineStr">
        <is>
          <t>기능</t>
        </is>
      </c>
      <c r="E572" s="13" t="inlineStr">
        <is>
          <t>미실행</t>
        </is>
      </c>
    </row>
    <row r="573">
      <c r="A573" s="13" t="inlineStr">
        <is>
          <t>요건</t>
        </is>
      </c>
      <c r="B573" s="13" t="inlineStr">
        <is>
          <t>FR-R4</t>
        </is>
      </c>
      <c r="C573" s="13" t="inlineStr">
        <is>
          <t>TC-BUS-03-09</t>
        </is>
      </c>
      <c r="D573" s="13" t="inlineStr">
        <is>
          <t>기능</t>
        </is>
      </c>
      <c r="E573" s="13" t="inlineStr">
        <is>
          <t>미실행</t>
        </is>
      </c>
    </row>
    <row r="574">
      <c r="A574" s="13" t="inlineStr">
        <is>
          <t>화면</t>
        </is>
      </c>
      <c r="B574" s="13" t="inlineStr">
        <is>
          <t>BUS-03</t>
        </is>
      </c>
      <c r="C574" s="13" t="inlineStr">
        <is>
          <t>TC-BUS-03-10</t>
        </is>
      </c>
      <c r="D574" s="13" t="inlineStr">
        <is>
          <t>접근성</t>
        </is>
      </c>
      <c r="E574" s="13" t="inlineStr">
        <is>
          <t>보류</t>
        </is>
      </c>
    </row>
    <row r="575">
      <c r="A575" s="13" t="inlineStr">
        <is>
          <t>요건</t>
        </is>
      </c>
      <c r="B575" s="13" t="inlineStr">
        <is>
          <t>V-1</t>
        </is>
      </c>
      <c r="C575" s="13" t="inlineStr">
        <is>
          <t>TC-BUS-03-10</t>
        </is>
      </c>
      <c r="D575" s="13" t="inlineStr">
        <is>
          <t>접근성</t>
        </is>
      </c>
      <c r="E575" s="13" t="inlineStr">
        <is>
          <t>보류</t>
        </is>
      </c>
    </row>
    <row r="576">
      <c r="A576" s="13" t="inlineStr">
        <is>
          <t>요건</t>
        </is>
      </c>
      <c r="B576" s="13" t="inlineStr">
        <is>
          <t>V-9</t>
        </is>
      </c>
      <c r="C576" s="13" t="inlineStr">
        <is>
          <t>TC-BUS-03-10</t>
        </is>
      </c>
      <c r="D576" s="13" t="inlineStr">
        <is>
          <t>접근성</t>
        </is>
      </c>
      <c r="E576" s="13" t="inlineStr">
        <is>
          <t>보류</t>
        </is>
      </c>
    </row>
    <row r="577">
      <c r="A577" s="13" t="inlineStr">
        <is>
          <t>화면</t>
        </is>
      </c>
      <c r="B577" s="13" t="inlineStr">
        <is>
          <t>2-5-1</t>
        </is>
      </c>
      <c r="C577" s="13" t="inlineStr">
        <is>
          <t>TC-2-5-1-01</t>
        </is>
      </c>
      <c r="D577" s="13" t="inlineStr">
        <is>
          <t>기능</t>
        </is>
      </c>
      <c r="E577" s="13" t="inlineStr">
        <is>
          <t>미실행</t>
        </is>
      </c>
    </row>
    <row r="578">
      <c r="A578" s="13" t="inlineStr">
        <is>
          <t>화면</t>
        </is>
      </c>
      <c r="B578" s="13" t="inlineStr">
        <is>
          <t>BUS-03</t>
        </is>
      </c>
      <c r="C578" s="13" t="inlineStr">
        <is>
          <t>TC-2-5-1-01</t>
        </is>
      </c>
      <c r="D578" s="13" t="inlineStr">
        <is>
          <t>기능</t>
        </is>
      </c>
      <c r="E578" s="13" t="inlineStr">
        <is>
          <t>미실행</t>
        </is>
      </c>
    </row>
    <row r="579">
      <c r="A579" s="13" t="inlineStr">
        <is>
          <t>요건</t>
        </is>
      </c>
      <c r="B579" s="13" t="inlineStr">
        <is>
          <t>FR-A5</t>
        </is>
      </c>
      <c r="C579" s="13" t="inlineStr">
        <is>
          <t>TC-2-5-1-01</t>
        </is>
      </c>
      <c r="D579" s="13" t="inlineStr">
        <is>
          <t>기능</t>
        </is>
      </c>
      <c r="E579" s="13" t="inlineStr">
        <is>
          <t>미실행</t>
        </is>
      </c>
    </row>
    <row r="580">
      <c r="A580" s="13" t="inlineStr">
        <is>
          <t>화면</t>
        </is>
      </c>
      <c r="B580" s="13" t="inlineStr">
        <is>
          <t>2-5-1</t>
        </is>
      </c>
      <c r="C580" s="13" t="inlineStr">
        <is>
          <t>TC-2-5-1-02</t>
        </is>
      </c>
      <c r="D580" s="13" t="inlineStr">
        <is>
          <t>접근성</t>
        </is>
      </c>
      <c r="E580" s="13" t="inlineStr">
        <is>
          <t>미실행</t>
        </is>
      </c>
    </row>
    <row r="581">
      <c r="A581" s="13" t="inlineStr">
        <is>
          <t>요건</t>
        </is>
      </c>
      <c r="B581" s="13" t="inlineStr">
        <is>
          <t>AC-05</t>
        </is>
      </c>
      <c r="C581" s="13" t="inlineStr">
        <is>
          <t>TC-2-5-1-02</t>
        </is>
      </c>
      <c r="D581" s="13" t="inlineStr">
        <is>
          <t>접근성</t>
        </is>
      </c>
      <c r="E581" s="13" t="inlineStr">
        <is>
          <t>미실행</t>
        </is>
      </c>
    </row>
    <row r="582">
      <c r="A582" s="13" t="inlineStr">
        <is>
          <t>요건</t>
        </is>
      </c>
      <c r="B582" s="13" t="inlineStr">
        <is>
          <t>NFR-04</t>
        </is>
      </c>
      <c r="C582" s="13" t="inlineStr">
        <is>
          <t>TC-2-5-1-02</t>
        </is>
      </c>
      <c r="D582" s="13" t="inlineStr">
        <is>
          <t>접근성</t>
        </is>
      </c>
      <c r="E582" s="13" t="inlineStr">
        <is>
          <t>미실행</t>
        </is>
      </c>
    </row>
    <row r="583">
      <c r="A583" s="13" t="inlineStr">
        <is>
          <t>화면</t>
        </is>
      </c>
      <c r="B583" s="13" t="inlineStr">
        <is>
          <t>2-5-1</t>
        </is>
      </c>
      <c r="C583" s="13" t="inlineStr">
        <is>
          <t>TC-2-5-1-03</t>
        </is>
      </c>
      <c r="D583" s="13" t="inlineStr">
        <is>
          <t>기능</t>
        </is>
      </c>
      <c r="E583" s="13" t="inlineStr">
        <is>
          <t>미실행</t>
        </is>
      </c>
    </row>
    <row r="584">
      <c r="A584" s="13" t="inlineStr">
        <is>
          <t>요건</t>
        </is>
      </c>
      <c r="B584" s="13" t="inlineStr">
        <is>
          <t>V-3</t>
        </is>
      </c>
      <c r="C584" s="13" t="inlineStr">
        <is>
          <t>TC-2-5-1-03</t>
        </is>
      </c>
      <c r="D584" s="13" t="inlineStr">
        <is>
          <t>기능</t>
        </is>
      </c>
      <c r="E584" s="13" t="inlineStr">
        <is>
          <t>미실행</t>
        </is>
      </c>
    </row>
    <row r="585">
      <c r="A585" s="13" t="inlineStr">
        <is>
          <t>요건</t>
        </is>
      </c>
      <c r="B585" s="13" t="inlineStr">
        <is>
          <t>NFR-05</t>
        </is>
      </c>
      <c r="C585" s="13" t="inlineStr">
        <is>
          <t>TC-2-5-1-03</t>
        </is>
      </c>
      <c r="D585" s="13" t="inlineStr">
        <is>
          <t>기능</t>
        </is>
      </c>
      <c r="E585" s="13" t="inlineStr">
        <is>
          <t>미실행</t>
        </is>
      </c>
    </row>
    <row r="586">
      <c r="A586" s="13" t="inlineStr">
        <is>
          <t>화면</t>
        </is>
      </c>
      <c r="B586" s="13" t="inlineStr">
        <is>
          <t>2-5-1</t>
        </is>
      </c>
      <c r="C586" s="13" t="inlineStr">
        <is>
          <t>TC-2-5-1-04</t>
        </is>
      </c>
      <c r="D586" s="13" t="inlineStr">
        <is>
          <t>접근성</t>
        </is>
      </c>
      <c r="E586" s="13" t="inlineStr">
        <is>
          <t>미실행</t>
        </is>
      </c>
    </row>
    <row r="587">
      <c r="A587" s="13" t="inlineStr">
        <is>
          <t>요건</t>
        </is>
      </c>
      <c r="B587" s="13" t="inlineStr">
        <is>
          <t>AC-05</t>
        </is>
      </c>
      <c r="C587" s="13" t="inlineStr">
        <is>
          <t>TC-2-5-1-04</t>
        </is>
      </c>
      <c r="D587" s="13" t="inlineStr">
        <is>
          <t>접근성</t>
        </is>
      </c>
      <c r="E587" s="13" t="inlineStr">
        <is>
          <t>미실행</t>
        </is>
      </c>
    </row>
    <row r="588">
      <c r="A588" s="13" t="inlineStr">
        <is>
          <t>요건</t>
        </is>
      </c>
      <c r="B588" s="13" t="inlineStr">
        <is>
          <t>V-1</t>
        </is>
      </c>
      <c r="C588" s="13" t="inlineStr">
        <is>
          <t>TC-2-5-1-04</t>
        </is>
      </c>
      <c r="D588" s="13" t="inlineStr">
        <is>
          <t>접근성</t>
        </is>
      </c>
      <c r="E588" s="13" t="inlineStr">
        <is>
          <t>미실행</t>
        </is>
      </c>
    </row>
    <row r="589">
      <c r="A589" s="13" t="inlineStr">
        <is>
          <t>화면</t>
        </is>
      </c>
      <c r="B589" s="13" t="inlineStr">
        <is>
          <t>2-5-1</t>
        </is>
      </c>
      <c r="C589" s="13" t="inlineStr">
        <is>
          <t>TC-2-5-1-05</t>
        </is>
      </c>
      <c r="D589" s="13" t="inlineStr">
        <is>
          <t>기능</t>
        </is>
      </c>
      <c r="E589" s="13" t="inlineStr">
        <is>
          <t>미실행</t>
        </is>
      </c>
    </row>
    <row r="590">
      <c r="A590" s="13" t="inlineStr">
        <is>
          <t>화면</t>
        </is>
      </c>
      <c r="B590" s="13" t="inlineStr">
        <is>
          <t>BUS-01</t>
        </is>
      </c>
      <c r="C590" s="13" t="inlineStr">
        <is>
          <t>TC-2-5-1-05</t>
        </is>
      </c>
      <c r="D590" s="13" t="inlineStr">
        <is>
          <t>기능</t>
        </is>
      </c>
      <c r="E590" s="13" t="inlineStr">
        <is>
          <t>미실행</t>
        </is>
      </c>
    </row>
    <row r="591">
      <c r="A591" s="13" t="inlineStr">
        <is>
          <t>요건</t>
        </is>
      </c>
      <c r="B591" s="13" t="inlineStr">
        <is>
          <t>SC-07</t>
        </is>
      </c>
      <c r="C591" s="13" t="inlineStr">
        <is>
          <t>TC-2-5-1-05</t>
        </is>
      </c>
      <c r="D591" s="13" t="inlineStr">
        <is>
          <t>기능</t>
        </is>
      </c>
      <c r="E591" s="13" t="inlineStr">
        <is>
          <t>미실행</t>
        </is>
      </c>
    </row>
    <row r="592">
      <c r="A592" s="13" t="inlineStr">
        <is>
          <t>요건</t>
        </is>
      </c>
      <c r="B592" s="13" t="inlineStr">
        <is>
          <t>FR-R4</t>
        </is>
      </c>
      <c r="C592" s="13" t="inlineStr">
        <is>
          <t>TC-2-5-1-05</t>
        </is>
      </c>
      <c r="D592" s="13" t="inlineStr">
        <is>
          <t>기능</t>
        </is>
      </c>
      <c r="E592" s="13" t="inlineStr">
        <is>
          <t>미실행</t>
        </is>
      </c>
    </row>
    <row r="593">
      <c r="A593" s="13" t="inlineStr">
        <is>
          <t>화면</t>
        </is>
      </c>
      <c r="B593" s="13" t="inlineStr">
        <is>
          <t>2-5-1</t>
        </is>
      </c>
      <c r="C593" s="13" t="inlineStr">
        <is>
          <t>TC-2-5-1-06</t>
        </is>
      </c>
      <c r="D593" s="13" t="inlineStr">
        <is>
          <t>기능</t>
        </is>
      </c>
      <c r="E593" s="13" t="inlineStr">
        <is>
          <t>보류</t>
        </is>
      </c>
    </row>
    <row r="594">
      <c r="A594" s="13" t="inlineStr">
        <is>
          <t>요건</t>
        </is>
      </c>
      <c r="B594" s="13" t="inlineStr">
        <is>
          <t>C-3</t>
        </is>
      </c>
      <c r="C594" s="13" t="inlineStr">
        <is>
          <t>TC-2-5-1-06</t>
        </is>
      </c>
      <c r="D594" s="13" t="inlineStr">
        <is>
          <t>기능</t>
        </is>
      </c>
      <c r="E594" s="13" t="inlineStr">
        <is>
          <t>보류</t>
        </is>
      </c>
    </row>
    <row r="595">
      <c r="A595" s="13" t="inlineStr">
        <is>
          <t>요건</t>
        </is>
      </c>
      <c r="B595" s="13" t="inlineStr">
        <is>
          <t>C-6</t>
        </is>
      </c>
      <c r="C595" s="13" t="inlineStr">
        <is>
          <t>TC-2-5-1-06</t>
        </is>
      </c>
      <c r="D595" s="13" t="inlineStr">
        <is>
          <t>기능</t>
        </is>
      </c>
      <c r="E595" s="13" t="inlineStr">
        <is>
          <t>보류</t>
        </is>
      </c>
    </row>
    <row r="596">
      <c r="A596" s="13" t="inlineStr">
        <is>
          <t>화면</t>
        </is>
      </c>
      <c r="B596" s="13" t="inlineStr">
        <is>
          <t>BUS-01</t>
        </is>
      </c>
      <c r="C596" s="13" t="inlineStr">
        <is>
          <t>TC-BUS-01-01</t>
        </is>
      </c>
      <c r="D596" s="13" t="inlineStr">
        <is>
          <t>기능</t>
        </is>
      </c>
      <c r="E596" s="13" t="inlineStr">
        <is>
          <t>미실행</t>
        </is>
      </c>
    </row>
    <row r="597">
      <c r="A597" s="13" t="inlineStr">
        <is>
          <t>요건</t>
        </is>
      </c>
      <c r="B597" s="13" t="inlineStr">
        <is>
          <t>V-3</t>
        </is>
      </c>
      <c r="C597" s="13" t="inlineStr">
        <is>
          <t>TC-BUS-01-01</t>
        </is>
      </c>
      <c r="D597" s="13" t="inlineStr">
        <is>
          <t>기능</t>
        </is>
      </c>
      <c r="E597" s="13" t="inlineStr">
        <is>
          <t>미실행</t>
        </is>
      </c>
    </row>
    <row r="598">
      <c r="A598" s="13" t="inlineStr">
        <is>
          <t>요건</t>
        </is>
      </c>
      <c r="B598" s="13" t="inlineStr">
        <is>
          <t>SC-07</t>
        </is>
      </c>
      <c r="C598" s="13" t="inlineStr">
        <is>
          <t>TC-BUS-01-01</t>
        </is>
      </c>
      <c r="D598" s="13" t="inlineStr">
        <is>
          <t>기능</t>
        </is>
      </c>
      <c r="E598" s="13" t="inlineStr">
        <is>
          <t>미실행</t>
        </is>
      </c>
    </row>
    <row r="599">
      <c r="A599" s="13" t="inlineStr">
        <is>
          <t>화면</t>
        </is>
      </c>
      <c r="B599" s="13" t="inlineStr">
        <is>
          <t>BUS-01</t>
        </is>
      </c>
      <c r="C599" s="13" t="inlineStr">
        <is>
          <t>TC-BUS-01-02</t>
        </is>
      </c>
      <c r="D599" s="13" t="inlineStr">
        <is>
          <t>기능</t>
        </is>
      </c>
      <c r="E599" s="13" t="inlineStr">
        <is>
          <t>미실행</t>
        </is>
      </c>
    </row>
    <row r="600">
      <c r="A600" s="13" t="inlineStr">
        <is>
          <t>요건</t>
        </is>
      </c>
      <c r="B600" s="13" t="inlineStr">
        <is>
          <t>SC-07</t>
        </is>
      </c>
      <c r="C600" s="13" t="inlineStr">
        <is>
          <t>TC-BUS-01-02</t>
        </is>
      </c>
      <c r="D600" s="13" t="inlineStr">
        <is>
          <t>기능</t>
        </is>
      </c>
      <c r="E600" s="13" t="inlineStr">
        <is>
          <t>미실행</t>
        </is>
      </c>
    </row>
    <row r="601">
      <c r="A601" s="13" t="inlineStr">
        <is>
          <t>요건</t>
        </is>
      </c>
      <c r="B601" s="13" t="inlineStr">
        <is>
          <t>C-3</t>
        </is>
      </c>
      <c r="C601" s="13" t="inlineStr">
        <is>
          <t>TC-BUS-01-02</t>
        </is>
      </c>
      <c r="D601" s="13" t="inlineStr">
        <is>
          <t>기능</t>
        </is>
      </c>
      <c r="E601" s="13" t="inlineStr">
        <is>
          <t>미실행</t>
        </is>
      </c>
    </row>
    <row r="602">
      <c r="A602" s="13" t="inlineStr">
        <is>
          <t>화면</t>
        </is>
      </c>
      <c r="B602" s="13" t="inlineStr">
        <is>
          <t>BUS-01</t>
        </is>
      </c>
      <c r="C602" s="13" t="inlineStr">
        <is>
          <t>TC-BUS-01-03</t>
        </is>
      </c>
      <c r="D602" s="13" t="inlineStr">
        <is>
          <t>접근성</t>
        </is>
      </c>
      <c r="E602" s="13" t="inlineStr">
        <is>
          <t>미실행</t>
        </is>
      </c>
    </row>
    <row r="603">
      <c r="A603" s="13" t="inlineStr">
        <is>
          <t>요건</t>
        </is>
      </c>
      <c r="B603" s="13" t="inlineStr">
        <is>
          <t>C-6</t>
        </is>
      </c>
      <c r="C603" s="13" t="inlineStr">
        <is>
          <t>TC-BUS-01-03</t>
        </is>
      </c>
      <c r="D603" s="13" t="inlineStr">
        <is>
          <t>접근성</t>
        </is>
      </c>
      <c r="E603" s="13" t="inlineStr">
        <is>
          <t>미실행</t>
        </is>
      </c>
    </row>
    <row r="604">
      <c r="A604" s="13" t="inlineStr">
        <is>
          <t>요건</t>
        </is>
      </c>
      <c r="B604" s="13" t="inlineStr">
        <is>
          <t>AC-05</t>
        </is>
      </c>
      <c r="C604" s="13" t="inlineStr">
        <is>
          <t>TC-BUS-01-03</t>
        </is>
      </c>
      <c r="D604" s="13" t="inlineStr">
        <is>
          <t>접근성</t>
        </is>
      </c>
      <c r="E604" s="13" t="inlineStr">
        <is>
          <t>미실행</t>
        </is>
      </c>
    </row>
    <row r="605">
      <c r="A605" s="13" t="inlineStr">
        <is>
          <t>요건</t>
        </is>
      </c>
      <c r="B605" s="13" t="inlineStr">
        <is>
          <t>V-6</t>
        </is>
      </c>
      <c r="C605" s="13" t="inlineStr">
        <is>
          <t>TC-BUS-01-03</t>
        </is>
      </c>
      <c r="D605" s="13" t="inlineStr">
        <is>
          <t>접근성</t>
        </is>
      </c>
      <c r="E605" s="13" t="inlineStr">
        <is>
          <t>미실행</t>
        </is>
      </c>
    </row>
    <row r="606">
      <c r="A606" s="13" t="inlineStr">
        <is>
          <t>화면</t>
        </is>
      </c>
      <c r="B606" s="13" t="inlineStr">
        <is>
          <t>BUS-01</t>
        </is>
      </c>
      <c r="C606" s="13" t="inlineStr">
        <is>
          <t>TC-BUS-01-04</t>
        </is>
      </c>
      <c r="D606" s="13" t="inlineStr">
        <is>
          <t>기능</t>
        </is>
      </c>
      <c r="E606" s="13" t="inlineStr">
        <is>
          <t>미실행</t>
        </is>
      </c>
    </row>
    <row r="607">
      <c r="A607" s="13" t="inlineStr">
        <is>
          <t>요건</t>
        </is>
      </c>
      <c r="B607" s="13" t="inlineStr">
        <is>
          <t>SC-07</t>
        </is>
      </c>
      <c r="C607" s="13" t="inlineStr">
        <is>
          <t>TC-BUS-01-04</t>
        </is>
      </c>
      <c r="D607" s="13" t="inlineStr">
        <is>
          <t>기능</t>
        </is>
      </c>
      <c r="E607" s="13" t="inlineStr">
        <is>
          <t>미실행</t>
        </is>
      </c>
    </row>
    <row r="608">
      <c r="A608" s="13" t="inlineStr">
        <is>
          <t>요건</t>
        </is>
      </c>
      <c r="B608" s="13" t="inlineStr">
        <is>
          <t>E-1</t>
        </is>
      </c>
      <c r="C608" s="13" t="inlineStr">
        <is>
          <t>TC-BUS-01-04</t>
        </is>
      </c>
      <c r="D608" s="13" t="inlineStr">
        <is>
          <t>기능</t>
        </is>
      </c>
      <c r="E608" s="13" t="inlineStr">
        <is>
          <t>미실행</t>
        </is>
      </c>
    </row>
    <row r="609">
      <c r="A609" s="13" t="inlineStr">
        <is>
          <t>화면</t>
        </is>
      </c>
      <c r="B609" s="13" t="inlineStr">
        <is>
          <t>BUS-01</t>
        </is>
      </c>
      <c r="C609" s="13" t="inlineStr">
        <is>
          <t>TC-BUS-01-05</t>
        </is>
      </c>
      <c r="D609" s="13" t="inlineStr">
        <is>
          <t>기능</t>
        </is>
      </c>
      <c r="E609" s="13" t="inlineStr">
        <is>
          <t>미실행</t>
        </is>
      </c>
    </row>
    <row r="610">
      <c r="A610" s="13" t="inlineStr">
        <is>
          <t>요건</t>
        </is>
      </c>
      <c r="B610" s="13" t="inlineStr">
        <is>
          <t>V-6</t>
        </is>
      </c>
      <c r="C610" s="13" t="inlineStr">
        <is>
          <t>TC-BUS-01-05</t>
        </is>
      </c>
      <c r="D610" s="13" t="inlineStr">
        <is>
          <t>기능</t>
        </is>
      </c>
      <c r="E610" s="13" t="inlineStr">
        <is>
          <t>미실행</t>
        </is>
      </c>
    </row>
    <row r="611">
      <c r="A611" s="13" t="inlineStr">
        <is>
          <t>요건</t>
        </is>
      </c>
      <c r="B611" s="13" t="inlineStr">
        <is>
          <t>E-2</t>
        </is>
      </c>
      <c r="C611" s="13" t="inlineStr">
        <is>
          <t>TC-BUS-01-05</t>
        </is>
      </c>
      <c r="D611" s="13" t="inlineStr">
        <is>
          <t>기능</t>
        </is>
      </c>
      <c r="E611" s="13" t="inlineStr">
        <is>
          <t>미실행</t>
        </is>
      </c>
    </row>
    <row r="612">
      <c r="A612" s="13" t="inlineStr">
        <is>
          <t>화면</t>
        </is>
      </c>
      <c r="B612" s="13" t="inlineStr">
        <is>
          <t>BUS-01</t>
        </is>
      </c>
      <c r="C612" s="13" t="inlineStr">
        <is>
          <t>TC-BUS-01-06</t>
        </is>
      </c>
      <c r="D612" s="13" t="inlineStr">
        <is>
          <t>기능</t>
        </is>
      </c>
      <c r="E612" s="13" t="inlineStr">
        <is>
          <t>미실행</t>
        </is>
      </c>
    </row>
    <row r="613">
      <c r="A613" s="13" t="inlineStr">
        <is>
          <t>요건</t>
        </is>
      </c>
      <c r="B613" s="13" t="inlineStr">
        <is>
          <t>SC-07</t>
        </is>
      </c>
      <c r="C613" s="13" t="inlineStr">
        <is>
          <t>TC-BUS-01-06</t>
        </is>
      </c>
      <c r="D613" s="13" t="inlineStr">
        <is>
          <t>기능</t>
        </is>
      </c>
      <c r="E613" s="13" t="inlineStr">
        <is>
          <t>미실행</t>
        </is>
      </c>
    </row>
    <row r="614">
      <c r="A614" s="13" t="inlineStr">
        <is>
          <t>요건</t>
        </is>
      </c>
      <c r="B614" s="13" t="inlineStr">
        <is>
          <t>FR-A5</t>
        </is>
      </c>
      <c r="C614" s="13" t="inlineStr">
        <is>
          <t>TC-BUS-01-06</t>
        </is>
      </c>
      <c r="D614" s="13" t="inlineStr">
        <is>
          <t>기능</t>
        </is>
      </c>
      <c r="E614" s="13" t="inlineStr">
        <is>
          <t>미실행</t>
        </is>
      </c>
    </row>
    <row r="615">
      <c r="A615" s="13" t="inlineStr">
        <is>
          <t>화면</t>
        </is>
      </c>
      <c r="B615" s="13" t="inlineStr">
        <is>
          <t>BUS-01</t>
        </is>
      </c>
      <c r="C615" s="13" t="inlineStr">
        <is>
          <t>TC-BUS-01-07</t>
        </is>
      </c>
      <c r="D615" s="13" t="inlineStr">
        <is>
          <t>기능</t>
        </is>
      </c>
      <c r="E615" s="13" t="inlineStr">
        <is>
          <t>미실행</t>
        </is>
      </c>
    </row>
    <row r="616">
      <c r="A616" s="13" t="inlineStr">
        <is>
          <t>요건</t>
        </is>
      </c>
      <c r="B616" s="13" t="inlineStr">
        <is>
          <t>SC-07</t>
        </is>
      </c>
      <c r="C616" s="13" t="inlineStr">
        <is>
          <t>TC-BUS-01-07</t>
        </is>
      </c>
      <c r="D616" s="13" t="inlineStr">
        <is>
          <t>기능</t>
        </is>
      </c>
      <c r="E616" s="13" t="inlineStr">
        <is>
          <t>미실행</t>
        </is>
      </c>
    </row>
    <row r="617">
      <c r="A617" s="13" t="inlineStr">
        <is>
          <t>요건</t>
        </is>
      </c>
      <c r="B617" s="13" t="inlineStr">
        <is>
          <t>FR-A5</t>
        </is>
      </c>
      <c r="C617" s="13" t="inlineStr">
        <is>
          <t>TC-BUS-01-07</t>
        </is>
      </c>
      <c r="D617" s="13" t="inlineStr">
        <is>
          <t>기능</t>
        </is>
      </c>
      <c r="E617" s="13" t="inlineStr">
        <is>
          <t>미실행</t>
        </is>
      </c>
    </row>
    <row r="618">
      <c r="A618" s="13" t="inlineStr">
        <is>
          <t>화면</t>
        </is>
      </c>
      <c r="B618" s="13" t="inlineStr">
        <is>
          <t>BUS-01</t>
        </is>
      </c>
      <c r="C618" s="13" t="inlineStr">
        <is>
          <t>TC-BUS-01-08</t>
        </is>
      </c>
      <c r="D618" s="13" t="inlineStr">
        <is>
          <t>비기능</t>
        </is>
      </c>
      <c r="E618" s="13" t="inlineStr">
        <is>
          <t>미실행</t>
        </is>
      </c>
    </row>
    <row r="619">
      <c r="A619" s="13" t="inlineStr">
        <is>
          <t>요건</t>
        </is>
      </c>
      <c r="B619" s="13" t="inlineStr">
        <is>
          <t>E-5</t>
        </is>
      </c>
      <c r="C619" s="13" t="inlineStr">
        <is>
          <t>TC-BUS-01-08</t>
        </is>
      </c>
      <c r="D619" s="13" t="inlineStr">
        <is>
          <t>비기능</t>
        </is>
      </c>
      <c r="E619" s="13" t="inlineStr">
        <is>
          <t>미실행</t>
        </is>
      </c>
    </row>
    <row r="620">
      <c r="A620" s="13" t="inlineStr">
        <is>
          <t>화면</t>
        </is>
      </c>
      <c r="B620" s="13" t="inlineStr">
        <is>
          <t>BUS-01</t>
        </is>
      </c>
      <c r="C620" s="13" t="inlineStr">
        <is>
          <t>TC-BUS-01-09</t>
        </is>
      </c>
      <c r="D620" s="13" t="inlineStr">
        <is>
          <t>기능</t>
        </is>
      </c>
      <c r="E620" s="13" t="inlineStr">
        <is>
          <t>미실행</t>
        </is>
      </c>
    </row>
    <row r="621">
      <c r="A621" s="13" t="inlineStr">
        <is>
          <t>요건</t>
        </is>
      </c>
      <c r="B621" s="13" t="inlineStr">
        <is>
          <t>SC-07</t>
        </is>
      </c>
      <c r="C621" s="13" t="inlineStr">
        <is>
          <t>TC-BUS-01-09</t>
        </is>
      </c>
      <c r="D621" s="13" t="inlineStr">
        <is>
          <t>기능</t>
        </is>
      </c>
      <c r="E621" s="13" t="inlineStr">
        <is>
          <t>미실행</t>
        </is>
      </c>
    </row>
    <row r="622">
      <c r="A622" s="13" t="inlineStr">
        <is>
          <t>요건</t>
        </is>
      </c>
      <c r="B622" s="13" t="inlineStr">
        <is>
          <t>V-3</t>
        </is>
      </c>
      <c r="C622" s="13" t="inlineStr">
        <is>
          <t>TC-BUS-01-09</t>
        </is>
      </c>
      <c r="D622" s="13" t="inlineStr">
        <is>
          <t>기능</t>
        </is>
      </c>
      <c r="E622" s="13" t="inlineStr">
        <is>
          <t>미실행</t>
        </is>
      </c>
    </row>
    <row r="623">
      <c r="A623" s="13" t="inlineStr">
        <is>
          <t>화면</t>
        </is>
      </c>
      <c r="B623" s="13" t="inlineStr">
        <is>
          <t>BUS-01</t>
        </is>
      </c>
      <c r="C623" s="13" t="inlineStr">
        <is>
          <t>TC-BUS-01-10</t>
        </is>
      </c>
      <c r="D623" s="13" t="inlineStr">
        <is>
          <t>접근성</t>
        </is>
      </c>
      <c r="E623" s="13" t="inlineStr">
        <is>
          <t>미실행</t>
        </is>
      </c>
    </row>
    <row r="624">
      <c r="A624" s="13" t="inlineStr">
        <is>
          <t>요건</t>
        </is>
      </c>
      <c r="B624" s="13" t="inlineStr">
        <is>
          <t>AC-05</t>
        </is>
      </c>
      <c r="C624" s="13" t="inlineStr">
        <is>
          <t>TC-BUS-01-10</t>
        </is>
      </c>
      <c r="D624" s="13" t="inlineStr">
        <is>
          <t>접근성</t>
        </is>
      </c>
      <c r="E624" s="13" t="inlineStr">
        <is>
          <t>미실행</t>
        </is>
      </c>
    </row>
    <row r="625">
      <c r="A625" s="13" t="inlineStr">
        <is>
          <t>요건</t>
        </is>
      </c>
      <c r="B625" s="13" t="inlineStr">
        <is>
          <t>NFR-05</t>
        </is>
      </c>
      <c r="C625" s="13" t="inlineStr">
        <is>
          <t>TC-BUS-01-10</t>
        </is>
      </c>
      <c r="D625" s="13" t="inlineStr">
        <is>
          <t>접근성</t>
        </is>
      </c>
      <c r="E625" s="13" t="inlineStr">
        <is>
          <t>미실행</t>
        </is>
      </c>
    </row>
    <row r="626">
      <c r="A626" s="13" t="inlineStr">
        <is>
          <t>요건</t>
        </is>
      </c>
      <c r="B626" s="13" t="inlineStr">
        <is>
          <t>V-1</t>
        </is>
      </c>
      <c r="C626" s="13" t="inlineStr">
        <is>
          <t>TC-BUS-01-10</t>
        </is>
      </c>
      <c r="D626" s="13" t="inlineStr">
        <is>
          <t>접근성</t>
        </is>
      </c>
      <c r="E626" s="13" t="inlineStr">
        <is>
          <t>미실행</t>
        </is>
      </c>
    </row>
    <row r="627">
      <c r="A627" s="13" t="inlineStr">
        <is>
          <t>화면</t>
        </is>
      </c>
      <c r="B627" s="13" t="inlineStr">
        <is>
          <t>BUS-01</t>
        </is>
      </c>
      <c r="C627" s="13" t="inlineStr">
        <is>
          <t>TC-BUS-01-11</t>
        </is>
      </c>
      <c r="D627" s="13" t="inlineStr">
        <is>
          <t>기능</t>
        </is>
      </c>
      <c r="E627" s="13" t="inlineStr">
        <is>
          <t>보류</t>
        </is>
      </c>
    </row>
    <row r="628">
      <c r="A628" s="13" t="inlineStr">
        <is>
          <t>요건</t>
        </is>
      </c>
      <c r="B628" s="13" t="inlineStr">
        <is>
          <t>V-1</t>
        </is>
      </c>
      <c r="C628" s="13" t="inlineStr">
        <is>
          <t>TC-BUS-01-11</t>
        </is>
      </c>
      <c r="D628" s="13" t="inlineStr">
        <is>
          <t>기능</t>
        </is>
      </c>
      <c r="E628" s="13" t="inlineStr">
        <is>
          <t>보류</t>
        </is>
      </c>
    </row>
    <row r="629">
      <c r="A629" s="13" t="inlineStr">
        <is>
          <t>요건</t>
        </is>
      </c>
      <c r="B629" s="13" t="inlineStr">
        <is>
          <t>V-3</t>
        </is>
      </c>
      <c r="C629" s="13" t="inlineStr">
        <is>
          <t>TC-BUS-01-11</t>
        </is>
      </c>
      <c r="D629" s="13" t="inlineStr">
        <is>
          <t>기능</t>
        </is>
      </c>
      <c r="E629" s="13" t="inlineStr">
        <is>
          <t>보류</t>
        </is>
      </c>
    </row>
    <row r="630">
      <c r="A630" s="13" t="inlineStr">
        <is>
          <t>요건</t>
        </is>
      </c>
      <c r="B630" s="13" t="inlineStr">
        <is>
          <t>SC-07</t>
        </is>
      </c>
      <c r="C630" s="13" t="inlineStr">
        <is>
          <t>TC-BUS-01-11</t>
        </is>
      </c>
      <c r="D630" s="13" t="inlineStr">
        <is>
          <t>기능</t>
        </is>
      </c>
      <c r="E630" s="13" t="inlineStr">
        <is>
          <t>보류</t>
        </is>
      </c>
    </row>
    <row r="631">
      <c r="A631" s="13" t="inlineStr">
        <is>
          <t>화면</t>
        </is>
      </c>
      <c r="B631" s="13" t="inlineStr">
        <is>
          <t>BUS-01</t>
        </is>
      </c>
      <c r="C631" s="13" t="inlineStr">
        <is>
          <t>TC-BUS-01-12</t>
        </is>
      </c>
      <c r="D631" s="13" t="inlineStr">
        <is>
          <t>접근성</t>
        </is>
      </c>
      <c r="E631" s="13" t="inlineStr">
        <is>
          <t>미실행</t>
        </is>
      </c>
    </row>
    <row r="632">
      <c r="A632" s="13" t="inlineStr">
        <is>
          <t>요건</t>
        </is>
      </c>
      <c r="B632" s="13" t="inlineStr">
        <is>
          <t>V-1</t>
        </is>
      </c>
      <c r="C632" s="13" t="inlineStr">
        <is>
          <t>TC-BUS-01-12</t>
        </is>
      </c>
      <c r="D632" s="13" t="inlineStr">
        <is>
          <t>접근성</t>
        </is>
      </c>
      <c r="E632" s="13" t="inlineStr">
        <is>
          <t>미실행</t>
        </is>
      </c>
    </row>
    <row r="633">
      <c r="A633" s="13" t="inlineStr">
        <is>
          <t>요건</t>
        </is>
      </c>
      <c r="B633" s="13" t="inlineStr">
        <is>
          <t>E-2</t>
        </is>
      </c>
      <c r="C633" s="13" t="inlineStr">
        <is>
          <t>TC-BUS-01-12</t>
        </is>
      </c>
      <c r="D633" s="13" t="inlineStr">
        <is>
          <t>접근성</t>
        </is>
      </c>
      <c r="E633" s="13" t="inlineStr">
        <is>
          <t>미실행</t>
        </is>
      </c>
    </row>
    <row r="634">
      <c r="A634" s="13" t="inlineStr">
        <is>
          <t>요건</t>
        </is>
      </c>
      <c r="B634" s="13" t="inlineStr">
        <is>
          <t>AC-05</t>
        </is>
      </c>
      <c r="C634" s="13" t="inlineStr">
        <is>
          <t>TC-BUS-01-12</t>
        </is>
      </c>
      <c r="D634" s="13" t="inlineStr">
        <is>
          <t>접근성</t>
        </is>
      </c>
      <c r="E634" s="13" t="inlineStr">
        <is>
          <t>미실행</t>
        </is>
      </c>
    </row>
    <row r="635">
      <c r="A635" s="13" t="inlineStr">
        <is>
          <t>요건</t>
        </is>
      </c>
      <c r="B635" s="13" t="inlineStr">
        <is>
          <t>US-04</t>
        </is>
      </c>
      <c r="C635" s="13" t="inlineStr">
        <is>
          <t>TC-BUS-01-12</t>
        </is>
      </c>
      <c r="D635" s="13" t="inlineStr">
        <is>
          <t>접근성</t>
        </is>
      </c>
      <c r="E635" s="13" t="inlineStr">
        <is>
          <t>미실행</t>
        </is>
      </c>
    </row>
    <row r="636">
      <c r="A636" s="13" t="inlineStr">
        <is>
          <t>화면</t>
        </is>
      </c>
      <c r="B636" s="13" t="inlineStr">
        <is>
          <t>BUS-01</t>
        </is>
      </c>
      <c r="C636" s="13" t="inlineStr">
        <is>
          <t>TC-BUS-01-13</t>
        </is>
      </c>
      <c r="D636" s="13" t="inlineStr">
        <is>
          <t>시나리오</t>
        </is>
      </c>
      <c r="E636" s="13" t="inlineStr">
        <is>
          <t>미실행</t>
        </is>
      </c>
    </row>
    <row r="637">
      <c r="A637" s="13" t="inlineStr">
        <is>
          <t>화면</t>
        </is>
      </c>
      <c r="B637" s="13" t="inlineStr">
        <is>
          <t>BUS-03</t>
        </is>
      </c>
      <c r="C637" s="13" t="inlineStr">
        <is>
          <t>TC-BUS-01-13</t>
        </is>
      </c>
      <c r="D637" s="13" t="inlineStr">
        <is>
          <t>시나리오</t>
        </is>
      </c>
      <c r="E637" s="13" t="inlineStr">
        <is>
          <t>미실행</t>
        </is>
      </c>
    </row>
    <row r="638">
      <c r="A638" s="13" t="inlineStr">
        <is>
          <t>화면</t>
        </is>
      </c>
      <c r="B638" s="13" t="inlineStr">
        <is>
          <t>2-5-1</t>
        </is>
      </c>
      <c r="C638" s="13" t="inlineStr">
        <is>
          <t>TC-BUS-01-13</t>
        </is>
      </c>
      <c r="D638" s="13" t="inlineStr">
        <is>
          <t>시나리오</t>
        </is>
      </c>
      <c r="E638" s="13" t="inlineStr">
        <is>
          <t>미실행</t>
        </is>
      </c>
    </row>
    <row r="639">
      <c r="A639" s="13" t="inlineStr">
        <is>
          <t>요건</t>
        </is>
      </c>
      <c r="B639" s="13" t="inlineStr">
        <is>
          <t>US-04</t>
        </is>
      </c>
      <c r="C639" s="13" t="inlineStr">
        <is>
          <t>TC-BUS-01-13</t>
        </is>
      </c>
      <c r="D639" s="13" t="inlineStr">
        <is>
          <t>시나리오</t>
        </is>
      </c>
      <c r="E639" s="13" t="inlineStr">
        <is>
          <t>미실행</t>
        </is>
      </c>
    </row>
    <row r="640">
      <c r="A640" s="13" t="inlineStr">
        <is>
          <t>요건</t>
        </is>
      </c>
      <c r="B640" s="13" t="inlineStr">
        <is>
          <t>SC-07</t>
        </is>
      </c>
      <c r="C640" s="13" t="inlineStr">
        <is>
          <t>TC-BUS-01-13</t>
        </is>
      </c>
      <c r="D640" s="13" t="inlineStr">
        <is>
          <t>시나리오</t>
        </is>
      </c>
      <c r="E640" s="13" t="inlineStr">
        <is>
          <t>미실행</t>
        </is>
      </c>
    </row>
    <row r="641">
      <c r="A641" s="13" t="inlineStr">
        <is>
          <t>화면</t>
        </is>
      </c>
      <c r="B641" s="13" t="inlineStr">
        <is>
          <t>BUS-01</t>
        </is>
      </c>
      <c r="C641" s="13" t="inlineStr">
        <is>
          <t>TC-BUS-01-14</t>
        </is>
      </c>
      <c r="D641" s="13" t="inlineStr">
        <is>
          <t>시나리오</t>
        </is>
      </c>
      <c r="E641" s="13" t="inlineStr">
        <is>
          <t>보류</t>
        </is>
      </c>
    </row>
    <row r="642">
      <c r="A642" s="13" t="inlineStr">
        <is>
          <t>요건</t>
        </is>
      </c>
      <c r="B642" s="13" t="inlineStr">
        <is>
          <t>US-05</t>
        </is>
      </c>
      <c r="C642" s="13" t="inlineStr">
        <is>
          <t>TC-BUS-01-14</t>
        </is>
      </c>
      <c r="D642" s="13" t="inlineStr">
        <is>
          <t>시나리오</t>
        </is>
      </c>
      <c r="E642" s="13" t="inlineStr">
        <is>
          <t>보류</t>
        </is>
      </c>
    </row>
    <row r="643">
      <c r="A643" s="13" t="inlineStr">
        <is>
          <t>요건</t>
        </is>
      </c>
      <c r="B643" s="13" t="inlineStr">
        <is>
          <t>SC-07</t>
        </is>
      </c>
      <c r="C643" s="13" t="inlineStr">
        <is>
          <t>TC-BUS-01-14</t>
        </is>
      </c>
      <c r="D643" s="13" t="inlineStr">
        <is>
          <t>시나리오</t>
        </is>
      </c>
      <c r="E643" s="13" t="inlineStr">
        <is>
          <t>보류</t>
        </is>
      </c>
    </row>
    <row r="644">
      <c r="A644" s="13" t="inlineStr">
        <is>
          <t>화면</t>
        </is>
      </c>
      <c r="B644" s="13" t="inlineStr">
        <is>
          <t>BUS-01</t>
        </is>
      </c>
      <c r="C644" s="13" t="inlineStr">
        <is>
          <t>TC-BUS-01-15</t>
        </is>
      </c>
      <c r="D644" s="13" t="inlineStr">
        <is>
          <t>기능</t>
        </is>
      </c>
      <c r="E644" s="13" t="inlineStr">
        <is>
          <t>보류</t>
        </is>
      </c>
    </row>
    <row r="645">
      <c r="A645" s="13" t="inlineStr">
        <is>
          <t>요건</t>
        </is>
      </c>
      <c r="B645" s="13" t="inlineStr">
        <is>
          <t>SC-07</t>
        </is>
      </c>
      <c r="C645" s="13" t="inlineStr">
        <is>
          <t>TC-BUS-01-15</t>
        </is>
      </c>
      <c r="D645" s="13" t="inlineStr">
        <is>
          <t>기능</t>
        </is>
      </c>
      <c r="E645" s="13" t="inlineStr">
        <is>
          <t>보류</t>
        </is>
      </c>
    </row>
    <row r="646">
      <c r="A646" s="13" t="inlineStr">
        <is>
          <t>요건</t>
        </is>
      </c>
      <c r="B646" s="13" t="inlineStr">
        <is>
          <t>FR-R4</t>
        </is>
      </c>
      <c r="C646" s="13" t="inlineStr">
        <is>
          <t>TC-BUS-01-15</t>
        </is>
      </c>
      <c r="D646" s="13" t="inlineStr">
        <is>
          <t>기능</t>
        </is>
      </c>
      <c r="E646" s="13" t="inlineStr">
        <is>
          <t>보류</t>
        </is>
      </c>
    </row>
    <row r="647">
      <c r="A647" s="13" t="inlineStr">
        <is>
          <t>요건</t>
        </is>
      </c>
      <c r="B647" s="13" t="inlineStr">
        <is>
          <t>E-1</t>
        </is>
      </c>
      <c r="C647" s="13" t="inlineStr">
        <is>
          <t>TC-BUS-01-15</t>
        </is>
      </c>
      <c r="D647" s="13" t="inlineStr">
        <is>
          <t>기능</t>
        </is>
      </c>
      <c r="E647" s="13" t="inlineStr">
        <is>
          <t>보류</t>
        </is>
      </c>
    </row>
    <row r="648">
      <c r="A648" s="13" t="inlineStr">
        <is>
          <t>요건</t>
        </is>
      </c>
      <c r="B648" s="13" t="inlineStr">
        <is>
          <t>V-3</t>
        </is>
      </c>
      <c r="C648" s="13" t="inlineStr">
        <is>
          <t>TC-BUS-01-15</t>
        </is>
      </c>
      <c r="D648" s="13" t="inlineStr">
        <is>
          <t>기능</t>
        </is>
      </c>
      <c r="E648" s="13" t="inlineStr">
        <is>
          <t>보류</t>
        </is>
      </c>
    </row>
    <row r="649">
      <c r="A649" s="13" t="inlineStr">
        <is>
          <t>화면</t>
        </is>
      </c>
      <c r="B649" s="13" t="inlineStr">
        <is>
          <t>BUS-01</t>
        </is>
      </c>
      <c r="C649" s="13" t="inlineStr">
        <is>
          <t>TC-BUS-01-16</t>
        </is>
      </c>
      <c r="D649" s="13" t="inlineStr">
        <is>
          <t>기능</t>
        </is>
      </c>
      <c r="E649" s="13" t="inlineStr">
        <is>
          <t>보류</t>
        </is>
      </c>
    </row>
    <row r="650">
      <c r="A650" s="13" t="inlineStr">
        <is>
          <t>요건</t>
        </is>
      </c>
      <c r="B650" s="13" t="inlineStr">
        <is>
          <t>FR-R4</t>
        </is>
      </c>
      <c r="C650" s="13" t="inlineStr">
        <is>
          <t>TC-BUS-01-16</t>
        </is>
      </c>
      <c r="D650" s="13" t="inlineStr">
        <is>
          <t>기능</t>
        </is>
      </c>
      <c r="E650" s="13" t="inlineStr">
        <is>
          <t>보류</t>
        </is>
      </c>
    </row>
    <row r="651">
      <c r="A651" s="13" t="inlineStr">
        <is>
          <t>요건</t>
        </is>
      </c>
      <c r="B651" s="13" t="inlineStr">
        <is>
          <t>SC-07</t>
        </is>
      </c>
      <c r="C651" s="13" t="inlineStr">
        <is>
          <t>TC-BUS-01-16</t>
        </is>
      </c>
      <c r="D651" s="13" t="inlineStr">
        <is>
          <t>기능</t>
        </is>
      </c>
      <c r="E651" s="13" t="inlineStr">
        <is>
          <t>보류</t>
        </is>
      </c>
    </row>
    <row r="652">
      <c r="A652" s="13" t="inlineStr">
        <is>
          <t>화면</t>
        </is>
      </c>
      <c r="B652" s="13" t="inlineStr">
        <is>
          <t>BUS-01</t>
        </is>
      </c>
      <c r="C652" s="13" t="inlineStr">
        <is>
          <t>TC-BUS-01-17</t>
        </is>
      </c>
      <c r="D652" s="13" t="inlineStr">
        <is>
          <t>기능</t>
        </is>
      </c>
      <c r="E652" s="13" t="inlineStr">
        <is>
          <t>보류</t>
        </is>
      </c>
    </row>
    <row r="653">
      <c r="A653" s="13" t="inlineStr">
        <is>
          <t>요건</t>
        </is>
      </c>
      <c r="B653" s="13" t="inlineStr">
        <is>
          <t>SC-07</t>
        </is>
      </c>
      <c r="C653" s="13" t="inlineStr">
        <is>
          <t>TC-BUS-01-17</t>
        </is>
      </c>
      <c r="D653" s="13" t="inlineStr">
        <is>
          <t>기능</t>
        </is>
      </c>
      <c r="E653" s="13" t="inlineStr">
        <is>
          <t>보류</t>
        </is>
      </c>
    </row>
    <row r="654">
      <c r="A654" s="13" t="inlineStr">
        <is>
          <t>요건</t>
        </is>
      </c>
      <c r="B654" s="13" t="inlineStr">
        <is>
          <t>FR-R4</t>
        </is>
      </c>
      <c r="C654" s="13" t="inlineStr">
        <is>
          <t>TC-BUS-01-17</t>
        </is>
      </c>
      <c r="D654" s="13" t="inlineStr">
        <is>
          <t>기능</t>
        </is>
      </c>
      <c r="E654" s="13" t="inlineStr">
        <is>
          <t>보류</t>
        </is>
      </c>
    </row>
    <row r="655">
      <c r="A655" s="13" t="inlineStr">
        <is>
          <t>요건</t>
        </is>
      </c>
      <c r="B655" s="13" t="inlineStr">
        <is>
          <t>E-2</t>
        </is>
      </c>
      <c r="C655" s="13" t="inlineStr">
        <is>
          <t>TC-BUS-01-17</t>
        </is>
      </c>
      <c r="D655" s="13" t="inlineStr">
        <is>
          <t>기능</t>
        </is>
      </c>
      <c r="E655" s="13" t="inlineStr">
        <is>
          <t>보류</t>
        </is>
      </c>
    </row>
    <row r="656">
      <c r="A656" s="13" t="inlineStr">
        <is>
          <t>화면</t>
        </is>
      </c>
      <c r="B656" s="13" t="inlineStr">
        <is>
          <t>BUS-01</t>
        </is>
      </c>
      <c r="C656" s="13" t="inlineStr">
        <is>
          <t>TC-BUS-01-18</t>
        </is>
      </c>
      <c r="D656" s="13" t="inlineStr">
        <is>
          <t>기능</t>
        </is>
      </c>
      <c r="E656" s="13" t="inlineStr">
        <is>
          <t>보류</t>
        </is>
      </c>
    </row>
    <row r="657">
      <c r="A657" s="13" t="inlineStr">
        <is>
          <t>요건</t>
        </is>
      </c>
      <c r="B657" s="13" t="inlineStr">
        <is>
          <t>NFR-08</t>
        </is>
      </c>
      <c r="C657" s="13" t="inlineStr">
        <is>
          <t>TC-BUS-01-18</t>
        </is>
      </c>
      <c r="D657" s="13" t="inlineStr">
        <is>
          <t>기능</t>
        </is>
      </c>
      <c r="E657" s="13" t="inlineStr">
        <is>
          <t>보류</t>
        </is>
      </c>
    </row>
    <row r="658">
      <c r="A658" s="13" t="inlineStr">
        <is>
          <t>요건</t>
        </is>
      </c>
      <c r="B658" s="13" t="inlineStr">
        <is>
          <t>SC-07</t>
        </is>
      </c>
      <c r="C658" s="13" t="inlineStr">
        <is>
          <t>TC-BUS-01-18</t>
        </is>
      </c>
      <c r="D658" s="13" t="inlineStr">
        <is>
          <t>기능</t>
        </is>
      </c>
      <c r="E658" s="13" t="inlineStr">
        <is>
          <t>보류</t>
        </is>
      </c>
    </row>
    <row r="659">
      <c r="A659" s="13" t="inlineStr">
        <is>
          <t>화면</t>
        </is>
      </c>
      <c r="B659" s="13" t="inlineStr">
        <is>
          <t>BUS-01</t>
        </is>
      </c>
      <c r="C659" s="13" t="inlineStr">
        <is>
          <t>TC-BUS-01-19</t>
        </is>
      </c>
      <c r="D659" s="13" t="inlineStr">
        <is>
          <t>기능</t>
        </is>
      </c>
      <c r="E659" s="13" t="inlineStr">
        <is>
          <t>보류</t>
        </is>
      </c>
    </row>
    <row r="660">
      <c r="A660" s="13" t="inlineStr">
        <is>
          <t>요건</t>
        </is>
      </c>
      <c r="B660" s="13" t="inlineStr">
        <is>
          <t>FR-A1</t>
        </is>
      </c>
      <c r="C660" s="13" t="inlineStr">
        <is>
          <t>TC-BUS-01-19</t>
        </is>
      </c>
      <c r="D660" s="13" t="inlineStr">
        <is>
          <t>기능</t>
        </is>
      </c>
      <c r="E660" s="13" t="inlineStr">
        <is>
          <t>보류</t>
        </is>
      </c>
    </row>
    <row r="661">
      <c r="A661" s="13" t="inlineStr">
        <is>
          <t>요건</t>
        </is>
      </c>
      <c r="B661" s="13" t="inlineStr">
        <is>
          <t>SC-07</t>
        </is>
      </c>
      <c r="C661" s="13" t="inlineStr">
        <is>
          <t>TC-BUS-01-19</t>
        </is>
      </c>
      <c r="D661" s="13" t="inlineStr">
        <is>
          <t>기능</t>
        </is>
      </c>
      <c r="E661" s="13" t="inlineStr">
        <is>
          <t>보류</t>
        </is>
      </c>
    </row>
    <row r="662">
      <c r="A662" s="13" t="inlineStr">
        <is>
          <t>화면</t>
        </is>
      </c>
      <c r="B662" s="13" t="inlineStr">
        <is>
          <t>BUS-01</t>
        </is>
      </c>
      <c r="C662" s="13" t="inlineStr">
        <is>
          <t>TC-BUS-01-20</t>
        </is>
      </c>
      <c r="D662" s="13" t="inlineStr">
        <is>
          <t>기능</t>
        </is>
      </c>
      <c r="E662" s="13" t="inlineStr">
        <is>
          <t>보류</t>
        </is>
      </c>
    </row>
    <row r="663">
      <c r="A663" s="13" t="inlineStr">
        <is>
          <t>화면</t>
        </is>
      </c>
      <c r="B663" s="13" t="inlineStr">
        <is>
          <t>BUS-03</t>
        </is>
      </c>
      <c r="C663" s="13" t="inlineStr">
        <is>
          <t>TC-BUS-01-20</t>
        </is>
      </c>
      <c r="D663" s="13" t="inlineStr">
        <is>
          <t>기능</t>
        </is>
      </c>
      <c r="E663" s="13" t="inlineStr">
        <is>
          <t>보류</t>
        </is>
      </c>
    </row>
    <row r="664">
      <c r="A664" s="13" t="inlineStr">
        <is>
          <t>요건</t>
        </is>
      </c>
      <c r="B664" s="13" t="inlineStr">
        <is>
          <t>FR-A2</t>
        </is>
      </c>
      <c r="C664" s="13" t="inlineStr">
        <is>
          <t>TC-BUS-01-20</t>
        </is>
      </c>
      <c r="D664" s="13" t="inlineStr">
        <is>
          <t>기능</t>
        </is>
      </c>
      <c r="E664" s="13" t="inlineStr">
        <is>
          <t>보류</t>
        </is>
      </c>
    </row>
    <row r="665">
      <c r="A665" s="13" t="inlineStr">
        <is>
          <t>화면</t>
        </is>
      </c>
      <c r="B665" s="13" t="inlineStr">
        <is>
          <t>BUS-01</t>
        </is>
      </c>
      <c r="C665" s="13" t="inlineStr">
        <is>
          <t>TC-BUS-01-21</t>
        </is>
      </c>
      <c r="D665" s="13" t="inlineStr">
        <is>
          <t>비기능</t>
        </is>
      </c>
      <c r="E665" s="13" t="inlineStr">
        <is>
          <t>미실행</t>
        </is>
      </c>
    </row>
    <row r="666">
      <c r="A666" s="13" t="inlineStr">
        <is>
          <t>화면</t>
        </is>
      </c>
      <c r="B666" s="13" t="inlineStr">
        <is>
          <t>BUS-03</t>
        </is>
      </c>
      <c r="C666" s="13" t="inlineStr">
        <is>
          <t>TC-BUS-01-21</t>
        </is>
      </c>
      <c r="D666" s="13" t="inlineStr">
        <is>
          <t>비기능</t>
        </is>
      </c>
      <c r="E666" s="13" t="inlineStr">
        <is>
          <t>미실행</t>
        </is>
      </c>
    </row>
    <row r="667">
      <c r="A667" s="13" t="inlineStr">
        <is>
          <t>요건</t>
        </is>
      </c>
      <c r="B667" s="13" t="inlineStr">
        <is>
          <t>MB-7</t>
        </is>
      </c>
      <c r="C667" s="13" t="inlineStr">
        <is>
          <t>TC-BUS-01-21</t>
        </is>
      </c>
      <c r="D667" s="13" t="inlineStr">
        <is>
          <t>비기능</t>
        </is>
      </c>
      <c r="E667" s="13" t="inlineStr">
        <is>
          <t>미실행</t>
        </is>
      </c>
    </row>
    <row r="668">
      <c r="A668" s="13" t="inlineStr">
        <is>
          <t>요건</t>
        </is>
      </c>
      <c r="B668" s="13" t="inlineStr">
        <is>
          <t>FR-A5</t>
        </is>
      </c>
      <c r="C668" s="13" t="inlineStr">
        <is>
          <t>TC-BUS-01-21</t>
        </is>
      </c>
      <c r="D668" s="13" t="inlineStr">
        <is>
          <t>비기능</t>
        </is>
      </c>
      <c r="E668" s="13" t="inlineStr">
        <is>
          <t>미실행</t>
        </is>
      </c>
    </row>
    <row r="669">
      <c r="A669" s="13" t="inlineStr">
        <is>
          <t>화면</t>
        </is>
      </c>
      <c r="B669" s="13" t="inlineStr">
        <is>
          <t>BUS-01</t>
        </is>
      </c>
      <c r="C669" s="13" t="inlineStr">
        <is>
          <t>TC-BUS-01-22</t>
        </is>
      </c>
      <c r="D669" s="13" t="inlineStr">
        <is>
          <t>비기능</t>
        </is>
      </c>
      <c r="E669" s="13" t="inlineStr">
        <is>
          <t>미실행</t>
        </is>
      </c>
    </row>
    <row r="670">
      <c r="A670" s="13" t="inlineStr">
        <is>
          <t>요건</t>
        </is>
      </c>
      <c r="B670" s="13" t="inlineStr">
        <is>
          <t>NFR-02</t>
        </is>
      </c>
      <c r="C670" s="13" t="inlineStr">
        <is>
          <t>TC-BUS-01-22</t>
        </is>
      </c>
      <c r="D670" s="13" t="inlineStr">
        <is>
          <t>비기능</t>
        </is>
      </c>
      <c r="E670" s="13" t="inlineStr">
        <is>
          <t>미실행</t>
        </is>
      </c>
    </row>
    <row r="671">
      <c r="A671" s="13" t="inlineStr">
        <is>
          <t>요건</t>
        </is>
      </c>
      <c r="B671" s="13" t="inlineStr">
        <is>
          <t>NFR-04</t>
        </is>
      </c>
      <c r="C671" s="13" t="inlineStr">
        <is>
          <t>TC-BUS-01-22</t>
        </is>
      </c>
      <c r="D671" s="13" t="inlineStr">
        <is>
          <t>비기능</t>
        </is>
      </c>
      <c r="E671" s="13" t="inlineStr">
        <is>
          <t>미실행</t>
        </is>
      </c>
    </row>
    <row r="672">
      <c r="A672" s="13" t="inlineStr">
        <is>
          <t>요건</t>
        </is>
      </c>
      <c r="B672" s="13" t="inlineStr">
        <is>
          <t>AC-06</t>
        </is>
      </c>
      <c r="C672" s="13" t="inlineStr">
        <is>
          <t>TC-BUS-01-22</t>
        </is>
      </c>
      <c r="D672" s="13" t="inlineStr">
        <is>
          <t>비기능</t>
        </is>
      </c>
      <c r="E672" s="13" t="inlineStr">
        <is>
          <t>미실행</t>
        </is>
      </c>
    </row>
    <row r="673">
      <c r="A673" s="13" t="inlineStr">
        <is>
          <t>요건</t>
        </is>
      </c>
      <c r="B673" s="13" t="inlineStr">
        <is>
          <t>T-4</t>
        </is>
      </c>
      <c r="C673" s="13" t="inlineStr">
        <is>
          <t>TC-BUS-01-22</t>
        </is>
      </c>
      <c r="D673" s="13" t="inlineStr">
        <is>
          <t>비기능</t>
        </is>
      </c>
      <c r="E673" s="13" t="inlineStr">
        <is>
          <t>미실행</t>
        </is>
      </c>
    </row>
    <row r="674">
      <c r="A674" s="13" t="inlineStr">
        <is>
          <t>화면</t>
        </is>
      </c>
      <c r="B674" s="13" t="inlineStr">
        <is>
          <t>SVC-08</t>
        </is>
      </c>
      <c r="C674" s="13" t="inlineStr">
        <is>
          <t>TC-SVC-08-01</t>
        </is>
      </c>
      <c r="D674" s="13" t="inlineStr">
        <is>
          <t>기능</t>
        </is>
      </c>
      <c r="E674" s="13" t="inlineStr">
        <is>
          <t>미실행</t>
        </is>
      </c>
    </row>
    <row r="675">
      <c r="A675" s="13" t="inlineStr">
        <is>
          <t>요건</t>
        </is>
      </c>
      <c r="B675" s="13" t="inlineStr">
        <is>
          <t>V-5</t>
        </is>
      </c>
      <c r="C675" s="13" t="inlineStr">
        <is>
          <t>TC-SVC-08-01</t>
        </is>
      </c>
      <c r="D675" s="13" t="inlineStr">
        <is>
          <t>기능</t>
        </is>
      </c>
      <c r="E675" s="13" t="inlineStr">
        <is>
          <t>미실행</t>
        </is>
      </c>
    </row>
    <row r="676">
      <c r="A676" s="13" t="inlineStr">
        <is>
          <t>화면</t>
        </is>
      </c>
      <c r="B676" s="13" t="inlineStr">
        <is>
          <t>SVC-08</t>
        </is>
      </c>
      <c r="C676" s="13" t="inlineStr">
        <is>
          <t>TC-SVC-08-02</t>
        </is>
      </c>
      <c r="D676" s="13" t="inlineStr">
        <is>
          <t>기능</t>
        </is>
      </c>
      <c r="E676" s="13" t="inlineStr">
        <is>
          <t>미실행</t>
        </is>
      </c>
    </row>
    <row r="677">
      <c r="A677" s="13" t="inlineStr">
        <is>
          <t>요건</t>
        </is>
      </c>
      <c r="B677" s="13" t="inlineStr">
        <is>
          <t>V-5</t>
        </is>
      </c>
      <c r="C677" s="13" t="inlineStr">
        <is>
          <t>TC-SVC-08-02</t>
        </is>
      </c>
      <c r="D677" s="13" t="inlineStr">
        <is>
          <t>기능</t>
        </is>
      </c>
      <c r="E677" s="13" t="inlineStr">
        <is>
          <t>미실행</t>
        </is>
      </c>
    </row>
    <row r="678">
      <c r="A678" s="13" t="inlineStr">
        <is>
          <t>요건</t>
        </is>
      </c>
      <c r="B678" s="13" t="inlineStr">
        <is>
          <t>V-3</t>
        </is>
      </c>
      <c r="C678" s="13" t="inlineStr">
        <is>
          <t>TC-SVC-08-02</t>
        </is>
      </c>
      <c r="D678" s="13" t="inlineStr">
        <is>
          <t>기능</t>
        </is>
      </c>
      <c r="E678" s="13" t="inlineStr">
        <is>
          <t>미실행</t>
        </is>
      </c>
    </row>
    <row r="679">
      <c r="A679" s="13" t="inlineStr">
        <is>
          <t>화면</t>
        </is>
      </c>
      <c r="B679" s="13" t="inlineStr">
        <is>
          <t>SVC-08</t>
        </is>
      </c>
      <c r="C679" s="13" t="inlineStr">
        <is>
          <t>TC-SVC-08-03</t>
        </is>
      </c>
      <c r="D679" s="13" t="inlineStr">
        <is>
          <t>기능</t>
        </is>
      </c>
      <c r="E679" s="13" t="inlineStr">
        <is>
          <t>미실행</t>
        </is>
      </c>
    </row>
    <row r="680">
      <c r="A680" s="13" t="inlineStr">
        <is>
          <t>요건</t>
        </is>
      </c>
      <c r="B680" s="13" t="inlineStr">
        <is>
          <t>V-4</t>
        </is>
      </c>
      <c r="C680" s="13" t="inlineStr">
        <is>
          <t>TC-SVC-08-03</t>
        </is>
      </c>
      <c r="D680" s="13" t="inlineStr">
        <is>
          <t>기능</t>
        </is>
      </c>
      <c r="E680" s="13" t="inlineStr">
        <is>
          <t>미실행</t>
        </is>
      </c>
    </row>
    <row r="681">
      <c r="A681" s="13" t="inlineStr">
        <is>
          <t>요건</t>
        </is>
      </c>
      <c r="B681" s="13" t="inlineStr">
        <is>
          <t>V-5</t>
        </is>
      </c>
      <c r="C681" s="13" t="inlineStr">
        <is>
          <t>TC-SVC-08-03</t>
        </is>
      </c>
      <c r="D681" s="13" t="inlineStr">
        <is>
          <t>기능</t>
        </is>
      </c>
      <c r="E681" s="13" t="inlineStr">
        <is>
          <t>미실행</t>
        </is>
      </c>
    </row>
    <row r="682">
      <c r="A682" s="13" t="inlineStr">
        <is>
          <t>화면</t>
        </is>
      </c>
      <c r="B682" s="13" t="inlineStr">
        <is>
          <t>SVC-08</t>
        </is>
      </c>
      <c r="C682" s="13" t="inlineStr">
        <is>
          <t>TC-SVC-08-04</t>
        </is>
      </c>
      <c r="D682" s="13" t="inlineStr">
        <is>
          <t>접근성</t>
        </is>
      </c>
      <c r="E682" s="13" t="inlineStr">
        <is>
          <t>미실행</t>
        </is>
      </c>
    </row>
    <row r="683">
      <c r="A683" s="13" t="inlineStr">
        <is>
          <t>요건</t>
        </is>
      </c>
      <c r="B683" s="13" t="inlineStr">
        <is>
          <t>AC-05</t>
        </is>
      </c>
      <c r="C683" s="13" t="inlineStr">
        <is>
          <t>TC-SVC-08-04</t>
        </is>
      </c>
      <c r="D683" s="13" t="inlineStr">
        <is>
          <t>접근성</t>
        </is>
      </c>
      <c r="E683" s="13" t="inlineStr">
        <is>
          <t>미실행</t>
        </is>
      </c>
    </row>
    <row r="684">
      <c r="A684" s="13" t="inlineStr">
        <is>
          <t>요건</t>
        </is>
      </c>
      <c r="B684" s="13" t="inlineStr">
        <is>
          <t>NFR-05</t>
        </is>
      </c>
      <c r="C684" s="13" t="inlineStr">
        <is>
          <t>TC-SVC-08-04</t>
        </is>
      </c>
      <c r="D684" s="13" t="inlineStr">
        <is>
          <t>접근성</t>
        </is>
      </c>
      <c r="E684" s="13" t="inlineStr">
        <is>
          <t>미실행</t>
        </is>
      </c>
    </row>
    <row r="685">
      <c r="A685" s="13" t="inlineStr">
        <is>
          <t>화면</t>
        </is>
      </c>
      <c r="B685" s="13" t="inlineStr">
        <is>
          <t>SVC-08</t>
        </is>
      </c>
      <c r="C685" s="13" t="inlineStr">
        <is>
          <t>TC-SVC-08-05</t>
        </is>
      </c>
      <c r="D685" s="13" t="inlineStr">
        <is>
          <t>접근성</t>
        </is>
      </c>
      <c r="E685" s="13" t="inlineStr">
        <is>
          <t>미실행</t>
        </is>
      </c>
    </row>
    <row r="686">
      <c r="A686" s="13" t="inlineStr">
        <is>
          <t>요건</t>
        </is>
      </c>
      <c r="B686" s="13" t="inlineStr">
        <is>
          <t>V-3</t>
        </is>
      </c>
      <c r="C686" s="13" t="inlineStr">
        <is>
          <t>TC-SVC-08-05</t>
        </is>
      </c>
      <c r="D686" s="13" t="inlineStr">
        <is>
          <t>접근성</t>
        </is>
      </c>
      <c r="E686" s="13" t="inlineStr">
        <is>
          <t>미실행</t>
        </is>
      </c>
    </row>
    <row r="687">
      <c r="A687" s="13" t="inlineStr">
        <is>
          <t>요건</t>
        </is>
      </c>
      <c r="B687" s="13" t="inlineStr">
        <is>
          <t>C-3</t>
        </is>
      </c>
      <c r="C687" s="13" t="inlineStr">
        <is>
          <t>TC-SVC-08-05</t>
        </is>
      </c>
      <c r="D687" s="13" t="inlineStr">
        <is>
          <t>접근성</t>
        </is>
      </c>
      <c r="E687" s="13" t="inlineStr">
        <is>
          <t>미실행</t>
        </is>
      </c>
    </row>
    <row r="688">
      <c r="A688" s="13" t="inlineStr">
        <is>
          <t>화면</t>
        </is>
      </c>
      <c r="B688" s="13" t="inlineStr">
        <is>
          <t>SVC-08</t>
        </is>
      </c>
      <c r="C688" s="13" t="inlineStr">
        <is>
          <t>TC-SVC-08-06</t>
        </is>
      </c>
      <c r="D688" s="13" t="inlineStr">
        <is>
          <t>비기능</t>
        </is>
      </c>
      <c r="E688" s="13" t="inlineStr">
        <is>
          <t>미실행</t>
        </is>
      </c>
    </row>
    <row r="689">
      <c r="A689" s="13" t="inlineStr">
        <is>
          <t>요건</t>
        </is>
      </c>
      <c r="B689" s="13" t="inlineStr">
        <is>
          <t>NFR-01</t>
        </is>
      </c>
      <c r="C689" s="13" t="inlineStr">
        <is>
          <t>TC-SVC-08-06</t>
        </is>
      </c>
      <c r="D689" s="13" t="inlineStr">
        <is>
          <t>비기능</t>
        </is>
      </c>
      <c r="E689" s="13" t="inlineStr">
        <is>
          <t>미실행</t>
        </is>
      </c>
    </row>
    <row r="690">
      <c r="A690" s="13" t="inlineStr">
        <is>
          <t>요건</t>
        </is>
      </c>
      <c r="B690" s="13" t="inlineStr">
        <is>
          <t>AC-06</t>
        </is>
      </c>
      <c r="C690" s="13" t="inlineStr">
        <is>
          <t>TC-SVC-08-06</t>
        </is>
      </c>
      <c r="D690" s="13" t="inlineStr">
        <is>
          <t>비기능</t>
        </is>
      </c>
      <c r="E690" s="13" t="inlineStr">
        <is>
          <t>미실행</t>
        </is>
      </c>
    </row>
    <row r="691">
      <c r="A691" s="13" t="inlineStr">
        <is>
          <t>요건</t>
        </is>
      </c>
      <c r="B691" s="13" t="inlineStr">
        <is>
          <t>T-4</t>
        </is>
      </c>
      <c r="C691" s="13" t="inlineStr">
        <is>
          <t>TC-SVC-08-06</t>
        </is>
      </c>
      <c r="D691" s="13" t="inlineStr">
        <is>
          <t>비기능</t>
        </is>
      </c>
      <c r="E691" s="13" t="inlineStr">
        <is>
          <t>미실행</t>
        </is>
      </c>
    </row>
    <row r="692">
      <c r="A692" s="13" t="inlineStr">
        <is>
          <t>화면</t>
        </is>
      </c>
      <c r="B692" s="13" t="inlineStr">
        <is>
          <t>SVC-08</t>
        </is>
      </c>
      <c r="C692" s="13" t="inlineStr">
        <is>
          <t>TC-SVC-08-07</t>
        </is>
      </c>
      <c r="D692" s="13" t="inlineStr">
        <is>
          <t>비기능</t>
        </is>
      </c>
      <c r="E692" s="13" t="inlineStr">
        <is>
          <t>미실행</t>
        </is>
      </c>
    </row>
    <row r="693">
      <c r="A693" s="13" t="inlineStr">
        <is>
          <t>요건</t>
        </is>
      </c>
      <c r="B693" s="13" t="inlineStr">
        <is>
          <t>NFR-01</t>
        </is>
      </c>
      <c r="C693" s="13" t="inlineStr">
        <is>
          <t>TC-SVC-08-07</t>
        </is>
      </c>
      <c r="D693" s="13" t="inlineStr">
        <is>
          <t>비기능</t>
        </is>
      </c>
      <c r="E693" s="13" t="inlineStr">
        <is>
          <t>미실행</t>
        </is>
      </c>
    </row>
    <row r="694">
      <c r="A694" s="13" t="inlineStr">
        <is>
          <t>요건</t>
        </is>
      </c>
      <c r="B694" s="13" t="inlineStr">
        <is>
          <t>C-1</t>
        </is>
      </c>
      <c r="C694" s="13" t="inlineStr">
        <is>
          <t>TC-SVC-08-07</t>
        </is>
      </c>
      <c r="D694" s="13" t="inlineStr">
        <is>
          <t>비기능</t>
        </is>
      </c>
      <c r="E694" s="13" t="inlineStr">
        <is>
          <t>미실행</t>
        </is>
      </c>
    </row>
    <row r="695">
      <c r="A695" s="13" t="inlineStr">
        <is>
          <t>요건</t>
        </is>
      </c>
      <c r="B695" s="13" t="inlineStr">
        <is>
          <t>NFR-02</t>
        </is>
      </c>
      <c r="C695" s="13" t="inlineStr">
        <is>
          <t>TC-SVC-08-07</t>
        </is>
      </c>
      <c r="D695" s="13" t="inlineStr">
        <is>
          <t>비기능</t>
        </is>
      </c>
      <c r="E695" s="13" t="inlineStr">
        <is>
          <t>미실행</t>
        </is>
      </c>
    </row>
    <row r="696">
      <c r="A696" s="13" t="inlineStr">
        <is>
          <t>화면</t>
        </is>
      </c>
      <c r="B696" s="13" t="inlineStr">
        <is>
          <t>SVC-08</t>
        </is>
      </c>
      <c r="C696" s="13" t="inlineStr">
        <is>
          <t>TC-SVC-08-08</t>
        </is>
      </c>
      <c r="D696" s="13" t="inlineStr">
        <is>
          <t>기능</t>
        </is>
      </c>
      <c r="E696" s="13" t="inlineStr">
        <is>
          <t>미실행</t>
        </is>
      </c>
    </row>
    <row r="697">
      <c r="A697" s="13" t="inlineStr">
        <is>
          <t>요건</t>
        </is>
      </c>
      <c r="B697" s="13" t="inlineStr">
        <is>
          <t>V-4</t>
        </is>
      </c>
      <c r="C697" s="13" t="inlineStr">
        <is>
          <t>TC-SVC-08-08</t>
        </is>
      </c>
      <c r="D697" s="13" t="inlineStr">
        <is>
          <t>기능</t>
        </is>
      </c>
      <c r="E697" s="13" t="inlineStr">
        <is>
          <t>미실행</t>
        </is>
      </c>
    </row>
    <row r="698">
      <c r="A698" s="13" t="inlineStr">
        <is>
          <t>요건</t>
        </is>
      </c>
      <c r="B698" s="13" t="inlineStr">
        <is>
          <t>V-3</t>
        </is>
      </c>
      <c r="C698" s="13" t="inlineStr">
        <is>
          <t>TC-SVC-08-08</t>
        </is>
      </c>
      <c r="D698" s="13" t="inlineStr">
        <is>
          <t>기능</t>
        </is>
      </c>
      <c r="E698" s="13" t="inlineStr">
        <is>
          <t>미실행</t>
        </is>
      </c>
    </row>
    <row r="699">
      <c r="A699" s="13" t="inlineStr">
        <is>
          <t>화면</t>
        </is>
      </c>
      <c r="B699" s="13" t="inlineStr">
        <is>
          <t>SVC-08</t>
        </is>
      </c>
      <c r="C699" s="13" t="inlineStr">
        <is>
          <t>TC-SVC-08-09</t>
        </is>
      </c>
      <c r="D699" s="13" t="inlineStr">
        <is>
          <t>접근성</t>
        </is>
      </c>
      <c r="E699" s="13" t="inlineStr">
        <is>
          <t>미실행</t>
        </is>
      </c>
    </row>
    <row r="700">
      <c r="A700" s="13" t="inlineStr">
        <is>
          <t>요건</t>
        </is>
      </c>
      <c r="B700" s="13" t="inlineStr">
        <is>
          <t>AC-05</t>
        </is>
      </c>
      <c r="C700" s="13" t="inlineStr">
        <is>
          <t>TC-SVC-08-09</t>
        </is>
      </c>
      <c r="D700" s="13" t="inlineStr">
        <is>
          <t>접근성</t>
        </is>
      </c>
      <c r="E700" s="13" t="inlineStr">
        <is>
          <t>미실행</t>
        </is>
      </c>
    </row>
    <row r="701">
      <c r="A701" s="13" t="inlineStr">
        <is>
          <t>요건</t>
        </is>
      </c>
      <c r="B701" s="13" t="inlineStr">
        <is>
          <t>V-4</t>
        </is>
      </c>
      <c r="C701" s="13" t="inlineStr">
        <is>
          <t>TC-SVC-08-09</t>
        </is>
      </c>
      <c r="D701" s="13" t="inlineStr">
        <is>
          <t>접근성</t>
        </is>
      </c>
      <c r="E701" s="13" t="inlineStr">
        <is>
          <t>미실행</t>
        </is>
      </c>
    </row>
    <row r="702">
      <c r="A702" s="13" t="inlineStr">
        <is>
          <t>요건</t>
        </is>
      </c>
      <c r="B702" s="13" t="inlineStr">
        <is>
          <t>NFR-05</t>
        </is>
      </c>
      <c r="C702" s="13" t="inlineStr">
        <is>
          <t>TC-SVC-08-09</t>
        </is>
      </c>
      <c r="D702" s="13" t="inlineStr">
        <is>
          <t>접근성</t>
        </is>
      </c>
      <c r="E702" s="13" t="inlineStr">
        <is>
          <t>미실행</t>
        </is>
      </c>
    </row>
    <row r="703">
      <c r="A703" s="13" t="inlineStr">
        <is>
          <t>화면</t>
        </is>
      </c>
      <c r="B703" s="13" t="inlineStr">
        <is>
          <t>SVC-08</t>
        </is>
      </c>
      <c r="C703" s="13" t="inlineStr">
        <is>
          <t>TC-SVC-08-10</t>
        </is>
      </c>
      <c r="D703" s="13" t="inlineStr">
        <is>
          <t>접근성</t>
        </is>
      </c>
      <c r="E703" s="13" t="inlineStr">
        <is>
          <t>미실행</t>
        </is>
      </c>
    </row>
    <row r="704">
      <c r="A704" s="13" t="inlineStr">
        <is>
          <t>요건</t>
        </is>
      </c>
      <c r="B704" s="13" t="inlineStr">
        <is>
          <t>NFR-05</t>
        </is>
      </c>
      <c r="C704" s="13" t="inlineStr">
        <is>
          <t>TC-SVC-08-10</t>
        </is>
      </c>
      <c r="D704" s="13" t="inlineStr">
        <is>
          <t>접근성</t>
        </is>
      </c>
      <c r="E704" s="13" t="inlineStr">
        <is>
          <t>미실행</t>
        </is>
      </c>
    </row>
    <row r="705">
      <c r="A705" s="13" t="inlineStr">
        <is>
          <t>요건</t>
        </is>
      </c>
      <c r="B705" s="13" t="inlineStr">
        <is>
          <t>NFR-02</t>
        </is>
      </c>
      <c r="C705" s="13" t="inlineStr">
        <is>
          <t>TC-SVC-08-10</t>
        </is>
      </c>
      <c r="D705" s="13" t="inlineStr">
        <is>
          <t>접근성</t>
        </is>
      </c>
      <c r="E705" s="13" t="inlineStr">
        <is>
          <t>미실행</t>
        </is>
      </c>
    </row>
    <row r="706">
      <c r="A706" s="13" t="inlineStr">
        <is>
          <t>요건</t>
        </is>
      </c>
      <c r="B706" s="13" t="inlineStr">
        <is>
          <t>FR-A2</t>
        </is>
      </c>
      <c r="C706" s="13" t="inlineStr">
        <is>
          <t>TC-SVC-08-10</t>
        </is>
      </c>
      <c r="D706" s="13" t="inlineStr">
        <is>
          <t>접근성</t>
        </is>
      </c>
      <c r="E706" s="13" t="inlineStr">
        <is>
          <t>미실행</t>
        </is>
      </c>
    </row>
    <row r="707">
      <c r="A707" s="13" t="inlineStr">
        <is>
          <t>화면</t>
        </is>
      </c>
      <c r="B707" s="13" t="inlineStr">
        <is>
          <t>SVC-08</t>
        </is>
      </c>
      <c r="C707" s="13" t="inlineStr">
        <is>
          <t>TC-SVC-08-11</t>
        </is>
      </c>
      <c r="D707" s="13" t="inlineStr">
        <is>
          <t>기능</t>
        </is>
      </c>
      <c r="E707" s="13" t="inlineStr">
        <is>
          <t>미실행</t>
        </is>
      </c>
    </row>
    <row r="708">
      <c r="A708" s="13" t="inlineStr">
        <is>
          <t>요건</t>
        </is>
      </c>
      <c r="B708" s="13" t="inlineStr">
        <is>
          <t>C-6</t>
        </is>
      </c>
      <c r="C708" s="13" t="inlineStr">
        <is>
          <t>TC-SVC-08-11</t>
        </is>
      </c>
      <c r="D708" s="13" t="inlineStr">
        <is>
          <t>기능</t>
        </is>
      </c>
      <c r="E708" s="13" t="inlineStr">
        <is>
          <t>미실행</t>
        </is>
      </c>
    </row>
    <row r="709">
      <c r="A709" s="13" t="inlineStr">
        <is>
          <t>요건</t>
        </is>
      </c>
      <c r="B709" s="13" t="inlineStr">
        <is>
          <t>V-6</t>
        </is>
      </c>
      <c r="C709" s="13" t="inlineStr">
        <is>
          <t>TC-SVC-08-11</t>
        </is>
      </c>
      <c r="D709" s="13" t="inlineStr">
        <is>
          <t>기능</t>
        </is>
      </c>
      <c r="E709" s="13" t="inlineStr">
        <is>
          <t>미실행</t>
        </is>
      </c>
    </row>
    <row r="710">
      <c r="A710" s="13" t="inlineStr">
        <is>
          <t>요건</t>
        </is>
      </c>
      <c r="B710" s="13" t="inlineStr">
        <is>
          <t>AC-05</t>
        </is>
      </c>
      <c r="C710" s="13" t="inlineStr">
        <is>
          <t>TC-SVC-08-11</t>
        </is>
      </c>
      <c r="D710" s="13" t="inlineStr">
        <is>
          <t>기능</t>
        </is>
      </c>
      <c r="E710" s="13" t="inlineStr">
        <is>
          <t>미실행</t>
        </is>
      </c>
    </row>
    <row r="711">
      <c r="A711" s="13" t="inlineStr">
        <is>
          <t>화면</t>
        </is>
      </c>
      <c r="B711" s="13" t="inlineStr">
        <is>
          <t>SVC-08</t>
        </is>
      </c>
      <c r="C711" s="13" t="inlineStr">
        <is>
          <t>TC-SVC-08-12</t>
        </is>
      </c>
      <c r="D711" s="13" t="inlineStr">
        <is>
          <t>기능</t>
        </is>
      </c>
      <c r="E711" s="13" t="inlineStr">
        <is>
          <t>보류</t>
        </is>
      </c>
    </row>
    <row r="712">
      <c r="A712" s="13" t="inlineStr">
        <is>
          <t>요건</t>
        </is>
      </c>
      <c r="B712" s="13" t="inlineStr">
        <is>
          <t>V-4</t>
        </is>
      </c>
      <c r="C712" s="13" t="inlineStr">
        <is>
          <t>TC-SVC-08-12</t>
        </is>
      </c>
      <c r="D712" s="13" t="inlineStr">
        <is>
          <t>기능</t>
        </is>
      </c>
      <c r="E712" s="13" t="inlineStr">
        <is>
          <t>보류</t>
        </is>
      </c>
    </row>
    <row r="713">
      <c r="A713" s="13" t="inlineStr">
        <is>
          <t>요건</t>
        </is>
      </c>
      <c r="B713" s="13" t="inlineStr">
        <is>
          <t>SC-05</t>
        </is>
      </c>
      <c r="C713" s="13" t="inlineStr">
        <is>
          <t>TC-SVC-08-12</t>
        </is>
      </c>
      <c r="D713" s="13" t="inlineStr">
        <is>
          <t>기능</t>
        </is>
      </c>
      <c r="E713" s="13" t="inlineStr">
        <is>
          <t>보류</t>
        </is>
      </c>
    </row>
    <row r="714">
      <c r="A714" s="13" t="inlineStr">
        <is>
          <t>화면</t>
        </is>
      </c>
      <c r="B714" s="13" t="inlineStr">
        <is>
          <t>1-2</t>
        </is>
      </c>
      <c r="C714" s="13" t="inlineStr">
        <is>
          <t>TC-1-2-01</t>
        </is>
      </c>
      <c r="D714" s="13" t="inlineStr">
        <is>
          <t>기능</t>
        </is>
      </c>
      <c r="E714" s="13" t="inlineStr">
        <is>
          <t>미실행</t>
        </is>
      </c>
    </row>
    <row r="715">
      <c r="A715" s="13" t="inlineStr">
        <is>
          <t>요건</t>
        </is>
      </c>
      <c r="B715" s="13" t="inlineStr">
        <is>
          <t>V-5</t>
        </is>
      </c>
      <c r="C715" s="13" t="inlineStr">
        <is>
          <t>TC-1-2-01</t>
        </is>
      </c>
      <c r="D715" s="13" t="inlineStr">
        <is>
          <t>기능</t>
        </is>
      </c>
      <c r="E715" s="13" t="inlineStr">
        <is>
          <t>미실행</t>
        </is>
      </c>
    </row>
    <row r="716">
      <c r="A716" s="13" t="inlineStr">
        <is>
          <t>화면</t>
        </is>
      </c>
      <c r="B716" s="13" t="inlineStr">
        <is>
          <t>1-2</t>
        </is>
      </c>
      <c r="C716" s="13" t="inlineStr">
        <is>
          <t>TC-1-2-02</t>
        </is>
      </c>
      <c r="D716" s="13" t="inlineStr">
        <is>
          <t>기능</t>
        </is>
      </c>
      <c r="E716" s="13" t="inlineStr">
        <is>
          <t>미실행</t>
        </is>
      </c>
    </row>
    <row r="717">
      <c r="A717" s="13" t="inlineStr">
        <is>
          <t>화면</t>
        </is>
      </c>
      <c r="B717" s="13" t="inlineStr">
        <is>
          <t>SVC-05</t>
        </is>
      </c>
      <c r="C717" s="13" t="inlineStr">
        <is>
          <t>TC-1-2-02</t>
        </is>
      </c>
      <c r="D717" s="13" t="inlineStr">
        <is>
          <t>기능</t>
        </is>
      </c>
      <c r="E717" s="13" t="inlineStr">
        <is>
          <t>미실행</t>
        </is>
      </c>
    </row>
    <row r="718">
      <c r="A718" s="13" t="inlineStr">
        <is>
          <t>요건</t>
        </is>
      </c>
      <c r="B718" s="13" t="inlineStr">
        <is>
          <t>V-5</t>
        </is>
      </c>
      <c r="C718" s="13" t="inlineStr">
        <is>
          <t>TC-1-2-02</t>
        </is>
      </c>
      <c r="D718" s="13" t="inlineStr">
        <is>
          <t>기능</t>
        </is>
      </c>
      <c r="E718" s="13" t="inlineStr">
        <is>
          <t>미실행</t>
        </is>
      </c>
    </row>
    <row r="719">
      <c r="A719" s="13" t="inlineStr">
        <is>
          <t>화면</t>
        </is>
      </c>
      <c r="B719" s="13" t="inlineStr">
        <is>
          <t>1-2</t>
        </is>
      </c>
      <c r="C719" s="13" t="inlineStr">
        <is>
          <t>TC-1-2-03</t>
        </is>
      </c>
      <c r="D719" s="13" t="inlineStr">
        <is>
          <t>기능</t>
        </is>
      </c>
      <c r="E719" s="13" t="inlineStr">
        <is>
          <t>미실행</t>
        </is>
      </c>
    </row>
    <row r="720">
      <c r="A720" s="13" t="inlineStr">
        <is>
          <t>요건</t>
        </is>
      </c>
      <c r="B720" s="13" t="inlineStr">
        <is>
          <t>SG-7</t>
        </is>
      </c>
      <c r="C720" s="13" t="inlineStr">
        <is>
          <t>TC-1-2-03</t>
        </is>
      </c>
      <c r="D720" s="13" t="inlineStr">
        <is>
          <t>기능</t>
        </is>
      </c>
      <c r="E720" s="13" t="inlineStr">
        <is>
          <t>미실행</t>
        </is>
      </c>
    </row>
    <row r="721">
      <c r="A721" s="13" t="inlineStr">
        <is>
          <t>화면</t>
        </is>
      </c>
      <c r="B721" s="13" t="inlineStr">
        <is>
          <t>1-2</t>
        </is>
      </c>
      <c r="C721" s="13" t="inlineStr">
        <is>
          <t>TC-1-2-04</t>
        </is>
      </c>
      <c r="D721" s="13" t="inlineStr">
        <is>
          <t>기능</t>
        </is>
      </c>
      <c r="E721" s="13" t="inlineStr">
        <is>
          <t>미실행</t>
        </is>
      </c>
    </row>
    <row r="722">
      <c r="A722" s="13" t="inlineStr">
        <is>
          <t>요건</t>
        </is>
      </c>
      <c r="B722" s="13" t="inlineStr">
        <is>
          <t>SG-7</t>
        </is>
      </c>
      <c r="C722" s="13" t="inlineStr">
        <is>
          <t>TC-1-2-04</t>
        </is>
      </c>
      <c r="D722" s="13" t="inlineStr">
        <is>
          <t>기능</t>
        </is>
      </c>
      <c r="E722" s="13" t="inlineStr">
        <is>
          <t>미실행</t>
        </is>
      </c>
    </row>
    <row r="723">
      <c r="A723" s="13" t="inlineStr">
        <is>
          <t>화면</t>
        </is>
      </c>
      <c r="B723" s="13" t="inlineStr">
        <is>
          <t>1-2</t>
        </is>
      </c>
      <c r="C723" s="13" t="inlineStr">
        <is>
          <t>TC-1-2-05</t>
        </is>
      </c>
      <c r="D723" s="13" t="inlineStr">
        <is>
          <t>기능</t>
        </is>
      </c>
      <c r="E723" s="13" t="inlineStr">
        <is>
          <t>미실행</t>
        </is>
      </c>
    </row>
    <row r="724">
      <c r="A724" s="13" t="inlineStr">
        <is>
          <t>요건</t>
        </is>
      </c>
      <c r="B724" s="13" t="inlineStr">
        <is>
          <t>SG-7</t>
        </is>
      </c>
      <c r="C724" s="13" t="inlineStr">
        <is>
          <t>TC-1-2-05</t>
        </is>
      </c>
      <c r="D724" s="13" t="inlineStr">
        <is>
          <t>기능</t>
        </is>
      </c>
      <c r="E724" s="13" t="inlineStr">
        <is>
          <t>미실행</t>
        </is>
      </c>
    </row>
    <row r="725">
      <c r="A725" s="13" t="inlineStr">
        <is>
          <t>화면</t>
        </is>
      </c>
      <c r="B725" s="13" t="inlineStr">
        <is>
          <t>1-2</t>
        </is>
      </c>
      <c r="C725" s="13" t="inlineStr">
        <is>
          <t>TC-1-2-06</t>
        </is>
      </c>
      <c r="D725" s="13" t="inlineStr">
        <is>
          <t>기능</t>
        </is>
      </c>
      <c r="E725" s="13" t="inlineStr">
        <is>
          <t>미실행</t>
        </is>
      </c>
    </row>
    <row r="726">
      <c r="A726" s="13" t="inlineStr">
        <is>
          <t>요건</t>
        </is>
      </c>
      <c r="B726" s="13" t="inlineStr">
        <is>
          <t>SG-7</t>
        </is>
      </c>
      <c r="C726" s="13" t="inlineStr">
        <is>
          <t>TC-1-2-06</t>
        </is>
      </c>
      <c r="D726" s="13" t="inlineStr">
        <is>
          <t>기능</t>
        </is>
      </c>
      <c r="E726" s="13" t="inlineStr">
        <is>
          <t>미실행</t>
        </is>
      </c>
    </row>
    <row r="727">
      <c r="A727" s="13" t="inlineStr">
        <is>
          <t>화면</t>
        </is>
      </c>
      <c r="B727" s="13" t="inlineStr">
        <is>
          <t>1-2</t>
        </is>
      </c>
      <c r="C727" s="13" t="inlineStr">
        <is>
          <t>TC-1-2-07</t>
        </is>
      </c>
      <c r="D727" s="13" t="inlineStr">
        <is>
          <t>시나리오</t>
        </is>
      </c>
      <c r="E727" s="13" t="inlineStr">
        <is>
          <t>미실행</t>
        </is>
      </c>
    </row>
    <row r="728">
      <c r="A728" s="13" t="inlineStr">
        <is>
          <t>화면</t>
        </is>
      </c>
      <c r="B728" s="13" t="inlineStr">
        <is>
          <t>ROUTE-01</t>
        </is>
      </c>
      <c r="C728" s="13" t="inlineStr">
        <is>
          <t>TC-1-2-07</t>
        </is>
      </c>
      <c r="D728" s="13" t="inlineStr">
        <is>
          <t>시나리오</t>
        </is>
      </c>
      <c r="E728" s="13" t="inlineStr">
        <is>
          <t>미실행</t>
        </is>
      </c>
    </row>
    <row r="729">
      <c r="A729" s="13" t="inlineStr">
        <is>
          <t>요건</t>
        </is>
      </c>
      <c r="B729" s="13" t="inlineStr">
        <is>
          <t>SG-7</t>
        </is>
      </c>
      <c r="C729" s="13" t="inlineStr">
        <is>
          <t>TC-1-2-07</t>
        </is>
      </c>
      <c r="D729" s="13" t="inlineStr">
        <is>
          <t>시나리오</t>
        </is>
      </c>
      <c r="E729" s="13" t="inlineStr">
        <is>
          <t>미실행</t>
        </is>
      </c>
    </row>
    <row r="730">
      <c r="A730" s="13" t="inlineStr">
        <is>
          <t>요건</t>
        </is>
      </c>
      <c r="B730" s="13" t="inlineStr">
        <is>
          <t>V-5</t>
        </is>
      </c>
      <c r="C730" s="13" t="inlineStr">
        <is>
          <t>TC-1-2-07</t>
        </is>
      </c>
      <c r="D730" s="13" t="inlineStr">
        <is>
          <t>시나리오</t>
        </is>
      </c>
      <c r="E730" s="13" t="inlineStr">
        <is>
          <t>미실행</t>
        </is>
      </c>
    </row>
    <row r="731">
      <c r="A731" s="13" t="inlineStr">
        <is>
          <t>화면</t>
        </is>
      </c>
      <c r="B731" s="13" t="inlineStr">
        <is>
          <t>1-2</t>
        </is>
      </c>
      <c r="C731" s="13" t="inlineStr">
        <is>
          <t>TC-1-2-08</t>
        </is>
      </c>
      <c r="D731" s="13" t="inlineStr">
        <is>
          <t>접근성</t>
        </is>
      </c>
      <c r="E731" s="13" t="inlineStr">
        <is>
          <t>미실행</t>
        </is>
      </c>
    </row>
    <row r="732">
      <c r="A732" s="13" t="inlineStr">
        <is>
          <t>요건</t>
        </is>
      </c>
      <c r="B732" s="13" t="inlineStr">
        <is>
          <t>AC-05</t>
        </is>
      </c>
      <c r="C732" s="13" t="inlineStr">
        <is>
          <t>TC-1-2-08</t>
        </is>
      </c>
      <c r="D732" s="13" t="inlineStr">
        <is>
          <t>접근성</t>
        </is>
      </c>
      <c r="E732" s="13" t="inlineStr">
        <is>
          <t>미실행</t>
        </is>
      </c>
    </row>
    <row r="733">
      <c r="A733" s="13" t="inlineStr">
        <is>
          <t>요건</t>
        </is>
      </c>
      <c r="B733" s="13" t="inlineStr">
        <is>
          <t>NFR-04</t>
        </is>
      </c>
      <c r="C733" s="13" t="inlineStr">
        <is>
          <t>TC-1-2-08</t>
        </is>
      </c>
      <c r="D733" s="13" t="inlineStr">
        <is>
          <t>접근성</t>
        </is>
      </c>
      <c r="E733" s="13" t="inlineStr">
        <is>
          <t>미실행</t>
        </is>
      </c>
    </row>
    <row r="734">
      <c r="A734" s="13" t="inlineStr">
        <is>
          <t>화면</t>
        </is>
      </c>
      <c r="B734" s="13" t="inlineStr">
        <is>
          <t>1-2</t>
        </is>
      </c>
      <c r="C734" s="13" t="inlineStr">
        <is>
          <t>TC-1-2-09</t>
        </is>
      </c>
      <c r="D734" s="13" t="inlineStr">
        <is>
          <t>접근성</t>
        </is>
      </c>
      <c r="E734" s="13" t="inlineStr">
        <is>
          <t>미실행</t>
        </is>
      </c>
    </row>
    <row r="735">
      <c r="A735" s="13" t="inlineStr">
        <is>
          <t>요건</t>
        </is>
      </c>
      <c r="B735" s="13" t="inlineStr">
        <is>
          <t>NFR-02</t>
        </is>
      </c>
      <c r="C735" s="13" t="inlineStr">
        <is>
          <t>TC-1-2-09</t>
        </is>
      </c>
      <c r="D735" s="13" t="inlineStr">
        <is>
          <t>접근성</t>
        </is>
      </c>
      <c r="E735" s="13" t="inlineStr">
        <is>
          <t>미실행</t>
        </is>
      </c>
    </row>
    <row r="736">
      <c r="A736" s="13" t="inlineStr">
        <is>
          <t>요건</t>
        </is>
      </c>
      <c r="B736" s="13" t="inlineStr">
        <is>
          <t>S-1</t>
        </is>
      </c>
      <c r="C736" s="13" t="inlineStr">
        <is>
          <t>TC-1-2-09</t>
        </is>
      </c>
      <c r="D736" s="13" t="inlineStr">
        <is>
          <t>접근성</t>
        </is>
      </c>
      <c r="E736" s="13" t="inlineStr">
        <is>
          <t>미실행</t>
        </is>
      </c>
    </row>
    <row r="737">
      <c r="A737" s="13" t="inlineStr">
        <is>
          <t>요건</t>
        </is>
      </c>
      <c r="B737" s="13" t="inlineStr">
        <is>
          <t>S-2</t>
        </is>
      </c>
      <c r="C737" s="13" t="inlineStr">
        <is>
          <t>TC-1-2-09</t>
        </is>
      </c>
      <c r="D737" s="13" t="inlineStr">
        <is>
          <t>접근성</t>
        </is>
      </c>
      <c r="E737" s="13" t="inlineStr">
        <is>
          <t>미실행</t>
        </is>
      </c>
    </row>
    <row r="738">
      <c r="A738" s="13" t="inlineStr">
        <is>
          <t>화면</t>
        </is>
      </c>
      <c r="B738" s="13" t="inlineStr">
        <is>
          <t>1-2</t>
        </is>
      </c>
      <c r="C738" s="13" t="inlineStr">
        <is>
          <t>TC-1-2-10</t>
        </is>
      </c>
      <c r="D738" s="13" t="inlineStr">
        <is>
          <t>기능</t>
        </is>
      </c>
      <c r="E738" s="13" t="inlineStr">
        <is>
          <t>미실행</t>
        </is>
      </c>
    </row>
    <row r="739">
      <c r="A739" s="13" t="inlineStr">
        <is>
          <t>화면</t>
        </is>
      </c>
      <c r="B739" s="13" t="inlineStr">
        <is>
          <t>SVC-04</t>
        </is>
      </c>
      <c r="C739" s="13" t="inlineStr">
        <is>
          <t>TC-1-2-10</t>
        </is>
      </c>
      <c r="D739" s="13" t="inlineStr">
        <is>
          <t>기능</t>
        </is>
      </c>
      <c r="E739" s="13" t="inlineStr">
        <is>
          <t>미실행</t>
        </is>
      </c>
    </row>
    <row r="740">
      <c r="A740" s="13" t="inlineStr">
        <is>
          <t>요건</t>
        </is>
      </c>
      <c r="B740" s="13" t="inlineStr">
        <is>
          <t>V-6</t>
        </is>
      </c>
      <c r="C740" s="13" t="inlineStr">
        <is>
          <t>TC-1-2-10</t>
        </is>
      </c>
      <c r="D740" s="13" t="inlineStr">
        <is>
          <t>기능</t>
        </is>
      </c>
      <c r="E740" s="13" t="inlineStr">
        <is>
          <t>미실행</t>
        </is>
      </c>
    </row>
    <row r="741">
      <c r="A741" s="13" t="inlineStr">
        <is>
          <t>화면</t>
        </is>
      </c>
      <c r="B741" s="13" t="inlineStr">
        <is>
          <t>1-2</t>
        </is>
      </c>
      <c r="C741" s="13" t="inlineStr">
        <is>
          <t>TC-1-2-11</t>
        </is>
      </c>
      <c r="D741" s="13" t="inlineStr">
        <is>
          <t>기능</t>
        </is>
      </c>
      <c r="E741" s="13" t="inlineStr">
        <is>
          <t>보류</t>
        </is>
      </c>
    </row>
    <row r="742">
      <c r="A742" s="13" t="inlineStr">
        <is>
          <t>요건</t>
        </is>
      </c>
      <c r="B742" s="13" t="inlineStr">
        <is>
          <t>V-6</t>
        </is>
      </c>
      <c r="C742" s="13" t="inlineStr">
        <is>
          <t>TC-1-2-11</t>
        </is>
      </c>
      <c r="D742" s="13" t="inlineStr">
        <is>
          <t>기능</t>
        </is>
      </c>
      <c r="E742" s="13" t="inlineStr">
        <is>
          <t>보류</t>
        </is>
      </c>
    </row>
    <row r="743">
      <c r="A743" s="13" t="inlineStr">
        <is>
          <t>요건</t>
        </is>
      </c>
      <c r="B743" s="13" t="inlineStr">
        <is>
          <t>SG-7</t>
        </is>
      </c>
      <c r="C743" s="13" t="inlineStr">
        <is>
          <t>TC-1-2-11</t>
        </is>
      </c>
      <c r="D743" s="13" t="inlineStr">
        <is>
          <t>기능</t>
        </is>
      </c>
      <c r="E743" s="13" t="inlineStr">
        <is>
          <t>보류</t>
        </is>
      </c>
    </row>
    <row r="744">
      <c r="A744" s="13" t="inlineStr">
        <is>
          <t>화면</t>
        </is>
      </c>
      <c r="B744" s="13" t="inlineStr">
        <is>
          <t>SVC-06</t>
        </is>
      </c>
      <c r="C744" s="13" t="inlineStr">
        <is>
          <t>TC-SVC-05-01</t>
        </is>
      </c>
      <c r="D744" s="13" t="inlineStr">
        <is>
          <t>기능</t>
        </is>
      </c>
      <c r="E744" s="13" t="inlineStr">
        <is>
          <t>미실행</t>
        </is>
      </c>
    </row>
    <row r="745">
      <c r="A745" s="13" t="inlineStr">
        <is>
          <t>화면</t>
        </is>
      </c>
      <c r="B745" s="13" t="inlineStr">
        <is>
          <t>1-2-2</t>
        </is>
      </c>
      <c r="C745" s="13" t="inlineStr">
        <is>
          <t>TC-SVC-05-01</t>
        </is>
      </c>
      <c r="D745" s="13" t="inlineStr">
        <is>
          <t>기능</t>
        </is>
      </c>
      <c r="E745" s="13" t="inlineStr">
        <is>
          <t>미실행</t>
        </is>
      </c>
    </row>
    <row r="746">
      <c r="A746" s="13" t="inlineStr">
        <is>
          <t>화면</t>
        </is>
      </c>
      <c r="B746" s="13" t="inlineStr">
        <is>
          <t>1-2-3</t>
        </is>
      </c>
      <c r="C746" s="13" t="inlineStr">
        <is>
          <t>TC-SVC-05-01</t>
        </is>
      </c>
      <c r="D746" s="13" t="inlineStr">
        <is>
          <t>기능</t>
        </is>
      </c>
      <c r="E746" s="13" t="inlineStr">
        <is>
          <t>미실행</t>
        </is>
      </c>
    </row>
    <row r="747">
      <c r="A747" s="13" t="inlineStr">
        <is>
          <t>화면</t>
        </is>
      </c>
      <c r="B747" s="13" t="inlineStr">
        <is>
          <t>1-2-4</t>
        </is>
      </c>
      <c r="C747" s="13" t="inlineStr">
        <is>
          <t>TC-SVC-05-01</t>
        </is>
      </c>
      <c r="D747" s="13" t="inlineStr">
        <is>
          <t>기능</t>
        </is>
      </c>
      <c r="E747" s="13" t="inlineStr">
        <is>
          <t>미실행</t>
        </is>
      </c>
    </row>
    <row r="748">
      <c r="A748" s="13" t="inlineStr">
        <is>
          <t>화면</t>
        </is>
      </c>
      <c r="B748" s="13" t="inlineStr">
        <is>
          <t>SVC-05</t>
        </is>
      </c>
      <c r="C748" s="13" t="inlineStr">
        <is>
          <t>TC-SVC-05-01</t>
        </is>
      </c>
      <c r="D748" s="13" t="inlineStr">
        <is>
          <t>기능</t>
        </is>
      </c>
      <c r="E748" s="13" t="inlineStr">
        <is>
          <t>미실행</t>
        </is>
      </c>
    </row>
    <row r="749">
      <c r="A749" s="13" t="inlineStr">
        <is>
          <t>화면</t>
        </is>
      </c>
      <c r="B749" s="13" t="inlineStr">
        <is>
          <t>1-2-6</t>
        </is>
      </c>
      <c r="C749" s="13" t="inlineStr">
        <is>
          <t>TC-SVC-05-01</t>
        </is>
      </c>
      <c r="D749" s="13" t="inlineStr">
        <is>
          <t>기능</t>
        </is>
      </c>
      <c r="E749" s="13" t="inlineStr">
        <is>
          <t>미실행</t>
        </is>
      </c>
    </row>
    <row r="750">
      <c r="A750" s="13" t="inlineStr">
        <is>
          <t>화면</t>
        </is>
      </c>
      <c r="B750" s="13" t="inlineStr">
        <is>
          <t>SVC-04</t>
        </is>
      </c>
      <c r="C750" s="13" t="inlineStr">
        <is>
          <t>TC-SVC-05-01</t>
        </is>
      </c>
      <c r="D750" s="13" t="inlineStr">
        <is>
          <t>기능</t>
        </is>
      </c>
      <c r="E750" s="13" t="inlineStr">
        <is>
          <t>미실행</t>
        </is>
      </c>
    </row>
    <row r="751">
      <c r="A751" s="13" t="inlineStr">
        <is>
          <t>요건</t>
        </is>
      </c>
      <c r="B751" s="13" t="inlineStr">
        <is>
          <t>V-1</t>
        </is>
      </c>
      <c r="C751" s="13" t="inlineStr">
        <is>
          <t>TC-SVC-05-01</t>
        </is>
      </c>
      <c r="D751" s="13" t="inlineStr">
        <is>
          <t>기능</t>
        </is>
      </c>
      <c r="E751" s="13" t="inlineStr">
        <is>
          <t>미실행</t>
        </is>
      </c>
    </row>
    <row r="752">
      <c r="A752" s="13" t="inlineStr">
        <is>
          <t>화면</t>
        </is>
      </c>
      <c r="B752" s="13" t="inlineStr">
        <is>
          <t>SVC-06</t>
        </is>
      </c>
      <c r="C752" s="13" t="inlineStr">
        <is>
          <t>TC-SVC-05-02</t>
        </is>
      </c>
      <c r="D752" s="13" t="inlineStr">
        <is>
          <t>기능</t>
        </is>
      </c>
      <c r="E752" s="13" t="inlineStr">
        <is>
          <t>미실행</t>
        </is>
      </c>
    </row>
    <row r="753">
      <c r="A753" s="13" t="inlineStr">
        <is>
          <t>화면</t>
        </is>
      </c>
      <c r="B753" s="13" t="inlineStr">
        <is>
          <t>1-2-2</t>
        </is>
      </c>
      <c r="C753" s="13" t="inlineStr">
        <is>
          <t>TC-SVC-05-02</t>
        </is>
      </c>
      <c r="D753" s="13" t="inlineStr">
        <is>
          <t>기능</t>
        </is>
      </c>
      <c r="E753" s="13" t="inlineStr">
        <is>
          <t>미실행</t>
        </is>
      </c>
    </row>
    <row r="754">
      <c r="A754" s="13" t="inlineStr">
        <is>
          <t>화면</t>
        </is>
      </c>
      <c r="B754" s="13" t="inlineStr">
        <is>
          <t>1-2-3</t>
        </is>
      </c>
      <c r="C754" s="13" t="inlineStr">
        <is>
          <t>TC-SVC-05-02</t>
        </is>
      </c>
      <c r="D754" s="13" t="inlineStr">
        <is>
          <t>기능</t>
        </is>
      </c>
      <c r="E754" s="13" t="inlineStr">
        <is>
          <t>미실행</t>
        </is>
      </c>
    </row>
    <row r="755">
      <c r="A755" s="13" t="inlineStr">
        <is>
          <t>화면</t>
        </is>
      </c>
      <c r="B755" s="13" t="inlineStr">
        <is>
          <t>1-2-4</t>
        </is>
      </c>
      <c r="C755" s="13" t="inlineStr">
        <is>
          <t>TC-SVC-05-02</t>
        </is>
      </c>
      <c r="D755" s="13" t="inlineStr">
        <is>
          <t>기능</t>
        </is>
      </c>
      <c r="E755" s="13" t="inlineStr">
        <is>
          <t>미실행</t>
        </is>
      </c>
    </row>
    <row r="756">
      <c r="A756" s="13" t="inlineStr">
        <is>
          <t>화면</t>
        </is>
      </c>
      <c r="B756" s="13" t="inlineStr">
        <is>
          <t>SVC-05</t>
        </is>
      </c>
      <c r="C756" s="13" t="inlineStr">
        <is>
          <t>TC-SVC-05-02</t>
        </is>
      </c>
      <c r="D756" s="13" t="inlineStr">
        <is>
          <t>기능</t>
        </is>
      </c>
      <c r="E756" s="13" t="inlineStr">
        <is>
          <t>미실행</t>
        </is>
      </c>
    </row>
    <row r="757">
      <c r="A757" s="13" t="inlineStr">
        <is>
          <t>화면</t>
        </is>
      </c>
      <c r="B757" s="13" t="inlineStr">
        <is>
          <t>1-2-6</t>
        </is>
      </c>
      <c r="C757" s="13" t="inlineStr">
        <is>
          <t>TC-SVC-05-02</t>
        </is>
      </c>
      <c r="D757" s="13" t="inlineStr">
        <is>
          <t>기능</t>
        </is>
      </c>
      <c r="E757" s="13" t="inlineStr">
        <is>
          <t>미실행</t>
        </is>
      </c>
    </row>
    <row r="758">
      <c r="A758" s="13" t="inlineStr">
        <is>
          <t>화면</t>
        </is>
      </c>
      <c r="B758" s="13" t="inlineStr">
        <is>
          <t>SVC-04</t>
        </is>
      </c>
      <c r="C758" s="13" t="inlineStr">
        <is>
          <t>TC-SVC-05-02</t>
        </is>
      </c>
      <c r="D758" s="13" t="inlineStr">
        <is>
          <t>기능</t>
        </is>
      </c>
      <c r="E758" s="13" t="inlineStr">
        <is>
          <t>미실행</t>
        </is>
      </c>
    </row>
    <row r="759">
      <c r="A759" s="13" t="inlineStr">
        <is>
          <t>요건</t>
        </is>
      </c>
      <c r="B759" s="13" t="inlineStr">
        <is>
          <t>V-3</t>
        </is>
      </c>
      <c r="C759" s="13" t="inlineStr">
        <is>
          <t>TC-SVC-05-02</t>
        </is>
      </c>
      <c r="D759" s="13" t="inlineStr">
        <is>
          <t>기능</t>
        </is>
      </c>
      <c r="E759" s="13" t="inlineStr">
        <is>
          <t>미실행</t>
        </is>
      </c>
    </row>
    <row r="760">
      <c r="A760" s="13" t="inlineStr">
        <is>
          <t>화면</t>
        </is>
      </c>
      <c r="B760" s="13" t="inlineStr">
        <is>
          <t>SVC-06</t>
        </is>
      </c>
      <c r="C760" s="13" t="inlineStr">
        <is>
          <t>TC-SVC-05-03</t>
        </is>
      </c>
      <c r="D760" s="13" t="inlineStr">
        <is>
          <t>접근성</t>
        </is>
      </c>
      <c r="E760" s="13" t="inlineStr">
        <is>
          <t>미실행</t>
        </is>
      </c>
    </row>
    <row r="761">
      <c r="A761" s="13" t="inlineStr">
        <is>
          <t>화면</t>
        </is>
      </c>
      <c r="B761" s="13" t="inlineStr">
        <is>
          <t>1-2-2</t>
        </is>
      </c>
      <c r="C761" s="13" t="inlineStr">
        <is>
          <t>TC-SVC-05-03</t>
        </is>
      </c>
      <c r="D761" s="13" t="inlineStr">
        <is>
          <t>접근성</t>
        </is>
      </c>
      <c r="E761" s="13" t="inlineStr">
        <is>
          <t>미실행</t>
        </is>
      </c>
    </row>
    <row r="762">
      <c r="A762" s="13" t="inlineStr">
        <is>
          <t>화면</t>
        </is>
      </c>
      <c r="B762" s="13" t="inlineStr">
        <is>
          <t>1-2-3</t>
        </is>
      </c>
      <c r="C762" s="13" t="inlineStr">
        <is>
          <t>TC-SVC-05-03</t>
        </is>
      </c>
      <c r="D762" s="13" t="inlineStr">
        <is>
          <t>접근성</t>
        </is>
      </c>
      <c r="E762" s="13" t="inlineStr">
        <is>
          <t>미실행</t>
        </is>
      </c>
    </row>
    <row r="763">
      <c r="A763" s="13" t="inlineStr">
        <is>
          <t>화면</t>
        </is>
      </c>
      <c r="B763" s="13" t="inlineStr">
        <is>
          <t>1-2-4</t>
        </is>
      </c>
      <c r="C763" s="13" t="inlineStr">
        <is>
          <t>TC-SVC-05-03</t>
        </is>
      </c>
      <c r="D763" s="13" t="inlineStr">
        <is>
          <t>접근성</t>
        </is>
      </c>
      <c r="E763" s="13" t="inlineStr">
        <is>
          <t>미실행</t>
        </is>
      </c>
    </row>
    <row r="764">
      <c r="A764" s="13" t="inlineStr">
        <is>
          <t>화면</t>
        </is>
      </c>
      <c r="B764" s="13" t="inlineStr">
        <is>
          <t>SVC-05</t>
        </is>
      </c>
      <c r="C764" s="13" t="inlineStr">
        <is>
          <t>TC-SVC-05-03</t>
        </is>
      </c>
      <c r="D764" s="13" t="inlineStr">
        <is>
          <t>접근성</t>
        </is>
      </c>
      <c r="E764" s="13" t="inlineStr">
        <is>
          <t>미실행</t>
        </is>
      </c>
    </row>
    <row r="765">
      <c r="A765" s="13" t="inlineStr">
        <is>
          <t>화면</t>
        </is>
      </c>
      <c r="B765" s="13" t="inlineStr">
        <is>
          <t>1-2-6</t>
        </is>
      </c>
      <c r="C765" s="13" t="inlineStr">
        <is>
          <t>TC-SVC-05-03</t>
        </is>
      </c>
      <c r="D765" s="13" t="inlineStr">
        <is>
          <t>접근성</t>
        </is>
      </c>
      <c r="E765" s="13" t="inlineStr">
        <is>
          <t>미실행</t>
        </is>
      </c>
    </row>
    <row r="766">
      <c r="A766" s="13" t="inlineStr">
        <is>
          <t>화면</t>
        </is>
      </c>
      <c r="B766" s="13" t="inlineStr">
        <is>
          <t>SVC-04</t>
        </is>
      </c>
      <c r="C766" s="13" t="inlineStr">
        <is>
          <t>TC-SVC-05-03</t>
        </is>
      </c>
      <c r="D766" s="13" t="inlineStr">
        <is>
          <t>접근성</t>
        </is>
      </c>
      <c r="E766" s="13" t="inlineStr">
        <is>
          <t>미실행</t>
        </is>
      </c>
    </row>
    <row r="767">
      <c r="A767" s="13" t="inlineStr">
        <is>
          <t>요건</t>
        </is>
      </c>
      <c r="B767" s="13" t="inlineStr">
        <is>
          <t>NFR-02</t>
        </is>
      </c>
      <c r="C767" s="13" t="inlineStr">
        <is>
          <t>TC-SVC-05-03</t>
        </is>
      </c>
      <c r="D767" s="13" t="inlineStr">
        <is>
          <t>접근성</t>
        </is>
      </c>
      <c r="E767" s="13" t="inlineStr">
        <is>
          <t>미실행</t>
        </is>
      </c>
    </row>
    <row r="768">
      <c r="A768" s="13" t="inlineStr">
        <is>
          <t>요건</t>
        </is>
      </c>
      <c r="B768" s="13" t="inlineStr">
        <is>
          <t>S-1</t>
        </is>
      </c>
      <c r="C768" s="13" t="inlineStr">
        <is>
          <t>TC-SVC-05-03</t>
        </is>
      </c>
      <c r="D768" s="13" t="inlineStr">
        <is>
          <t>접근성</t>
        </is>
      </c>
      <c r="E768" s="13" t="inlineStr">
        <is>
          <t>미실행</t>
        </is>
      </c>
    </row>
    <row r="769">
      <c r="A769" s="13" t="inlineStr">
        <is>
          <t>요건</t>
        </is>
      </c>
      <c r="B769" s="13" t="inlineStr">
        <is>
          <t>S-2</t>
        </is>
      </c>
      <c r="C769" s="13" t="inlineStr">
        <is>
          <t>TC-SVC-05-03</t>
        </is>
      </c>
      <c r="D769" s="13" t="inlineStr">
        <is>
          <t>접근성</t>
        </is>
      </c>
      <c r="E769" s="13" t="inlineStr">
        <is>
          <t>미실행</t>
        </is>
      </c>
    </row>
    <row r="770">
      <c r="A770" s="13" t="inlineStr">
        <is>
          <t>화면</t>
        </is>
      </c>
      <c r="B770" s="13" t="inlineStr">
        <is>
          <t>SVC-06</t>
        </is>
      </c>
      <c r="C770" s="13" t="inlineStr">
        <is>
          <t>TC-SVC-05-04</t>
        </is>
      </c>
      <c r="D770" s="13" t="inlineStr">
        <is>
          <t>기능</t>
        </is>
      </c>
      <c r="E770" s="13" t="inlineStr">
        <is>
          <t>미실행</t>
        </is>
      </c>
    </row>
    <row r="771">
      <c r="A771" s="13" t="inlineStr">
        <is>
          <t>화면</t>
        </is>
      </c>
      <c r="B771" s="13" t="inlineStr">
        <is>
          <t>1-2-2</t>
        </is>
      </c>
      <c r="C771" s="13" t="inlineStr">
        <is>
          <t>TC-SVC-05-04</t>
        </is>
      </c>
      <c r="D771" s="13" t="inlineStr">
        <is>
          <t>기능</t>
        </is>
      </c>
      <c r="E771" s="13" t="inlineStr">
        <is>
          <t>미실행</t>
        </is>
      </c>
    </row>
    <row r="772">
      <c r="A772" s="13" t="inlineStr">
        <is>
          <t>화면</t>
        </is>
      </c>
      <c r="B772" s="13" t="inlineStr">
        <is>
          <t>1-2-3</t>
        </is>
      </c>
      <c r="C772" s="13" t="inlineStr">
        <is>
          <t>TC-SVC-05-04</t>
        </is>
      </c>
      <c r="D772" s="13" t="inlineStr">
        <is>
          <t>기능</t>
        </is>
      </c>
      <c r="E772" s="13" t="inlineStr">
        <is>
          <t>미실행</t>
        </is>
      </c>
    </row>
    <row r="773">
      <c r="A773" s="13" t="inlineStr">
        <is>
          <t>화면</t>
        </is>
      </c>
      <c r="B773" s="13" t="inlineStr">
        <is>
          <t>1-2-4</t>
        </is>
      </c>
      <c r="C773" s="13" t="inlineStr">
        <is>
          <t>TC-SVC-05-04</t>
        </is>
      </c>
      <c r="D773" s="13" t="inlineStr">
        <is>
          <t>기능</t>
        </is>
      </c>
      <c r="E773" s="13" t="inlineStr">
        <is>
          <t>미실행</t>
        </is>
      </c>
    </row>
    <row r="774">
      <c r="A774" s="13" t="inlineStr">
        <is>
          <t>화면</t>
        </is>
      </c>
      <c r="B774" s="13" t="inlineStr">
        <is>
          <t>SVC-05</t>
        </is>
      </c>
      <c r="C774" s="13" t="inlineStr">
        <is>
          <t>TC-SVC-05-04</t>
        </is>
      </c>
      <c r="D774" s="13" t="inlineStr">
        <is>
          <t>기능</t>
        </is>
      </c>
      <c r="E774" s="13" t="inlineStr">
        <is>
          <t>미실행</t>
        </is>
      </c>
    </row>
    <row r="775">
      <c r="A775" s="13" t="inlineStr">
        <is>
          <t>화면</t>
        </is>
      </c>
      <c r="B775" s="13" t="inlineStr">
        <is>
          <t>1-2-6</t>
        </is>
      </c>
      <c r="C775" s="13" t="inlineStr">
        <is>
          <t>TC-SVC-05-04</t>
        </is>
      </c>
      <c r="D775" s="13" t="inlineStr">
        <is>
          <t>기능</t>
        </is>
      </c>
      <c r="E775" s="13" t="inlineStr">
        <is>
          <t>미실행</t>
        </is>
      </c>
    </row>
    <row r="776">
      <c r="A776" s="13" t="inlineStr">
        <is>
          <t>화면</t>
        </is>
      </c>
      <c r="B776" s="13" t="inlineStr">
        <is>
          <t>SVC-04</t>
        </is>
      </c>
      <c r="C776" s="13" t="inlineStr">
        <is>
          <t>TC-SVC-05-04</t>
        </is>
      </c>
      <c r="D776" s="13" t="inlineStr">
        <is>
          <t>기능</t>
        </is>
      </c>
      <c r="E776" s="13" t="inlineStr">
        <is>
          <t>미실행</t>
        </is>
      </c>
    </row>
    <row r="777">
      <c r="A777" s="13" t="inlineStr">
        <is>
          <t>요건</t>
        </is>
      </c>
      <c r="B777" s="13" t="inlineStr">
        <is>
          <t>V-6</t>
        </is>
      </c>
      <c r="C777" s="13" t="inlineStr">
        <is>
          <t>TC-SVC-05-04</t>
        </is>
      </c>
      <c r="D777" s="13" t="inlineStr">
        <is>
          <t>기능</t>
        </is>
      </c>
      <c r="E777" s="13" t="inlineStr">
        <is>
          <t>미실행</t>
        </is>
      </c>
    </row>
    <row r="778">
      <c r="A778" s="13" t="inlineStr">
        <is>
          <t>화면</t>
        </is>
      </c>
      <c r="B778" s="13" t="inlineStr">
        <is>
          <t>SVC-05</t>
        </is>
      </c>
      <c r="C778" s="13" t="inlineStr">
        <is>
          <t>TC-SVC-05-05</t>
        </is>
      </c>
      <c r="D778" s="13" t="inlineStr">
        <is>
          <t>기능</t>
        </is>
      </c>
      <c r="E778" s="13" t="inlineStr">
        <is>
          <t>미실행</t>
        </is>
      </c>
    </row>
    <row r="779">
      <c r="A779" s="13" t="inlineStr">
        <is>
          <t>요건</t>
        </is>
      </c>
      <c r="B779" s="13" t="inlineStr">
        <is>
          <t>V-4</t>
        </is>
      </c>
      <c r="C779" s="13" t="inlineStr">
        <is>
          <t>TC-SVC-05-05</t>
        </is>
      </c>
      <c r="D779" s="13" t="inlineStr">
        <is>
          <t>기능</t>
        </is>
      </c>
      <c r="E779" s="13" t="inlineStr">
        <is>
          <t>미실행</t>
        </is>
      </c>
    </row>
    <row r="780">
      <c r="A780" s="13" t="inlineStr">
        <is>
          <t>화면</t>
        </is>
      </c>
      <c r="B780" s="13" t="inlineStr">
        <is>
          <t>SVC-05</t>
        </is>
      </c>
      <c r="C780" s="13" t="inlineStr">
        <is>
          <t>TC-SVC-05-06</t>
        </is>
      </c>
      <c r="D780" s="13" t="inlineStr">
        <is>
          <t>기능</t>
        </is>
      </c>
      <c r="E780" s="13" t="inlineStr">
        <is>
          <t>미실행</t>
        </is>
      </c>
    </row>
    <row r="781">
      <c r="A781" s="13" t="inlineStr">
        <is>
          <t>요건</t>
        </is>
      </c>
      <c r="B781" s="13" t="inlineStr">
        <is>
          <t>V-4</t>
        </is>
      </c>
      <c r="C781" s="13" t="inlineStr">
        <is>
          <t>TC-SVC-05-06</t>
        </is>
      </c>
      <c r="D781" s="13" t="inlineStr">
        <is>
          <t>기능</t>
        </is>
      </c>
      <c r="E781" s="13" t="inlineStr">
        <is>
          <t>미실행</t>
        </is>
      </c>
    </row>
    <row r="782">
      <c r="A782" s="13" t="inlineStr">
        <is>
          <t>요건</t>
        </is>
      </c>
      <c r="B782" s="13" t="inlineStr">
        <is>
          <t>V-3</t>
        </is>
      </c>
      <c r="C782" s="13" t="inlineStr">
        <is>
          <t>TC-SVC-05-06</t>
        </is>
      </c>
      <c r="D782" s="13" t="inlineStr">
        <is>
          <t>기능</t>
        </is>
      </c>
      <c r="E782" s="13" t="inlineStr">
        <is>
          <t>미실행</t>
        </is>
      </c>
    </row>
    <row r="783">
      <c r="A783" s="13" t="inlineStr">
        <is>
          <t>화면</t>
        </is>
      </c>
      <c r="B783" s="13" t="inlineStr">
        <is>
          <t>SVC-05</t>
        </is>
      </c>
      <c r="C783" s="13" t="inlineStr">
        <is>
          <t>TC-SVC-05-07</t>
        </is>
      </c>
      <c r="D783" s="13" t="inlineStr">
        <is>
          <t>기능</t>
        </is>
      </c>
      <c r="E783" s="13" t="inlineStr">
        <is>
          <t>보류</t>
        </is>
      </c>
    </row>
    <row r="784">
      <c r="A784" s="13" t="inlineStr">
        <is>
          <t>요건</t>
        </is>
      </c>
      <c r="B784" s="13" t="inlineStr">
        <is>
          <t>V-4</t>
        </is>
      </c>
      <c r="C784" s="13" t="inlineStr">
        <is>
          <t>TC-SVC-05-07</t>
        </is>
      </c>
      <c r="D784" s="13" t="inlineStr">
        <is>
          <t>기능</t>
        </is>
      </c>
      <c r="E784" s="13" t="inlineStr">
        <is>
          <t>보류</t>
        </is>
      </c>
    </row>
    <row r="785">
      <c r="A785" s="13" t="inlineStr">
        <is>
          <t>화면</t>
        </is>
      </c>
      <c r="B785" s="13" t="inlineStr">
        <is>
          <t>SVC-06</t>
        </is>
      </c>
      <c r="C785" s="13" t="inlineStr">
        <is>
          <t>TC-SVC-05-08</t>
        </is>
      </c>
      <c r="D785" s="13" t="inlineStr">
        <is>
          <t>기능</t>
        </is>
      </c>
      <c r="E785" s="13" t="inlineStr">
        <is>
          <t>미실행</t>
        </is>
      </c>
    </row>
    <row r="786">
      <c r="A786" s="13" t="inlineStr">
        <is>
          <t>화면</t>
        </is>
      </c>
      <c r="B786" s="13" t="inlineStr">
        <is>
          <t>1-2-2</t>
        </is>
      </c>
      <c r="C786" s="13" t="inlineStr">
        <is>
          <t>TC-SVC-05-08</t>
        </is>
      </c>
      <c r="D786" s="13" t="inlineStr">
        <is>
          <t>기능</t>
        </is>
      </c>
      <c r="E786" s="13" t="inlineStr">
        <is>
          <t>미실행</t>
        </is>
      </c>
    </row>
    <row r="787">
      <c r="A787" s="13" t="inlineStr">
        <is>
          <t>화면</t>
        </is>
      </c>
      <c r="B787" s="13" t="inlineStr">
        <is>
          <t>1-2-3</t>
        </is>
      </c>
      <c r="C787" s="13" t="inlineStr">
        <is>
          <t>TC-SVC-05-08</t>
        </is>
      </c>
      <c r="D787" s="13" t="inlineStr">
        <is>
          <t>기능</t>
        </is>
      </c>
      <c r="E787" s="13" t="inlineStr">
        <is>
          <t>미실행</t>
        </is>
      </c>
    </row>
    <row r="788">
      <c r="A788" s="13" t="inlineStr">
        <is>
          <t>화면</t>
        </is>
      </c>
      <c r="B788" s="13" t="inlineStr">
        <is>
          <t>1-2-4</t>
        </is>
      </c>
      <c r="C788" s="13" t="inlineStr">
        <is>
          <t>TC-SVC-05-08</t>
        </is>
      </c>
      <c r="D788" s="13" t="inlineStr">
        <is>
          <t>기능</t>
        </is>
      </c>
      <c r="E788" s="13" t="inlineStr">
        <is>
          <t>미실행</t>
        </is>
      </c>
    </row>
    <row r="789">
      <c r="A789" s="13" t="inlineStr">
        <is>
          <t>화면</t>
        </is>
      </c>
      <c r="B789" s="13" t="inlineStr">
        <is>
          <t>SVC-05</t>
        </is>
      </c>
      <c r="C789" s="13" t="inlineStr">
        <is>
          <t>TC-SVC-05-08</t>
        </is>
      </c>
      <c r="D789" s="13" t="inlineStr">
        <is>
          <t>기능</t>
        </is>
      </c>
      <c r="E789" s="13" t="inlineStr">
        <is>
          <t>미실행</t>
        </is>
      </c>
    </row>
    <row r="790">
      <c r="A790" s="13" t="inlineStr">
        <is>
          <t>화면</t>
        </is>
      </c>
      <c r="B790" s="13" t="inlineStr">
        <is>
          <t>1-2-6</t>
        </is>
      </c>
      <c r="C790" s="13" t="inlineStr">
        <is>
          <t>TC-SVC-05-08</t>
        </is>
      </c>
      <c r="D790" s="13" t="inlineStr">
        <is>
          <t>기능</t>
        </is>
      </c>
      <c r="E790" s="13" t="inlineStr">
        <is>
          <t>미실행</t>
        </is>
      </c>
    </row>
    <row r="791">
      <c r="A791" s="13" t="inlineStr">
        <is>
          <t>화면</t>
        </is>
      </c>
      <c r="B791" s="13" t="inlineStr">
        <is>
          <t>SVC-04</t>
        </is>
      </c>
      <c r="C791" s="13" t="inlineStr">
        <is>
          <t>TC-SVC-05-08</t>
        </is>
      </c>
      <c r="D791" s="13" t="inlineStr">
        <is>
          <t>기능</t>
        </is>
      </c>
      <c r="E791" s="13" t="inlineStr">
        <is>
          <t>미실행</t>
        </is>
      </c>
    </row>
    <row r="792">
      <c r="A792" s="13" t="inlineStr">
        <is>
          <t>요건</t>
        </is>
      </c>
      <c r="B792" s="13" t="inlineStr">
        <is>
          <t>V-4</t>
        </is>
      </c>
      <c r="C792" s="13" t="inlineStr">
        <is>
          <t>TC-SVC-05-08</t>
        </is>
      </c>
      <c r="D792" s="13" t="inlineStr">
        <is>
          <t>기능</t>
        </is>
      </c>
      <c r="E792" s="13" t="inlineStr">
        <is>
          <t>미실행</t>
        </is>
      </c>
    </row>
    <row r="793">
      <c r="A793" s="13" t="inlineStr">
        <is>
          <t>요건</t>
        </is>
      </c>
      <c r="B793" s="13" t="inlineStr">
        <is>
          <t>V-6</t>
        </is>
      </c>
      <c r="C793" s="13" t="inlineStr">
        <is>
          <t>TC-SVC-05-08</t>
        </is>
      </c>
      <c r="D793" s="13" t="inlineStr">
        <is>
          <t>기능</t>
        </is>
      </c>
      <c r="E793" s="13" t="inlineStr">
        <is>
          <t>미실행</t>
        </is>
      </c>
    </row>
    <row r="794">
      <c r="A794" s="13" t="inlineStr">
        <is>
          <t>화면</t>
        </is>
      </c>
      <c r="B794" s="13" t="inlineStr">
        <is>
          <t>SVC-06</t>
        </is>
      </c>
      <c r="C794" s="13" t="inlineStr">
        <is>
          <t>TC-SVC-05-09</t>
        </is>
      </c>
      <c r="D794" s="13" t="inlineStr">
        <is>
          <t>접근성</t>
        </is>
      </c>
      <c r="E794" s="13" t="inlineStr">
        <is>
          <t>미실행</t>
        </is>
      </c>
    </row>
    <row r="795">
      <c r="A795" s="13" t="inlineStr">
        <is>
          <t>화면</t>
        </is>
      </c>
      <c r="B795" s="13" t="inlineStr">
        <is>
          <t>1-2-2</t>
        </is>
      </c>
      <c r="C795" s="13" t="inlineStr">
        <is>
          <t>TC-SVC-05-09</t>
        </is>
      </c>
      <c r="D795" s="13" t="inlineStr">
        <is>
          <t>접근성</t>
        </is>
      </c>
      <c r="E795" s="13" t="inlineStr">
        <is>
          <t>미실행</t>
        </is>
      </c>
    </row>
    <row r="796">
      <c r="A796" s="13" t="inlineStr">
        <is>
          <t>화면</t>
        </is>
      </c>
      <c r="B796" s="13" t="inlineStr">
        <is>
          <t>1-2-3</t>
        </is>
      </c>
      <c r="C796" s="13" t="inlineStr">
        <is>
          <t>TC-SVC-05-09</t>
        </is>
      </c>
      <c r="D796" s="13" t="inlineStr">
        <is>
          <t>접근성</t>
        </is>
      </c>
      <c r="E796" s="13" t="inlineStr">
        <is>
          <t>미실행</t>
        </is>
      </c>
    </row>
    <row r="797">
      <c r="A797" s="13" t="inlineStr">
        <is>
          <t>화면</t>
        </is>
      </c>
      <c r="B797" s="13" t="inlineStr">
        <is>
          <t>1-2-4</t>
        </is>
      </c>
      <c r="C797" s="13" t="inlineStr">
        <is>
          <t>TC-SVC-05-09</t>
        </is>
      </c>
      <c r="D797" s="13" t="inlineStr">
        <is>
          <t>접근성</t>
        </is>
      </c>
      <c r="E797" s="13" t="inlineStr">
        <is>
          <t>미실행</t>
        </is>
      </c>
    </row>
    <row r="798">
      <c r="A798" s="13" t="inlineStr">
        <is>
          <t>화면</t>
        </is>
      </c>
      <c r="B798" s="13" t="inlineStr">
        <is>
          <t>SVC-05</t>
        </is>
      </c>
      <c r="C798" s="13" t="inlineStr">
        <is>
          <t>TC-SVC-05-09</t>
        </is>
      </c>
      <c r="D798" s="13" t="inlineStr">
        <is>
          <t>접근성</t>
        </is>
      </c>
      <c r="E798" s="13" t="inlineStr">
        <is>
          <t>미실행</t>
        </is>
      </c>
    </row>
    <row r="799">
      <c r="A799" s="13" t="inlineStr">
        <is>
          <t>화면</t>
        </is>
      </c>
      <c r="B799" s="13" t="inlineStr">
        <is>
          <t>1-2-6</t>
        </is>
      </c>
      <c r="C799" s="13" t="inlineStr">
        <is>
          <t>TC-SVC-05-09</t>
        </is>
      </c>
      <c r="D799" s="13" t="inlineStr">
        <is>
          <t>접근성</t>
        </is>
      </c>
      <c r="E799" s="13" t="inlineStr">
        <is>
          <t>미실행</t>
        </is>
      </c>
    </row>
    <row r="800">
      <c r="A800" s="13" t="inlineStr">
        <is>
          <t>화면</t>
        </is>
      </c>
      <c r="B800" s="13" t="inlineStr">
        <is>
          <t>SVC-04</t>
        </is>
      </c>
      <c r="C800" s="13" t="inlineStr">
        <is>
          <t>TC-SVC-05-09</t>
        </is>
      </c>
      <c r="D800" s="13" t="inlineStr">
        <is>
          <t>접근성</t>
        </is>
      </c>
      <c r="E800" s="13" t="inlineStr">
        <is>
          <t>미실행</t>
        </is>
      </c>
    </row>
    <row r="801">
      <c r="A801" s="13" t="inlineStr">
        <is>
          <t>요건</t>
        </is>
      </c>
      <c r="B801" s="13" t="inlineStr">
        <is>
          <t>NFR-03</t>
        </is>
      </c>
      <c r="C801" s="13" t="inlineStr">
        <is>
          <t>TC-SVC-05-09</t>
        </is>
      </c>
      <c r="D801" s="13" t="inlineStr">
        <is>
          <t>접근성</t>
        </is>
      </c>
      <c r="E801" s="13" t="inlineStr">
        <is>
          <t>미실행</t>
        </is>
      </c>
    </row>
    <row r="802">
      <c r="A802" s="13" t="inlineStr">
        <is>
          <t>요건</t>
        </is>
      </c>
      <c r="B802" s="13" t="inlineStr">
        <is>
          <t>T-1</t>
        </is>
      </c>
      <c r="C802" s="13" t="inlineStr">
        <is>
          <t>TC-SVC-05-09</t>
        </is>
      </c>
      <c r="D802" s="13" t="inlineStr">
        <is>
          <t>접근성</t>
        </is>
      </c>
      <c r="E802" s="13" t="inlineStr">
        <is>
          <t>미실행</t>
        </is>
      </c>
    </row>
    <row r="803">
      <c r="A803" s="13" t="inlineStr">
        <is>
          <t>요건</t>
        </is>
      </c>
      <c r="B803" s="13" t="inlineStr">
        <is>
          <t>T-2</t>
        </is>
      </c>
      <c r="C803" s="13" t="inlineStr">
        <is>
          <t>TC-SVC-05-09</t>
        </is>
      </c>
      <c r="D803" s="13" t="inlineStr">
        <is>
          <t>접근성</t>
        </is>
      </c>
      <c r="E803" s="13" t="inlineStr">
        <is>
          <t>미실행</t>
        </is>
      </c>
    </row>
    <row r="804">
      <c r="A804" s="13" t="inlineStr">
        <is>
          <t>화면</t>
        </is>
      </c>
      <c r="B804" s="13" t="inlineStr">
        <is>
          <t>SVC-06</t>
        </is>
      </c>
      <c r="C804" s="13" t="inlineStr">
        <is>
          <t>TC-SVC-05-10</t>
        </is>
      </c>
      <c r="D804" s="13" t="inlineStr">
        <is>
          <t>접근성</t>
        </is>
      </c>
      <c r="E804" s="13" t="inlineStr">
        <is>
          <t>미실행</t>
        </is>
      </c>
    </row>
    <row r="805">
      <c r="A805" s="13" t="inlineStr">
        <is>
          <t>화면</t>
        </is>
      </c>
      <c r="B805" s="13" t="inlineStr">
        <is>
          <t>1-2-2</t>
        </is>
      </c>
      <c r="C805" s="13" t="inlineStr">
        <is>
          <t>TC-SVC-05-10</t>
        </is>
      </c>
      <c r="D805" s="13" t="inlineStr">
        <is>
          <t>접근성</t>
        </is>
      </c>
      <c r="E805" s="13" t="inlineStr">
        <is>
          <t>미실행</t>
        </is>
      </c>
    </row>
    <row r="806">
      <c r="A806" s="13" t="inlineStr">
        <is>
          <t>화면</t>
        </is>
      </c>
      <c r="B806" s="13" t="inlineStr">
        <is>
          <t>1-2-3</t>
        </is>
      </c>
      <c r="C806" s="13" t="inlineStr">
        <is>
          <t>TC-SVC-05-10</t>
        </is>
      </c>
      <c r="D806" s="13" t="inlineStr">
        <is>
          <t>접근성</t>
        </is>
      </c>
      <c r="E806" s="13" t="inlineStr">
        <is>
          <t>미실행</t>
        </is>
      </c>
    </row>
    <row r="807">
      <c r="A807" s="13" t="inlineStr">
        <is>
          <t>화면</t>
        </is>
      </c>
      <c r="B807" s="13" t="inlineStr">
        <is>
          <t>1-2-4</t>
        </is>
      </c>
      <c r="C807" s="13" t="inlineStr">
        <is>
          <t>TC-SVC-05-10</t>
        </is>
      </c>
      <c r="D807" s="13" t="inlineStr">
        <is>
          <t>접근성</t>
        </is>
      </c>
      <c r="E807" s="13" t="inlineStr">
        <is>
          <t>미실행</t>
        </is>
      </c>
    </row>
    <row r="808">
      <c r="A808" s="13" t="inlineStr">
        <is>
          <t>화면</t>
        </is>
      </c>
      <c r="B808" s="13" t="inlineStr">
        <is>
          <t>SVC-05</t>
        </is>
      </c>
      <c r="C808" s="13" t="inlineStr">
        <is>
          <t>TC-SVC-05-10</t>
        </is>
      </c>
      <c r="D808" s="13" t="inlineStr">
        <is>
          <t>접근성</t>
        </is>
      </c>
      <c r="E808" s="13" t="inlineStr">
        <is>
          <t>미실행</t>
        </is>
      </c>
    </row>
    <row r="809">
      <c r="A809" s="13" t="inlineStr">
        <is>
          <t>화면</t>
        </is>
      </c>
      <c r="B809" s="13" t="inlineStr">
        <is>
          <t>1-2-6</t>
        </is>
      </c>
      <c r="C809" s="13" t="inlineStr">
        <is>
          <t>TC-SVC-05-10</t>
        </is>
      </c>
      <c r="D809" s="13" t="inlineStr">
        <is>
          <t>접근성</t>
        </is>
      </c>
      <c r="E809" s="13" t="inlineStr">
        <is>
          <t>미실행</t>
        </is>
      </c>
    </row>
    <row r="810">
      <c r="A810" s="13" t="inlineStr">
        <is>
          <t>화면</t>
        </is>
      </c>
      <c r="B810" s="13" t="inlineStr">
        <is>
          <t>SVC-04</t>
        </is>
      </c>
      <c r="C810" s="13" t="inlineStr">
        <is>
          <t>TC-SVC-05-10</t>
        </is>
      </c>
      <c r="D810" s="13" t="inlineStr">
        <is>
          <t>접근성</t>
        </is>
      </c>
      <c r="E810" s="13" t="inlineStr">
        <is>
          <t>미실행</t>
        </is>
      </c>
    </row>
    <row r="811">
      <c r="A811" s="13" t="inlineStr">
        <is>
          <t>요건</t>
        </is>
      </c>
      <c r="B811" s="13" t="inlineStr">
        <is>
          <t>AC-06</t>
        </is>
      </c>
      <c r="C811" s="13" t="inlineStr">
        <is>
          <t>TC-SVC-05-10</t>
        </is>
      </c>
      <c r="D811" s="13" t="inlineStr">
        <is>
          <t>접근성</t>
        </is>
      </c>
      <c r="E811" s="13" t="inlineStr">
        <is>
          <t>미실행</t>
        </is>
      </c>
    </row>
    <row r="812">
      <c r="A812" s="13" t="inlineStr">
        <is>
          <t>요건</t>
        </is>
      </c>
      <c r="B812" s="13" t="inlineStr">
        <is>
          <t>T-4</t>
        </is>
      </c>
      <c r="C812" s="13" t="inlineStr">
        <is>
          <t>TC-SVC-05-10</t>
        </is>
      </c>
      <c r="D812" s="13" t="inlineStr">
        <is>
          <t>접근성</t>
        </is>
      </c>
      <c r="E812" s="13" t="inlineStr">
        <is>
          <t>미실행</t>
        </is>
      </c>
    </row>
    <row r="813">
      <c r="A813" s="13" t="inlineStr">
        <is>
          <t>요건</t>
        </is>
      </c>
      <c r="B813" s="13" t="inlineStr">
        <is>
          <t>S-4</t>
        </is>
      </c>
      <c r="C813" s="13" t="inlineStr">
        <is>
          <t>TC-SVC-05-10</t>
        </is>
      </c>
      <c r="D813" s="13" t="inlineStr">
        <is>
          <t>접근성</t>
        </is>
      </c>
      <c r="E813" s="13" t="inlineStr">
        <is>
          <t>미실행</t>
        </is>
      </c>
    </row>
    <row r="814">
      <c r="A814" s="13" t="inlineStr">
        <is>
          <t>화면</t>
        </is>
      </c>
      <c r="B814" s="13" t="inlineStr">
        <is>
          <t>SVC-06</t>
        </is>
      </c>
      <c r="C814" s="13" t="inlineStr">
        <is>
          <t>TC-SVC-05-11</t>
        </is>
      </c>
      <c r="D814" s="13" t="inlineStr">
        <is>
          <t>접근성</t>
        </is>
      </c>
      <c r="E814" s="13" t="inlineStr">
        <is>
          <t>미실행</t>
        </is>
      </c>
    </row>
    <row r="815">
      <c r="A815" s="13" t="inlineStr">
        <is>
          <t>화면</t>
        </is>
      </c>
      <c r="B815" s="13" t="inlineStr">
        <is>
          <t>1-2-2</t>
        </is>
      </c>
      <c r="C815" s="13" t="inlineStr">
        <is>
          <t>TC-SVC-05-11</t>
        </is>
      </c>
      <c r="D815" s="13" t="inlineStr">
        <is>
          <t>접근성</t>
        </is>
      </c>
      <c r="E815" s="13" t="inlineStr">
        <is>
          <t>미실행</t>
        </is>
      </c>
    </row>
    <row r="816">
      <c r="A816" s="13" t="inlineStr">
        <is>
          <t>화면</t>
        </is>
      </c>
      <c r="B816" s="13" t="inlineStr">
        <is>
          <t>1-2-3</t>
        </is>
      </c>
      <c r="C816" s="13" t="inlineStr">
        <is>
          <t>TC-SVC-05-11</t>
        </is>
      </c>
      <c r="D816" s="13" t="inlineStr">
        <is>
          <t>접근성</t>
        </is>
      </c>
      <c r="E816" s="13" t="inlineStr">
        <is>
          <t>미실행</t>
        </is>
      </c>
    </row>
    <row r="817">
      <c r="A817" s="13" t="inlineStr">
        <is>
          <t>화면</t>
        </is>
      </c>
      <c r="B817" s="13" t="inlineStr">
        <is>
          <t>1-2-4</t>
        </is>
      </c>
      <c r="C817" s="13" t="inlineStr">
        <is>
          <t>TC-SVC-05-11</t>
        </is>
      </c>
      <c r="D817" s="13" t="inlineStr">
        <is>
          <t>접근성</t>
        </is>
      </c>
      <c r="E817" s="13" t="inlineStr">
        <is>
          <t>미실행</t>
        </is>
      </c>
    </row>
    <row r="818">
      <c r="A818" s="13" t="inlineStr">
        <is>
          <t>화면</t>
        </is>
      </c>
      <c r="B818" s="13" t="inlineStr">
        <is>
          <t>SVC-05</t>
        </is>
      </c>
      <c r="C818" s="13" t="inlineStr">
        <is>
          <t>TC-SVC-05-11</t>
        </is>
      </c>
      <c r="D818" s="13" t="inlineStr">
        <is>
          <t>접근성</t>
        </is>
      </c>
      <c r="E818" s="13" t="inlineStr">
        <is>
          <t>미실행</t>
        </is>
      </c>
    </row>
    <row r="819">
      <c r="A819" s="13" t="inlineStr">
        <is>
          <t>화면</t>
        </is>
      </c>
      <c r="B819" s="13" t="inlineStr">
        <is>
          <t>1-2-6</t>
        </is>
      </c>
      <c r="C819" s="13" t="inlineStr">
        <is>
          <t>TC-SVC-05-11</t>
        </is>
      </c>
      <c r="D819" s="13" t="inlineStr">
        <is>
          <t>접근성</t>
        </is>
      </c>
      <c r="E819" s="13" t="inlineStr">
        <is>
          <t>미실행</t>
        </is>
      </c>
    </row>
    <row r="820">
      <c r="A820" s="13" t="inlineStr">
        <is>
          <t>화면</t>
        </is>
      </c>
      <c r="B820" s="13" t="inlineStr">
        <is>
          <t>SVC-04</t>
        </is>
      </c>
      <c r="C820" s="13" t="inlineStr">
        <is>
          <t>TC-SVC-05-11</t>
        </is>
      </c>
      <c r="D820" s="13" t="inlineStr">
        <is>
          <t>접근성</t>
        </is>
      </c>
      <c r="E820" s="13" t="inlineStr">
        <is>
          <t>미실행</t>
        </is>
      </c>
    </row>
    <row r="821">
      <c r="A821" s="13" t="inlineStr">
        <is>
          <t>요건</t>
        </is>
      </c>
      <c r="B821" s="13" t="inlineStr">
        <is>
          <t>NFR-05</t>
        </is>
      </c>
      <c r="C821" s="13" t="inlineStr">
        <is>
          <t>TC-SVC-05-11</t>
        </is>
      </c>
      <c r="D821" s="13" t="inlineStr">
        <is>
          <t>접근성</t>
        </is>
      </c>
      <c r="E821" s="13" t="inlineStr">
        <is>
          <t>미실행</t>
        </is>
      </c>
    </row>
    <row r="822">
      <c r="A822" s="13" t="inlineStr">
        <is>
          <t>화면</t>
        </is>
      </c>
      <c r="B822" s="13" t="inlineStr">
        <is>
          <t>SVC-06</t>
        </is>
      </c>
      <c r="C822" s="13" t="inlineStr">
        <is>
          <t>TC-SVC-05-12</t>
        </is>
      </c>
      <c r="D822" s="13" t="inlineStr">
        <is>
          <t>접근성</t>
        </is>
      </c>
      <c r="E822" s="13" t="inlineStr">
        <is>
          <t>미실행</t>
        </is>
      </c>
    </row>
    <row r="823">
      <c r="A823" s="13" t="inlineStr">
        <is>
          <t>화면</t>
        </is>
      </c>
      <c r="B823" s="13" t="inlineStr">
        <is>
          <t>1-2-2</t>
        </is>
      </c>
      <c r="C823" s="13" t="inlineStr">
        <is>
          <t>TC-SVC-05-12</t>
        </is>
      </c>
      <c r="D823" s="13" t="inlineStr">
        <is>
          <t>접근성</t>
        </is>
      </c>
      <c r="E823" s="13" t="inlineStr">
        <is>
          <t>미실행</t>
        </is>
      </c>
    </row>
    <row r="824">
      <c r="A824" s="13" t="inlineStr">
        <is>
          <t>화면</t>
        </is>
      </c>
      <c r="B824" s="13" t="inlineStr">
        <is>
          <t>1-2-3</t>
        </is>
      </c>
      <c r="C824" s="13" t="inlineStr">
        <is>
          <t>TC-SVC-05-12</t>
        </is>
      </c>
      <c r="D824" s="13" t="inlineStr">
        <is>
          <t>접근성</t>
        </is>
      </c>
      <c r="E824" s="13" t="inlineStr">
        <is>
          <t>미실행</t>
        </is>
      </c>
    </row>
    <row r="825">
      <c r="A825" s="13" t="inlineStr">
        <is>
          <t>화면</t>
        </is>
      </c>
      <c r="B825" s="13" t="inlineStr">
        <is>
          <t>1-2-4</t>
        </is>
      </c>
      <c r="C825" s="13" t="inlineStr">
        <is>
          <t>TC-SVC-05-12</t>
        </is>
      </c>
      <c r="D825" s="13" t="inlineStr">
        <is>
          <t>접근성</t>
        </is>
      </c>
      <c r="E825" s="13" t="inlineStr">
        <is>
          <t>미실행</t>
        </is>
      </c>
    </row>
    <row r="826">
      <c r="A826" s="13" t="inlineStr">
        <is>
          <t>화면</t>
        </is>
      </c>
      <c r="B826" s="13" t="inlineStr">
        <is>
          <t>SVC-05</t>
        </is>
      </c>
      <c r="C826" s="13" t="inlineStr">
        <is>
          <t>TC-SVC-05-12</t>
        </is>
      </c>
      <c r="D826" s="13" t="inlineStr">
        <is>
          <t>접근성</t>
        </is>
      </c>
      <c r="E826" s="13" t="inlineStr">
        <is>
          <t>미실행</t>
        </is>
      </c>
    </row>
    <row r="827">
      <c r="A827" s="13" t="inlineStr">
        <is>
          <t>화면</t>
        </is>
      </c>
      <c r="B827" s="13" t="inlineStr">
        <is>
          <t>1-2-6</t>
        </is>
      </c>
      <c r="C827" s="13" t="inlineStr">
        <is>
          <t>TC-SVC-05-12</t>
        </is>
      </c>
      <c r="D827" s="13" t="inlineStr">
        <is>
          <t>접근성</t>
        </is>
      </c>
      <c r="E827" s="13" t="inlineStr">
        <is>
          <t>미실행</t>
        </is>
      </c>
    </row>
    <row r="828">
      <c r="A828" s="13" t="inlineStr">
        <is>
          <t>화면</t>
        </is>
      </c>
      <c r="B828" s="13" t="inlineStr">
        <is>
          <t>SVC-04</t>
        </is>
      </c>
      <c r="C828" s="13" t="inlineStr">
        <is>
          <t>TC-SVC-05-12</t>
        </is>
      </c>
      <c r="D828" s="13" t="inlineStr">
        <is>
          <t>접근성</t>
        </is>
      </c>
      <c r="E828" s="13" t="inlineStr">
        <is>
          <t>미실행</t>
        </is>
      </c>
    </row>
    <row r="829">
      <c r="A829" s="13" t="inlineStr">
        <is>
          <t>요건</t>
        </is>
      </c>
      <c r="B829" s="13" t="inlineStr">
        <is>
          <t>AC-05</t>
        </is>
      </c>
      <c r="C829" s="13" t="inlineStr">
        <is>
          <t>TC-SVC-05-12</t>
        </is>
      </c>
      <c r="D829" s="13" t="inlineStr">
        <is>
          <t>접근성</t>
        </is>
      </c>
      <c r="E829" s="13" t="inlineStr">
        <is>
          <t>미실행</t>
        </is>
      </c>
    </row>
    <row r="830">
      <c r="A830" s="13" t="inlineStr">
        <is>
          <t>요건</t>
        </is>
      </c>
      <c r="B830" s="13" t="inlineStr">
        <is>
          <t>NFR-04</t>
        </is>
      </c>
      <c r="C830" s="13" t="inlineStr">
        <is>
          <t>TC-SVC-05-12</t>
        </is>
      </c>
      <c r="D830" s="13" t="inlineStr">
        <is>
          <t>접근성</t>
        </is>
      </c>
      <c r="E830" s="13" t="inlineStr">
        <is>
          <t>미실행</t>
        </is>
      </c>
    </row>
    <row r="831">
      <c r="A831" s="13" t="inlineStr">
        <is>
          <t>화면</t>
        </is>
      </c>
      <c r="B831" s="13" t="inlineStr">
        <is>
          <t>SVC-06</t>
        </is>
      </c>
      <c r="C831" s="13" t="inlineStr">
        <is>
          <t>TC-SVC-06-01</t>
        </is>
      </c>
      <c r="D831" s="13" t="inlineStr">
        <is>
          <t>접근성</t>
        </is>
      </c>
      <c r="E831" s="13" t="inlineStr">
        <is>
          <t>미실행</t>
        </is>
      </c>
    </row>
    <row r="832">
      <c r="A832" s="13" t="inlineStr">
        <is>
          <t>화면</t>
        </is>
      </c>
      <c r="B832" s="13" t="inlineStr">
        <is>
          <t>1-2-2</t>
        </is>
      </c>
      <c r="C832" s="13" t="inlineStr">
        <is>
          <t>TC-SVC-06-01</t>
        </is>
      </c>
      <c r="D832" s="13" t="inlineStr">
        <is>
          <t>접근성</t>
        </is>
      </c>
      <c r="E832" s="13" t="inlineStr">
        <is>
          <t>미실행</t>
        </is>
      </c>
    </row>
    <row r="833">
      <c r="A833" s="13" t="inlineStr">
        <is>
          <t>화면</t>
        </is>
      </c>
      <c r="B833" s="13" t="inlineStr">
        <is>
          <t>1-2-3</t>
        </is>
      </c>
      <c r="C833" s="13" t="inlineStr">
        <is>
          <t>TC-SVC-06-01</t>
        </is>
      </c>
      <c r="D833" s="13" t="inlineStr">
        <is>
          <t>접근성</t>
        </is>
      </c>
      <c r="E833" s="13" t="inlineStr">
        <is>
          <t>미실행</t>
        </is>
      </c>
    </row>
    <row r="834">
      <c r="A834" s="13" t="inlineStr">
        <is>
          <t>화면</t>
        </is>
      </c>
      <c r="B834" s="13" t="inlineStr">
        <is>
          <t>1-2-4</t>
        </is>
      </c>
      <c r="C834" s="13" t="inlineStr">
        <is>
          <t>TC-SVC-06-01</t>
        </is>
      </c>
      <c r="D834" s="13" t="inlineStr">
        <is>
          <t>접근성</t>
        </is>
      </c>
      <c r="E834" s="13" t="inlineStr">
        <is>
          <t>미실행</t>
        </is>
      </c>
    </row>
    <row r="835">
      <c r="A835" s="13" t="inlineStr">
        <is>
          <t>화면</t>
        </is>
      </c>
      <c r="B835" s="13" t="inlineStr">
        <is>
          <t>SVC-05</t>
        </is>
      </c>
      <c r="C835" s="13" t="inlineStr">
        <is>
          <t>TC-SVC-06-01</t>
        </is>
      </c>
      <c r="D835" s="13" t="inlineStr">
        <is>
          <t>접근성</t>
        </is>
      </c>
      <c r="E835" s="13" t="inlineStr">
        <is>
          <t>미실행</t>
        </is>
      </c>
    </row>
    <row r="836">
      <c r="A836" s="13" t="inlineStr">
        <is>
          <t>화면</t>
        </is>
      </c>
      <c r="B836" s="13" t="inlineStr">
        <is>
          <t>1-2-6</t>
        </is>
      </c>
      <c r="C836" s="13" t="inlineStr">
        <is>
          <t>TC-SVC-06-01</t>
        </is>
      </c>
      <c r="D836" s="13" t="inlineStr">
        <is>
          <t>접근성</t>
        </is>
      </c>
      <c r="E836" s="13" t="inlineStr">
        <is>
          <t>미실행</t>
        </is>
      </c>
    </row>
    <row r="837">
      <c r="A837" s="13" t="inlineStr">
        <is>
          <t>화면</t>
        </is>
      </c>
      <c r="B837" s="13" t="inlineStr">
        <is>
          <t>SVC-04</t>
        </is>
      </c>
      <c r="C837" s="13" t="inlineStr">
        <is>
          <t>TC-SVC-06-01</t>
        </is>
      </c>
      <c r="D837" s="13" t="inlineStr">
        <is>
          <t>접근성</t>
        </is>
      </c>
      <c r="E837" s="13" t="inlineStr">
        <is>
          <t>미실행</t>
        </is>
      </c>
    </row>
    <row r="838">
      <c r="A838" s="13" t="inlineStr">
        <is>
          <t>요건</t>
        </is>
      </c>
      <c r="B838" s="13" t="inlineStr">
        <is>
          <t>V-1</t>
        </is>
      </c>
      <c r="C838" s="13" t="inlineStr">
        <is>
          <t>TC-SVC-06-01</t>
        </is>
      </c>
      <c r="D838" s="13" t="inlineStr">
        <is>
          <t>접근성</t>
        </is>
      </c>
      <c r="E838" s="13" t="inlineStr">
        <is>
          <t>미실행</t>
        </is>
      </c>
    </row>
    <row r="839">
      <c r="A839" s="13" t="inlineStr">
        <is>
          <t>요건</t>
        </is>
      </c>
      <c r="B839" s="13" t="inlineStr">
        <is>
          <t>AC-05</t>
        </is>
      </c>
      <c r="C839" s="13" t="inlineStr">
        <is>
          <t>TC-SVC-06-01</t>
        </is>
      </c>
      <c r="D839" s="13" t="inlineStr">
        <is>
          <t>접근성</t>
        </is>
      </c>
      <c r="E839" s="13" t="inlineStr">
        <is>
          <t>미실행</t>
        </is>
      </c>
    </row>
    <row r="840">
      <c r="A840" s="13" t="inlineStr">
        <is>
          <t>화면</t>
        </is>
      </c>
      <c r="B840" s="13" t="inlineStr">
        <is>
          <t>SVC-06</t>
        </is>
      </c>
      <c r="C840" s="13" t="inlineStr">
        <is>
          <t>TC-SVC-06-02</t>
        </is>
      </c>
      <c r="D840" s="13" t="inlineStr">
        <is>
          <t>접근성</t>
        </is>
      </c>
      <c r="E840" s="13" t="inlineStr">
        <is>
          <t>미실행</t>
        </is>
      </c>
    </row>
    <row r="841">
      <c r="A841" s="13" t="inlineStr">
        <is>
          <t>화면</t>
        </is>
      </c>
      <c r="B841" s="13" t="inlineStr">
        <is>
          <t>1-2-2</t>
        </is>
      </c>
      <c r="C841" s="13" t="inlineStr">
        <is>
          <t>TC-SVC-06-02</t>
        </is>
      </c>
      <c r="D841" s="13" t="inlineStr">
        <is>
          <t>접근성</t>
        </is>
      </c>
      <c r="E841" s="13" t="inlineStr">
        <is>
          <t>미실행</t>
        </is>
      </c>
    </row>
    <row r="842">
      <c r="A842" s="13" t="inlineStr">
        <is>
          <t>화면</t>
        </is>
      </c>
      <c r="B842" s="13" t="inlineStr">
        <is>
          <t>1-2-3</t>
        </is>
      </c>
      <c r="C842" s="13" t="inlineStr">
        <is>
          <t>TC-SVC-06-02</t>
        </is>
      </c>
      <c r="D842" s="13" t="inlineStr">
        <is>
          <t>접근성</t>
        </is>
      </c>
      <c r="E842" s="13" t="inlineStr">
        <is>
          <t>미실행</t>
        </is>
      </c>
    </row>
    <row r="843">
      <c r="A843" s="13" t="inlineStr">
        <is>
          <t>화면</t>
        </is>
      </c>
      <c r="B843" s="13" t="inlineStr">
        <is>
          <t>1-2-4</t>
        </is>
      </c>
      <c r="C843" s="13" t="inlineStr">
        <is>
          <t>TC-SVC-06-02</t>
        </is>
      </c>
      <c r="D843" s="13" t="inlineStr">
        <is>
          <t>접근성</t>
        </is>
      </c>
      <c r="E843" s="13" t="inlineStr">
        <is>
          <t>미실행</t>
        </is>
      </c>
    </row>
    <row r="844">
      <c r="A844" s="13" t="inlineStr">
        <is>
          <t>화면</t>
        </is>
      </c>
      <c r="B844" s="13" t="inlineStr">
        <is>
          <t>SVC-05</t>
        </is>
      </c>
      <c r="C844" s="13" t="inlineStr">
        <is>
          <t>TC-SVC-06-02</t>
        </is>
      </c>
      <c r="D844" s="13" t="inlineStr">
        <is>
          <t>접근성</t>
        </is>
      </c>
      <c r="E844" s="13" t="inlineStr">
        <is>
          <t>미실행</t>
        </is>
      </c>
    </row>
    <row r="845">
      <c r="A845" s="13" t="inlineStr">
        <is>
          <t>화면</t>
        </is>
      </c>
      <c r="B845" s="13" t="inlineStr">
        <is>
          <t>1-2-6</t>
        </is>
      </c>
      <c r="C845" s="13" t="inlineStr">
        <is>
          <t>TC-SVC-06-02</t>
        </is>
      </c>
      <c r="D845" s="13" t="inlineStr">
        <is>
          <t>접근성</t>
        </is>
      </c>
      <c r="E845" s="13" t="inlineStr">
        <is>
          <t>미실행</t>
        </is>
      </c>
    </row>
    <row r="846">
      <c r="A846" s="13" t="inlineStr">
        <is>
          <t>화면</t>
        </is>
      </c>
      <c r="B846" s="13" t="inlineStr">
        <is>
          <t>SVC-04</t>
        </is>
      </c>
      <c r="C846" s="13" t="inlineStr">
        <is>
          <t>TC-SVC-06-02</t>
        </is>
      </c>
      <c r="D846" s="13" t="inlineStr">
        <is>
          <t>접근성</t>
        </is>
      </c>
      <c r="E846" s="13" t="inlineStr">
        <is>
          <t>미실행</t>
        </is>
      </c>
    </row>
    <row r="847">
      <c r="A847" s="13" t="inlineStr">
        <is>
          <t>요건</t>
        </is>
      </c>
      <c r="B847" s="13" t="inlineStr">
        <is>
          <t>AC-05</t>
        </is>
      </c>
      <c r="C847" s="13" t="inlineStr">
        <is>
          <t>TC-SVC-06-02</t>
        </is>
      </c>
      <c r="D847" s="13" t="inlineStr">
        <is>
          <t>접근성</t>
        </is>
      </c>
      <c r="E847" s="13" t="inlineStr">
        <is>
          <t>미실행</t>
        </is>
      </c>
    </row>
    <row r="848">
      <c r="A848" s="13" t="inlineStr">
        <is>
          <t>요건</t>
        </is>
      </c>
      <c r="B848" s="13" t="inlineStr">
        <is>
          <t>NFR-04</t>
        </is>
      </c>
      <c r="C848" s="13" t="inlineStr">
        <is>
          <t>TC-SVC-06-02</t>
        </is>
      </c>
      <c r="D848" s="13" t="inlineStr">
        <is>
          <t>접근성</t>
        </is>
      </c>
      <c r="E848" s="13" t="inlineStr">
        <is>
          <t>미실행</t>
        </is>
      </c>
    </row>
    <row r="849">
      <c r="A849" s="13" t="inlineStr">
        <is>
          <t>화면</t>
        </is>
      </c>
      <c r="B849" s="13" t="inlineStr">
        <is>
          <t>SVC-05</t>
        </is>
      </c>
      <c r="C849" s="13" t="inlineStr">
        <is>
          <t>TC-SVC-06-03</t>
        </is>
      </c>
      <c r="D849" s="13" t="inlineStr">
        <is>
          <t>접근성</t>
        </is>
      </c>
      <c r="E849" s="13" t="inlineStr">
        <is>
          <t>미실행</t>
        </is>
      </c>
    </row>
    <row r="850">
      <c r="A850" s="13" t="inlineStr">
        <is>
          <t>요건</t>
        </is>
      </c>
      <c r="B850" s="13" t="inlineStr">
        <is>
          <t>V-4</t>
        </is>
      </c>
      <c r="C850" s="13" t="inlineStr">
        <is>
          <t>TC-SVC-06-03</t>
        </is>
      </c>
      <c r="D850" s="13" t="inlineStr">
        <is>
          <t>접근성</t>
        </is>
      </c>
      <c r="E850" s="13" t="inlineStr">
        <is>
          <t>미실행</t>
        </is>
      </c>
    </row>
    <row r="851">
      <c r="A851" s="13" t="inlineStr">
        <is>
          <t>요건</t>
        </is>
      </c>
      <c r="B851" s="13" t="inlineStr">
        <is>
          <t>V-6</t>
        </is>
      </c>
      <c r="C851" s="13" t="inlineStr">
        <is>
          <t>TC-SVC-06-03</t>
        </is>
      </c>
      <c r="D851" s="13" t="inlineStr">
        <is>
          <t>접근성</t>
        </is>
      </c>
      <c r="E851" s="13" t="inlineStr">
        <is>
          <t>미실행</t>
        </is>
      </c>
    </row>
    <row r="852">
      <c r="A852" s="13" t="inlineStr">
        <is>
          <t>요건</t>
        </is>
      </c>
      <c r="B852" s="13" t="inlineStr">
        <is>
          <t>AC-05</t>
        </is>
      </c>
      <c r="C852" s="13" t="inlineStr">
        <is>
          <t>TC-SVC-06-03</t>
        </is>
      </c>
      <c r="D852" s="13" t="inlineStr">
        <is>
          <t>접근성</t>
        </is>
      </c>
      <c r="E852" s="13" t="inlineStr">
        <is>
          <t>미실행</t>
        </is>
      </c>
    </row>
    <row r="853">
      <c r="A853" s="13" t="inlineStr">
        <is>
          <t>화면</t>
        </is>
      </c>
      <c r="B853" s="13" t="inlineStr">
        <is>
          <t>SVC-06</t>
        </is>
      </c>
      <c r="C853" s="13" t="inlineStr">
        <is>
          <t>TC-SVC-06-04</t>
        </is>
      </c>
      <c r="D853" s="13" t="inlineStr">
        <is>
          <t>접근성</t>
        </is>
      </c>
      <c r="E853" s="13" t="inlineStr">
        <is>
          <t>미실행</t>
        </is>
      </c>
    </row>
    <row r="854">
      <c r="A854" s="13" t="inlineStr">
        <is>
          <t>화면</t>
        </is>
      </c>
      <c r="B854" s="13" t="inlineStr">
        <is>
          <t>1-2-2</t>
        </is>
      </c>
      <c r="C854" s="13" t="inlineStr">
        <is>
          <t>TC-SVC-06-04</t>
        </is>
      </c>
      <c r="D854" s="13" t="inlineStr">
        <is>
          <t>접근성</t>
        </is>
      </c>
      <c r="E854" s="13" t="inlineStr">
        <is>
          <t>미실행</t>
        </is>
      </c>
    </row>
    <row r="855">
      <c r="A855" s="13" t="inlineStr">
        <is>
          <t>화면</t>
        </is>
      </c>
      <c r="B855" s="13" t="inlineStr">
        <is>
          <t>1-2-3</t>
        </is>
      </c>
      <c r="C855" s="13" t="inlineStr">
        <is>
          <t>TC-SVC-06-04</t>
        </is>
      </c>
      <c r="D855" s="13" t="inlineStr">
        <is>
          <t>접근성</t>
        </is>
      </c>
      <c r="E855" s="13" t="inlineStr">
        <is>
          <t>미실행</t>
        </is>
      </c>
    </row>
    <row r="856">
      <c r="A856" s="13" t="inlineStr">
        <is>
          <t>화면</t>
        </is>
      </c>
      <c r="B856" s="13" t="inlineStr">
        <is>
          <t>1-2-4</t>
        </is>
      </c>
      <c r="C856" s="13" t="inlineStr">
        <is>
          <t>TC-SVC-06-04</t>
        </is>
      </c>
      <c r="D856" s="13" t="inlineStr">
        <is>
          <t>접근성</t>
        </is>
      </c>
      <c r="E856" s="13" t="inlineStr">
        <is>
          <t>미실행</t>
        </is>
      </c>
    </row>
    <row r="857">
      <c r="A857" s="13" t="inlineStr">
        <is>
          <t>화면</t>
        </is>
      </c>
      <c r="B857" s="13" t="inlineStr">
        <is>
          <t>SVC-05</t>
        </is>
      </c>
      <c r="C857" s="13" t="inlineStr">
        <is>
          <t>TC-SVC-06-04</t>
        </is>
      </c>
      <c r="D857" s="13" t="inlineStr">
        <is>
          <t>접근성</t>
        </is>
      </c>
      <c r="E857" s="13" t="inlineStr">
        <is>
          <t>미실행</t>
        </is>
      </c>
    </row>
    <row r="858">
      <c r="A858" s="13" t="inlineStr">
        <is>
          <t>화면</t>
        </is>
      </c>
      <c r="B858" s="13" t="inlineStr">
        <is>
          <t>1-2-6</t>
        </is>
      </c>
      <c r="C858" s="13" t="inlineStr">
        <is>
          <t>TC-SVC-06-04</t>
        </is>
      </c>
      <c r="D858" s="13" t="inlineStr">
        <is>
          <t>접근성</t>
        </is>
      </c>
      <c r="E858" s="13" t="inlineStr">
        <is>
          <t>미실행</t>
        </is>
      </c>
    </row>
    <row r="859">
      <c r="A859" s="13" t="inlineStr">
        <is>
          <t>화면</t>
        </is>
      </c>
      <c r="B859" s="13" t="inlineStr">
        <is>
          <t>SVC-04</t>
        </is>
      </c>
      <c r="C859" s="13" t="inlineStr">
        <is>
          <t>TC-SVC-06-04</t>
        </is>
      </c>
      <c r="D859" s="13" t="inlineStr">
        <is>
          <t>접근성</t>
        </is>
      </c>
      <c r="E859" s="13" t="inlineStr">
        <is>
          <t>미실행</t>
        </is>
      </c>
    </row>
    <row r="860">
      <c r="A860" s="13" t="inlineStr">
        <is>
          <t>요건</t>
        </is>
      </c>
      <c r="B860" s="13" t="inlineStr">
        <is>
          <t>NFR-05</t>
        </is>
      </c>
      <c r="C860" s="13" t="inlineStr">
        <is>
          <t>TC-SVC-06-04</t>
        </is>
      </c>
      <c r="D860" s="13" t="inlineStr">
        <is>
          <t>접근성</t>
        </is>
      </c>
      <c r="E860" s="13" t="inlineStr">
        <is>
          <t>미실행</t>
        </is>
      </c>
    </row>
    <row r="861">
      <c r="A861" s="13" t="inlineStr">
        <is>
          <t>요건</t>
        </is>
      </c>
      <c r="B861" s="13" t="inlineStr">
        <is>
          <t>AC-05</t>
        </is>
      </c>
      <c r="C861" s="13" t="inlineStr">
        <is>
          <t>TC-SVC-06-04</t>
        </is>
      </c>
      <c r="D861" s="13" t="inlineStr">
        <is>
          <t>접근성</t>
        </is>
      </c>
      <c r="E861" s="13" t="inlineStr">
        <is>
          <t>미실행</t>
        </is>
      </c>
    </row>
    <row r="862">
      <c r="A862" s="13" t="inlineStr">
        <is>
          <t>화면</t>
        </is>
      </c>
      <c r="B862" s="13" t="inlineStr">
        <is>
          <t>SVC-06</t>
        </is>
      </c>
      <c r="C862" s="13" t="inlineStr">
        <is>
          <t>TC-SVC-06-05</t>
        </is>
      </c>
      <c r="D862" s="13" t="inlineStr">
        <is>
          <t>접근성</t>
        </is>
      </c>
      <c r="E862" s="13" t="inlineStr">
        <is>
          <t>미실행</t>
        </is>
      </c>
    </row>
    <row r="863">
      <c r="A863" s="13" t="inlineStr">
        <is>
          <t>화면</t>
        </is>
      </c>
      <c r="B863" s="13" t="inlineStr">
        <is>
          <t>1-2-2</t>
        </is>
      </c>
      <c r="C863" s="13" t="inlineStr">
        <is>
          <t>TC-SVC-06-05</t>
        </is>
      </c>
      <c r="D863" s="13" t="inlineStr">
        <is>
          <t>접근성</t>
        </is>
      </c>
      <c r="E863" s="13" t="inlineStr">
        <is>
          <t>미실행</t>
        </is>
      </c>
    </row>
    <row r="864">
      <c r="A864" s="13" t="inlineStr">
        <is>
          <t>화면</t>
        </is>
      </c>
      <c r="B864" s="13" t="inlineStr">
        <is>
          <t>1-2-3</t>
        </is>
      </c>
      <c r="C864" s="13" t="inlineStr">
        <is>
          <t>TC-SVC-06-05</t>
        </is>
      </c>
      <c r="D864" s="13" t="inlineStr">
        <is>
          <t>접근성</t>
        </is>
      </c>
      <c r="E864" s="13" t="inlineStr">
        <is>
          <t>미실행</t>
        </is>
      </c>
    </row>
    <row r="865">
      <c r="A865" s="13" t="inlineStr">
        <is>
          <t>화면</t>
        </is>
      </c>
      <c r="B865" s="13" t="inlineStr">
        <is>
          <t>1-2-4</t>
        </is>
      </c>
      <c r="C865" s="13" t="inlineStr">
        <is>
          <t>TC-SVC-06-05</t>
        </is>
      </c>
      <c r="D865" s="13" t="inlineStr">
        <is>
          <t>접근성</t>
        </is>
      </c>
      <c r="E865" s="13" t="inlineStr">
        <is>
          <t>미실행</t>
        </is>
      </c>
    </row>
    <row r="866">
      <c r="A866" s="13" t="inlineStr">
        <is>
          <t>화면</t>
        </is>
      </c>
      <c r="B866" s="13" t="inlineStr">
        <is>
          <t>SVC-05</t>
        </is>
      </c>
      <c r="C866" s="13" t="inlineStr">
        <is>
          <t>TC-SVC-06-05</t>
        </is>
      </c>
      <c r="D866" s="13" t="inlineStr">
        <is>
          <t>접근성</t>
        </is>
      </c>
      <c r="E866" s="13" t="inlineStr">
        <is>
          <t>미실행</t>
        </is>
      </c>
    </row>
    <row r="867">
      <c r="A867" s="13" t="inlineStr">
        <is>
          <t>화면</t>
        </is>
      </c>
      <c r="B867" s="13" t="inlineStr">
        <is>
          <t>1-2-6</t>
        </is>
      </c>
      <c r="C867" s="13" t="inlineStr">
        <is>
          <t>TC-SVC-06-05</t>
        </is>
      </c>
      <c r="D867" s="13" t="inlineStr">
        <is>
          <t>접근성</t>
        </is>
      </c>
      <c r="E867" s="13" t="inlineStr">
        <is>
          <t>미실행</t>
        </is>
      </c>
    </row>
    <row r="868">
      <c r="A868" s="13" t="inlineStr">
        <is>
          <t>화면</t>
        </is>
      </c>
      <c r="B868" s="13" t="inlineStr">
        <is>
          <t>SVC-04</t>
        </is>
      </c>
      <c r="C868" s="13" t="inlineStr">
        <is>
          <t>TC-SVC-06-05</t>
        </is>
      </c>
      <c r="D868" s="13" t="inlineStr">
        <is>
          <t>접근성</t>
        </is>
      </c>
      <c r="E868" s="13" t="inlineStr">
        <is>
          <t>미실행</t>
        </is>
      </c>
    </row>
    <row r="869">
      <c r="A869" s="13" t="inlineStr">
        <is>
          <t>요건</t>
        </is>
      </c>
      <c r="B869" s="13" t="inlineStr">
        <is>
          <t>V-6</t>
        </is>
      </c>
      <c r="C869" s="13" t="inlineStr">
        <is>
          <t>TC-SVC-06-05</t>
        </is>
      </c>
      <c r="D869" s="13" t="inlineStr">
        <is>
          <t>접근성</t>
        </is>
      </c>
      <c r="E869" s="13" t="inlineStr">
        <is>
          <t>미실행</t>
        </is>
      </c>
    </row>
    <row r="870">
      <c r="A870" s="13" t="inlineStr">
        <is>
          <t>요건</t>
        </is>
      </c>
      <c r="B870" s="13" t="inlineStr">
        <is>
          <t>NFR-04</t>
        </is>
      </c>
      <c r="C870" s="13" t="inlineStr">
        <is>
          <t>TC-SVC-06-05</t>
        </is>
      </c>
      <c r="D870" s="13" t="inlineStr">
        <is>
          <t>접근성</t>
        </is>
      </c>
      <c r="E870" s="13" t="inlineStr">
        <is>
          <t>미실행</t>
        </is>
      </c>
    </row>
    <row r="871">
      <c r="A871" s="13" t="inlineStr">
        <is>
          <t>화면</t>
        </is>
      </c>
      <c r="B871" s="13" t="inlineStr">
        <is>
          <t>SVC-06</t>
        </is>
      </c>
      <c r="C871" s="13" t="inlineStr">
        <is>
          <t>TC-SVC-06-06</t>
        </is>
      </c>
      <c r="D871" s="13" t="inlineStr">
        <is>
          <t>접근성</t>
        </is>
      </c>
      <c r="E871" s="13" t="inlineStr">
        <is>
          <t>보류</t>
        </is>
      </c>
    </row>
    <row r="872">
      <c r="A872" s="13" t="inlineStr">
        <is>
          <t>화면</t>
        </is>
      </c>
      <c r="B872" s="13" t="inlineStr">
        <is>
          <t>1-2-2</t>
        </is>
      </c>
      <c r="C872" s="13" t="inlineStr">
        <is>
          <t>TC-SVC-06-06</t>
        </is>
      </c>
      <c r="D872" s="13" t="inlineStr">
        <is>
          <t>접근성</t>
        </is>
      </c>
      <c r="E872" s="13" t="inlineStr">
        <is>
          <t>보류</t>
        </is>
      </c>
    </row>
    <row r="873">
      <c r="A873" s="13" t="inlineStr">
        <is>
          <t>화면</t>
        </is>
      </c>
      <c r="B873" s="13" t="inlineStr">
        <is>
          <t>1-2-3</t>
        </is>
      </c>
      <c r="C873" s="13" t="inlineStr">
        <is>
          <t>TC-SVC-06-06</t>
        </is>
      </c>
      <c r="D873" s="13" t="inlineStr">
        <is>
          <t>접근성</t>
        </is>
      </c>
      <c r="E873" s="13" t="inlineStr">
        <is>
          <t>보류</t>
        </is>
      </c>
    </row>
    <row r="874">
      <c r="A874" s="13" t="inlineStr">
        <is>
          <t>화면</t>
        </is>
      </c>
      <c r="B874" s="13" t="inlineStr">
        <is>
          <t>1-2-4</t>
        </is>
      </c>
      <c r="C874" s="13" t="inlineStr">
        <is>
          <t>TC-SVC-06-06</t>
        </is>
      </c>
      <c r="D874" s="13" t="inlineStr">
        <is>
          <t>접근성</t>
        </is>
      </c>
      <c r="E874" s="13" t="inlineStr">
        <is>
          <t>보류</t>
        </is>
      </c>
    </row>
    <row r="875">
      <c r="A875" s="13" t="inlineStr">
        <is>
          <t>화면</t>
        </is>
      </c>
      <c r="B875" s="13" t="inlineStr">
        <is>
          <t>SVC-05</t>
        </is>
      </c>
      <c r="C875" s="13" t="inlineStr">
        <is>
          <t>TC-SVC-06-06</t>
        </is>
      </c>
      <c r="D875" s="13" t="inlineStr">
        <is>
          <t>접근성</t>
        </is>
      </c>
      <c r="E875" s="13" t="inlineStr">
        <is>
          <t>보류</t>
        </is>
      </c>
    </row>
    <row r="876">
      <c r="A876" s="13" t="inlineStr">
        <is>
          <t>화면</t>
        </is>
      </c>
      <c r="B876" s="13" t="inlineStr">
        <is>
          <t>1-2-6</t>
        </is>
      </c>
      <c r="C876" s="13" t="inlineStr">
        <is>
          <t>TC-SVC-06-06</t>
        </is>
      </c>
      <c r="D876" s="13" t="inlineStr">
        <is>
          <t>접근성</t>
        </is>
      </c>
      <c r="E876" s="13" t="inlineStr">
        <is>
          <t>보류</t>
        </is>
      </c>
    </row>
    <row r="877">
      <c r="A877" s="13" t="inlineStr">
        <is>
          <t>화면</t>
        </is>
      </c>
      <c r="B877" s="13" t="inlineStr">
        <is>
          <t>SVC-04</t>
        </is>
      </c>
      <c r="C877" s="13" t="inlineStr">
        <is>
          <t>TC-SVC-06-06</t>
        </is>
      </c>
      <c r="D877" s="13" t="inlineStr">
        <is>
          <t>접근성</t>
        </is>
      </c>
      <c r="E877" s="13" t="inlineStr">
        <is>
          <t>보류</t>
        </is>
      </c>
    </row>
    <row r="878">
      <c r="A878" s="13" t="inlineStr">
        <is>
          <t>요건</t>
        </is>
      </c>
      <c r="B878" s="13" t="inlineStr">
        <is>
          <t>AC-05</t>
        </is>
      </c>
      <c r="C878" s="13" t="inlineStr">
        <is>
          <t>TC-SVC-06-06</t>
        </is>
      </c>
      <c r="D878" s="13" t="inlineStr">
        <is>
          <t>접근성</t>
        </is>
      </c>
      <c r="E878" s="13" t="inlineStr">
        <is>
          <t>보류</t>
        </is>
      </c>
    </row>
    <row r="879">
      <c r="A879" s="13" t="inlineStr">
        <is>
          <t>화면</t>
        </is>
      </c>
      <c r="B879" s="13" t="inlineStr">
        <is>
          <t>SVC-04</t>
        </is>
      </c>
      <c r="C879" s="13" t="inlineStr">
        <is>
          <t>TC-SVC-04-01</t>
        </is>
      </c>
      <c r="D879" s="13" t="inlineStr">
        <is>
          <t>기능</t>
        </is>
      </c>
      <c r="E879" s="13" t="inlineStr">
        <is>
          <t>보류</t>
        </is>
      </c>
    </row>
    <row r="880">
      <c r="A880" s="13" t="inlineStr">
        <is>
          <t>요건</t>
        </is>
      </c>
      <c r="B880" s="13" t="inlineStr">
        <is>
          <t>V-6</t>
        </is>
      </c>
      <c r="C880" s="13" t="inlineStr">
        <is>
          <t>TC-SVC-04-01</t>
        </is>
      </c>
      <c r="D880" s="13" t="inlineStr">
        <is>
          <t>기능</t>
        </is>
      </c>
      <c r="E880" s="13" t="inlineStr">
        <is>
          <t>보류</t>
        </is>
      </c>
    </row>
    <row r="881">
      <c r="A881" s="13" t="inlineStr">
        <is>
          <t>화면</t>
        </is>
      </c>
      <c r="B881" s="13" t="inlineStr">
        <is>
          <t>1-5</t>
        </is>
      </c>
      <c r="C881" s="13" t="inlineStr">
        <is>
          <t>TC-1-5-01</t>
        </is>
      </c>
      <c r="D881" s="13" t="inlineStr">
        <is>
          <t>기능</t>
        </is>
      </c>
      <c r="E881" s="13" t="inlineStr">
        <is>
          <t>미실행</t>
        </is>
      </c>
    </row>
    <row r="882">
      <c r="A882" s="13" t="inlineStr">
        <is>
          <t>요건</t>
        </is>
      </c>
      <c r="B882" s="13" t="inlineStr">
        <is>
          <t>V-1</t>
        </is>
      </c>
      <c r="C882" s="13" t="inlineStr">
        <is>
          <t>TC-1-5-01</t>
        </is>
      </c>
      <c r="D882" s="13" t="inlineStr">
        <is>
          <t>기능</t>
        </is>
      </c>
      <c r="E882" s="13" t="inlineStr">
        <is>
          <t>미실행</t>
        </is>
      </c>
    </row>
    <row r="883">
      <c r="A883" s="13" t="inlineStr">
        <is>
          <t>화면</t>
        </is>
      </c>
      <c r="B883" s="13" t="inlineStr">
        <is>
          <t>1-5</t>
        </is>
      </c>
      <c r="C883" s="13" t="inlineStr">
        <is>
          <t>TC-1-5-02</t>
        </is>
      </c>
      <c r="D883" s="13" t="inlineStr">
        <is>
          <t>기능</t>
        </is>
      </c>
      <c r="E883" s="13" t="inlineStr">
        <is>
          <t>미실행</t>
        </is>
      </c>
    </row>
    <row r="884">
      <c r="A884" s="13" t="inlineStr">
        <is>
          <t>요건</t>
        </is>
      </c>
      <c r="B884" s="13" t="inlineStr">
        <is>
          <t>V-4</t>
        </is>
      </c>
      <c r="C884" s="13" t="inlineStr">
        <is>
          <t>TC-1-5-02</t>
        </is>
      </c>
      <c r="D884" s="13" t="inlineStr">
        <is>
          <t>기능</t>
        </is>
      </c>
      <c r="E884" s="13" t="inlineStr">
        <is>
          <t>미실행</t>
        </is>
      </c>
    </row>
    <row r="885">
      <c r="A885" s="13" t="inlineStr">
        <is>
          <t>요건</t>
        </is>
      </c>
      <c r="B885" s="13" t="inlineStr">
        <is>
          <t>V-6</t>
        </is>
      </c>
      <c r="C885" s="13" t="inlineStr">
        <is>
          <t>TC-1-5-02</t>
        </is>
      </c>
      <c r="D885" s="13" t="inlineStr">
        <is>
          <t>기능</t>
        </is>
      </c>
      <c r="E885" s="13" t="inlineStr">
        <is>
          <t>미실행</t>
        </is>
      </c>
    </row>
    <row r="886">
      <c r="A886" s="13" t="inlineStr">
        <is>
          <t>화면</t>
        </is>
      </c>
      <c r="B886" s="13" t="inlineStr">
        <is>
          <t>1-5</t>
        </is>
      </c>
      <c r="C886" s="13" t="inlineStr">
        <is>
          <t>TC-1-5-03</t>
        </is>
      </c>
      <c r="D886" s="13" t="inlineStr">
        <is>
          <t>기능</t>
        </is>
      </c>
      <c r="E886" s="13" t="inlineStr">
        <is>
          <t>미실행</t>
        </is>
      </c>
    </row>
    <row r="887">
      <c r="A887" s="13" t="inlineStr">
        <is>
          <t>요건</t>
        </is>
      </c>
      <c r="B887" s="13" t="inlineStr">
        <is>
          <t>V-6</t>
        </is>
      </c>
      <c r="C887" s="13" t="inlineStr">
        <is>
          <t>TC-1-5-03</t>
        </is>
      </c>
      <c r="D887" s="13" t="inlineStr">
        <is>
          <t>기능</t>
        </is>
      </c>
      <c r="E887" s="13" t="inlineStr">
        <is>
          <t>미실행</t>
        </is>
      </c>
    </row>
    <row r="888">
      <c r="A888" s="13" t="inlineStr">
        <is>
          <t>화면</t>
        </is>
      </c>
      <c r="B888" s="13" t="inlineStr">
        <is>
          <t>1-5</t>
        </is>
      </c>
      <c r="C888" s="13" t="inlineStr">
        <is>
          <t>TC-1-5-04</t>
        </is>
      </c>
      <c r="D888" s="13" t="inlineStr">
        <is>
          <t>기능</t>
        </is>
      </c>
      <c r="E888" s="13" t="inlineStr">
        <is>
          <t>미실행</t>
        </is>
      </c>
    </row>
    <row r="889">
      <c r="A889" s="13" t="inlineStr">
        <is>
          <t>요건</t>
        </is>
      </c>
      <c r="B889" s="13" t="inlineStr">
        <is>
          <t>V-6</t>
        </is>
      </c>
      <c r="C889" s="13" t="inlineStr">
        <is>
          <t>TC-1-5-04</t>
        </is>
      </c>
      <c r="D889" s="13" t="inlineStr">
        <is>
          <t>기능</t>
        </is>
      </c>
      <c r="E889" s="13" t="inlineStr">
        <is>
          <t>미실행</t>
        </is>
      </c>
    </row>
    <row r="890">
      <c r="A890" s="13" t="inlineStr">
        <is>
          <t>화면</t>
        </is>
      </c>
      <c r="B890" s="13" t="inlineStr">
        <is>
          <t>1-5</t>
        </is>
      </c>
      <c r="C890" s="13" t="inlineStr">
        <is>
          <t>TC-1-5-05</t>
        </is>
      </c>
      <c r="D890" s="13" t="inlineStr">
        <is>
          <t>기능</t>
        </is>
      </c>
      <c r="E890" s="13" t="inlineStr">
        <is>
          <t>미실행</t>
        </is>
      </c>
    </row>
    <row r="891">
      <c r="A891" s="13" t="inlineStr">
        <is>
          <t>요건</t>
        </is>
      </c>
      <c r="B891" s="13" t="inlineStr">
        <is>
          <t>V-6</t>
        </is>
      </c>
      <c r="C891" s="13" t="inlineStr">
        <is>
          <t>TC-1-5-05</t>
        </is>
      </c>
      <c r="D891" s="13" t="inlineStr">
        <is>
          <t>기능</t>
        </is>
      </c>
      <c r="E891" s="13" t="inlineStr">
        <is>
          <t>미실행</t>
        </is>
      </c>
    </row>
    <row r="892">
      <c r="A892" s="13" t="inlineStr">
        <is>
          <t>화면</t>
        </is>
      </c>
      <c r="B892" s="13" t="inlineStr">
        <is>
          <t>1-5</t>
        </is>
      </c>
      <c r="C892" s="13" t="inlineStr">
        <is>
          <t>TC-1-5-06</t>
        </is>
      </c>
      <c r="D892" s="13" t="inlineStr">
        <is>
          <t>접근성</t>
        </is>
      </c>
      <c r="E892" s="13" t="inlineStr">
        <is>
          <t>미실행</t>
        </is>
      </c>
    </row>
    <row r="893">
      <c r="A893" s="13" t="inlineStr">
        <is>
          <t>요건</t>
        </is>
      </c>
      <c r="B893" s="13" t="inlineStr">
        <is>
          <t>V-3</t>
        </is>
      </c>
      <c r="C893" s="13" t="inlineStr">
        <is>
          <t>TC-1-5-06</t>
        </is>
      </c>
      <c r="D893" s="13" t="inlineStr">
        <is>
          <t>접근성</t>
        </is>
      </c>
      <c r="E893" s="13" t="inlineStr">
        <is>
          <t>미실행</t>
        </is>
      </c>
    </row>
    <row r="894">
      <c r="A894" s="13" t="inlineStr">
        <is>
          <t>요건</t>
        </is>
      </c>
      <c r="B894" s="13" t="inlineStr">
        <is>
          <t>NFR-05</t>
        </is>
      </c>
      <c r="C894" s="13" t="inlineStr">
        <is>
          <t>TC-1-5-06</t>
        </is>
      </c>
      <c r="D894" s="13" t="inlineStr">
        <is>
          <t>접근성</t>
        </is>
      </c>
      <c r="E894" s="13" t="inlineStr">
        <is>
          <t>미실행</t>
        </is>
      </c>
    </row>
    <row r="895">
      <c r="A895" s="13" t="inlineStr">
        <is>
          <t>화면</t>
        </is>
      </c>
      <c r="B895" s="13" t="inlineStr">
        <is>
          <t>1-5</t>
        </is>
      </c>
      <c r="C895" s="13" t="inlineStr">
        <is>
          <t>TC-1-5-07</t>
        </is>
      </c>
      <c r="D895" s="13" t="inlineStr">
        <is>
          <t>접근성</t>
        </is>
      </c>
      <c r="E895" s="13" t="inlineStr">
        <is>
          <t>미실행</t>
        </is>
      </c>
    </row>
    <row r="896">
      <c r="A896" s="13" t="inlineStr">
        <is>
          <t>요건</t>
        </is>
      </c>
      <c r="B896" s="13" t="inlineStr">
        <is>
          <t>AC-05</t>
        </is>
      </c>
      <c r="C896" s="13" t="inlineStr">
        <is>
          <t>TC-1-5-07</t>
        </is>
      </c>
      <c r="D896" s="13" t="inlineStr">
        <is>
          <t>접근성</t>
        </is>
      </c>
      <c r="E896" s="13" t="inlineStr">
        <is>
          <t>미실행</t>
        </is>
      </c>
    </row>
    <row r="897">
      <c r="A897" s="13" t="inlineStr">
        <is>
          <t>요건</t>
        </is>
      </c>
      <c r="B897" s="13" t="inlineStr">
        <is>
          <t>NFR-05</t>
        </is>
      </c>
      <c r="C897" s="13" t="inlineStr">
        <is>
          <t>TC-1-5-07</t>
        </is>
      </c>
      <c r="D897" s="13" t="inlineStr">
        <is>
          <t>접근성</t>
        </is>
      </c>
      <c r="E897" s="13" t="inlineStr">
        <is>
          <t>미실행</t>
        </is>
      </c>
    </row>
    <row r="898">
      <c r="A898" s="13" t="inlineStr">
        <is>
          <t>요건</t>
        </is>
      </c>
      <c r="B898" s="13" t="inlineStr">
        <is>
          <t>V-6</t>
        </is>
      </c>
      <c r="C898" s="13" t="inlineStr">
        <is>
          <t>TC-1-5-07</t>
        </is>
      </c>
      <c r="D898" s="13" t="inlineStr">
        <is>
          <t>접근성</t>
        </is>
      </c>
      <c r="E898" s="13" t="inlineStr">
        <is>
          <t>미실행</t>
        </is>
      </c>
    </row>
    <row r="899">
      <c r="A899" s="13" t="inlineStr">
        <is>
          <t>화면</t>
        </is>
      </c>
      <c r="B899" s="13" t="inlineStr">
        <is>
          <t>1-5</t>
        </is>
      </c>
      <c r="C899" s="13" t="inlineStr">
        <is>
          <t>TC-1-5-08</t>
        </is>
      </c>
      <c r="D899" s="13" t="inlineStr">
        <is>
          <t>접근성</t>
        </is>
      </c>
      <c r="E899" s="13" t="inlineStr">
        <is>
          <t>미실행</t>
        </is>
      </c>
    </row>
    <row r="900">
      <c r="A900" s="13" t="inlineStr">
        <is>
          <t>요건</t>
        </is>
      </c>
      <c r="B900" s="13" t="inlineStr">
        <is>
          <t>AC-05</t>
        </is>
      </c>
      <c r="C900" s="13" t="inlineStr">
        <is>
          <t>TC-1-5-08</t>
        </is>
      </c>
      <c r="D900" s="13" t="inlineStr">
        <is>
          <t>접근성</t>
        </is>
      </c>
      <c r="E900" s="13" t="inlineStr">
        <is>
          <t>미실행</t>
        </is>
      </c>
    </row>
    <row r="901">
      <c r="A901" s="13" t="inlineStr">
        <is>
          <t>요건</t>
        </is>
      </c>
      <c r="B901" s="13" t="inlineStr">
        <is>
          <t>V-9</t>
        </is>
      </c>
      <c r="C901" s="13" t="inlineStr">
        <is>
          <t>TC-1-5-08</t>
        </is>
      </c>
      <c r="D901" s="13" t="inlineStr">
        <is>
          <t>접근성</t>
        </is>
      </c>
      <c r="E901" s="13" t="inlineStr">
        <is>
          <t>미실행</t>
        </is>
      </c>
    </row>
    <row r="902">
      <c r="A902" s="13" t="inlineStr">
        <is>
          <t>요건</t>
        </is>
      </c>
      <c r="B902" s="13" t="inlineStr">
        <is>
          <t>V-1</t>
        </is>
      </c>
      <c r="C902" s="13" t="inlineStr">
        <is>
          <t>TC-1-5-08</t>
        </is>
      </c>
      <c r="D902" s="13" t="inlineStr">
        <is>
          <t>접근성</t>
        </is>
      </c>
      <c r="E902" s="13" t="inlineStr">
        <is>
          <t>미실행</t>
        </is>
      </c>
    </row>
    <row r="903">
      <c r="A903" s="13" t="inlineStr">
        <is>
          <t>화면</t>
        </is>
      </c>
      <c r="B903" s="13" t="inlineStr">
        <is>
          <t>1-5</t>
        </is>
      </c>
      <c r="C903" s="13" t="inlineStr">
        <is>
          <t>TC-1-5-09</t>
        </is>
      </c>
      <c r="D903" s="13" t="inlineStr">
        <is>
          <t>접근성</t>
        </is>
      </c>
      <c r="E903" s="13" t="inlineStr">
        <is>
          <t>미실행</t>
        </is>
      </c>
    </row>
    <row r="904">
      <c r="A904" s="13" t="inlineStr">
        <is>
          <t>요건</t>
        </is>
      </c>
      <c r="B904" s="13" t="inlineStr">
        <is>
          <t>AC-05</t>
        </is>
      </c>
      <c r="C904" s="13" t="inlineStr">
        <is>
          <t>TC-1-5-09</t>
        </is>
      </c>
      <c r="D904" s="13" t="inlineStr">
        <is>
          <t>접근성</t>
        </is>
      </c>
      <c r="E904" s="13" t="inlineStr">
        <is>
          <t>미실행</t>
        </is>
      </c>
    </row>
    <row r="905">
      <c r="A905" s="13" t="inlineStr">
        <is>
          <t>요건</t>
        </is>
      </c>
      <c r="B905" s="13" t="inlineStr">
        <is>
          <t>V-6</t>
        </is>
      </c>
      <c r="C905" s="13" t="inlineStr">
        <is>
          <t>TC-1-5-09</t>
        </is>
      </c>
      <c r="D905" s="13" t="inlineStr">
        <is>
          <t>접근성</t>
        </is>
      </c>
      <c r="E905" s="13" t="inlineStr">
        <is>
          <t>미실행</t>
        </is>
      </c>
    </row>
    <row r="906">
      <c r="A906" s="13" t="inlineStr">
        <is>
          <t>화면</t>
        </is>
      </c>
      <c r="B906" s="13" t="inlineStr">
        <is>
          <t>1-5</t>
        </is>
      </c>
      <c r="C906" s="13" t="inlineStr">
        <is>
          <t>TC-1-5-10</t>
        </is>
      </c>
      <c r="D906" s="13" t="inlineStr">
        <is>
          <t>기능</t>
        </is>
      </c>
      <c r="E906" s="13" t="inlineStr">
        <is>
          <t>미실행</t>
        </is>
      </c>
    </row>
    <row r="907">
      <c r="A907" s="13" t="inlineStr">
        <is>
          <t>요건</t>
        </is>
      </c>
      <c r="B907" s="13" t="inlineStr">
        <is>
          <t>V-6</t>
        </is>
      </c>
      <c r="C907" s="13" t="inlineStr">
        <is>
          <t>TC-1-5-10</t>
        </is>
      </c>
      <c r="D907" s="13" t="inlineStr">
        <is>
          <t>기능</t>
        </is>
      </c>
      <c r="E907" s="13" t="inlineStr">
        <is>
          <t>미실행</t>
        </is>
      </c>
    </row>
    <row r="908">
      <c r="A908" s="13" t="inlineStr">
        <is>
          <t>요건</t>
        </is>
      </c>
      <c r="B908" s="13" t="inlineStr">
        <is>
          <t>E-5</t>
        </is>
      </c>
      <c r="C908" s="13" t="inlineStr">
        <is>
          <t>TC-1-5-10</t>
        </is>
      </c>
      <c r="D908" s="13" t="inlineStr">
        <is>
          <t>기능</t>
        </is>
      </c>
      <c r="E908" s="13" t="inlineStr">
        <is>
          <t>미실행</t>
        </is>
      </c>
    </row>
    <row r="909">
      <c r="A909" s="13" t="inlineStr">
        <is>
          <t>화면</t>
        </is>
      </c>
      <c r="B909" s="13" t="inlineStr">
        <is>
          <t>1-5</t>
        </is>
      </c>
      <c r="C909" s="13" t="inlineStr">
        <is>
          <t>TC-1-5-11</t>
        </is>
      </c>
      <c r="D909" s="13" t="inlineStr">
        <is>
          <t>기능</t>
        </is>
      </c>
      <c r="E909" s="13" t="inlineStr">
        <is>
          <t>미실행</t>
        </is>
      </c>
    </row>
    <row r="910">
      <c r="A910" s="13" t="inlineStr">
        <is>
          <t>요건</t>
        </is>
      </c>
      <c r="B910" s="13" t="inlineStr">
        <is>
          <t>V-6</t>
        </is>
      </c>
      <c r="C910" s="13" t="inlineStr">
        <is>
          <t>TC-1-5-11</t>
        </is>
      </c>
      <c r="D910" s="13" t="inlineStr">
        <is>
          <t>기능</t>
        </is>
      </c>
      <c r="E910" s="13" t="inlineStr">
        <is>
          <t>미실행</t>
        </is>
      </c>
    </row>
    <row r="911">
      <c r="A911" s="13" t="inlineStr">
        <is>
          <t>화면</t>
        </is>
      </c>
      <c r="B911" s="13" t="inlineStr">
        <is>
          <t>1-5</t>
        </is>
      </c>
      <c r="C911" s="13" t="inlineStr">
        <is>
          <t>TC-1-5-12</t>
        </is>
      </c>
      <c r="D911" s="13" t="inlineStr">
        <is>
          <t>접근성</t>
        </is>
      </c>
      <c r="E911" s="13" t="inlineStr">
        <is>
          <t>미실행</t>
        </is>
      </c>
    </row>
    <row r="912">
      <c r="A912" s="13" t="inlineStr">
        <is>
          <t>요건</t>
        </is>
      </c>
      <c r="B912" s="13" t="inlineStr">
        <is>
          <t>NFR-02</t>
        </is>
      </c>
      <c r="C912" s="13" t="inlineStr">
        <is>
          <t>TC-1-5-12</t>
        </is>
      </c>
      <c r="D912" s="13" t="inlineStr">
        <is>
          <t>접근성</t>
        </is>
      </c>
      <c r="E912" s="13" t="inlineStr">
        <is>
          <t>미실행</t>
        </is>
      </c>
    </row>
    <row r="913">
      <c r="A913" s="13" t="inlineStr">
        <is>
          <t>화면</t>
        </is>
      </c>
      <c r="B913" s="13" t="inlineStr">
        <is>
          <t>1-5</t>
        </is>
      </c>
      <c r="C913" s="13" t="inlineStr">
        <is>
          <t>TC-1-5-13</t>
        </is>
      </c>
      <c r="D913" s="13" t="inlineStr">
        <is>
          <t>접근성</t>
        </is>
      </c>
      <c r="E913" s="13" t="inlineStr">
        <is>
          <t>미실행</t>
        </is>
      </c>
    </row>
    <row r="914">
      <c r="A914" s="13" t="inlineStr">
        <is>
          <t>요건</t>
        </is>
      </c>
      <c r="B914" s="13" t="inlineStr">
        <is>
          <t>AC-06</t>
        </is>
      </c>
      <c r="C914" s="13" t="inlineStr">
        <is>
          <t>TC-1-5-13</t>
        </is>
      </c>
      <c r="D914" s="13" t="inlineStr">
        <is>
          <t>접근성</t>
        </is>
      </c>
      <c r="E914" s="13" t="inlineStr">
        <is>
          <t>미실행</t>
        </is>
      </c>
    </row>
    <row r="915">
      <c r="A915" s="13" t="inlineStr">
        <is>
          <t>요건</t>
        </is>
      </c>
      <c r="B915" s="13" t="inlineStr">
        <is>
          <t>T-4</t>
        </is>
      </c>
      <c r="C915" s="13" t="inlineStr">
        <is>
          <t>TC-1-5-13</t>
        </is>
      </c>
      <c r="D915" s="13" t="inlineStr">
        <is>
          <t>접근성</t>
        </is>
      </c>
      <c r="E915" s="13" t="inlineStr">
        <is>
          <t>미실행</t>
        </is>
      </c>
    </row>
    <row r="916">
      <c r="A916" s="13" t="inlineStr">
        <is>
          <t>화면</t>
        </is>
      </c>
      <c r="B916" s="13" t="inlineStr">
        <is>
          <t>1-5</t>
        </is>
      </c>
      <c r="C916" s="13" t="inlineStr">
        <is>
          <t>TC-1-5-14</t>
        </is>
      </c>
      <c r="D916" s="13" t="inlineStr">
        <is>
          <t>접근성</t>
        </is>
      </c>
      <c r="E916" s="13" t="inlineStr">
        <is>
          <t>미실행</t>
        </is>
      </c>
    </row>
    <row r="917">
      <c r="A917" s="13" t="inlineStr">
        <is>
          <t>요건</t>
        </is>
      </c>
      <c r="B917" s="13" t="inlineStr">
        <is>
          <t>NFR-04</t>
        </is>
      </c>
      <c r="C917" s="13" t="inlineStr">
        <is>
          <t>TC-1-5-14</t>
        </is>
      </c>
      <c r="D917" s="13" t="inlineStr">
        <is>
          <t>접근성</t>
        </is>
      </c>
      <c r="E917" s="13" t="inlineStr">
        <is>
          <t>미실행</t>
        </is>
      </c>
    </row>
    <row r="918">
      <c r="A918" s="13" t="inlineStr">
        <is>
          <t>요건</t>
        </is>
      </c>
      <c r="B918" s="13" t="inlineStr">
        <is>
          <t>AC-05</t>
        </is>
      </c>
      <c r="C918" s="13" t="inlineStr">
        <is>
          <t>TC-1-5-14</t>
        </is>
      </c>
      <c r="D918" s="13" t="inlineStr">
        <is>
          <t>접근성</t>
        </is>
      </c>
      <c r="E918" s="13" t="inlineStr">
        <is>
          <t>미실행</t>
        </is>
      </c>
    </row>
    <row r="919">
      <c r="A919" s="13" t="inlineStr">
        <is>
          <t>화면</t>
        </is>
      </c>
      <c r="B919" s="13" t="inlineStr">
        <is>
          <t>1-5</t>
        </is>
      </c>
      <c r="C919" s="13" t="inlineStr">
        <is>
          <t>TC-1-5-15</t>
        </is>
      </c>
      <c r="D919" s="13" t="inlineStr">
        <is>
          <t>기능</t>
        </is>
      </c>
      <c r="E919" s="13" t="inlineStr">
        <is>
          <t>보류</t>
        </is>
      </c>
    </row>
    <row r="920">
      <c r="A920" s="13" t="inlineStr">
        <is>
          <t>요건</t>
        </is>
      </c>
      <c r="B920" s="13" t="inlineStr">
        <is>
          <t>V-5</t>
        </is>
      </c>
      <c r="C920" s="13" t="inlineStr">
        <is>
          <t>TC-1-5-15</t>
        </is>
      </c>
      <c r="D920" s="13" t="inlineStr">
        <is>
          <t>기능</t>
        </is>
      </c>
      <c r="E920" s="13" t="inlineStr">
        <is>
          <t>보류</t>
        </is>
      </c>
    </row>
    <row r="921">
      <c r="A921" s="13" t="inlineStr">
        <is>
          <t>요건</t>
        </is>
      </c>
      <c r="B921" s="13" t="inlineStr">
        <is>
          <t>AC-05</t>
        </is>
      </c>
      <c r="C921" s="13" t="inlineStr">
        <is>
          <t>TC-1-5-15</t>
        </is>
      </c>
      <c r="D921" s="13" t="inlineStr">
        <is>
          <t>기능</t>
        </is>
      </c>
      <c r="E921" s="13" t="inlineStr">
        <is>
          <t>보류</t>
        </is>
      </c>
    </row>
    <row r="922">
      <c r="A922" s="13" t="inlineStr">
        <is>
          <t>화면</t>
        </is>
      </c>
      <c r="B922" s="13" t="inlineStr">
        <is>
          <t>1-5</t>
        </is>
      </c>
      <c r="C922" s="13" t="inlineStr">
        <is>
          <t>TC-1-5-16</t>
        </is>
      </c>
      <c r="D922" s="13" t="inlineStr">
        <is>
          <t>대상외</t>
        </is>
      </c>
      <c r="E922" s="13" t="inlineStr">
        <is>
          <t>미실행</t>
        </is>
      </c>
    </row>
    <row r="923">
      <c r="A923" s="13" t="inlineStr">
        <is>
          <t>요건</t>
        </is>
      </c>
      <c r="B923" s="13" t="inlineStr">
        <is>
          <t>MB-2</t>
        </is>
      </c>
      <c r="C923" s="13" t="inlineStr">
        <is>
          <t>TC-1-5-16</t>
        </is>
      </c>
      <c r="D923" s="13" t="inlineStr">
        <is>
          <t>대상외</t>
        </is>
      </c>
      <c r="E923" s="13" t="inlineStr">
        <is>
          <t>미실행</t>
        </is>
      </c>
    </row>
    <row r="924">
      <c r="A924" s="13" t="inlineStr">
        <is>
          <t>화면</t>
        </is>
      </c>
      <c r="B924" s="13" t="inlineStr">
        <is>
          <t>1-6</t>
        </is>
      </c>
      <c r="C924" s="13" t="inlineStr">
        <is>
          <t>TC-1-6-01</t>
        </is>
      </c>
      <c r="D924" s="13" t="inlineStr">
        <is>
          <t>기능</t>
        </is>
      </c>
      <c r="E924" s="13" t="inlineStr">
        <is>
          <t>미실행</t>
        </is>
      </c>
    </row>
    <row r="925">
      <c r="A925" s="13" t="inlineStr">
        <is>
          <t>요건</t>
        </is>
      </c>
      <c r="B925" s="13" t="inlineStr">
        <is>
          <t>SC-08</t>
        </is>
      </c>
      <c r="C925" s="13" t="inlineStr">
        <is>
          <t>TC-1-6-01</t>
        </is>
      </c>
      <c r="D925" s="13" t="inlineStr">
        <is>
          <t>기능</t>
        </is>
      </c>
      <c r="E925" s="13" t="inlineStr">
        <is>
          <t>미실행</t>
        </is>
      </c>
    </row>
    <row r="926">
      <c r="A926" s="13" t="inlineStr">
        <is>
          <t>요건</t>
        </is>
      </c>
      <c r="B926" s="13" t="inlineStr">
        <is>
          <t>V-1</t>
        </is>
      </c>
      <c r="C926" s="13" t="inlineStr">
        <is>
          <t>TC-1-6-01</t>
        </is>
      </c>
      <c r="D926" s="13" t="inlineStr">
        <is>
          <t>기능</t>
        </is>
      </c>
      <c r="E926" s="13" t="inlineStr">
        <is>
          <t>미실행</t>
        </is>
      </c>
    </row>
    <row r="927">
      <c r="A927" s="13" t="inlineStr">
        <is>
          <t>화면</t>
        </is>
      </c>
      <c r="B927" s="13" t="inlineStr">
        <is>
          <t>1-6</t>
        </is>
      </c>
      <c r="C927" s="13" t="inlineStr">
        <is>
          <t>TC-1-6-02</t>
        </is>
      </c>
      <c r="D927" s="13" t="inlineStr">
        <is>
          <t>기능</t>
        </is>
      </c>
      <c r="E927" s="13" t="inlineStr">
        <is>
          <t>미실행</t>
        </is>
      </c>
    </row>
    <row r="928">
      <c r="A928" s="13" t="inlineStr">
        <is>
          <t>요건</t>
        </is>
      </c>
      <c r="B928" s="13" t="inlineStr">
        <is>
          <t>SC-08</t>
        </is>
      </c>
      <c r="C928" s="13" t="inlineStr">
        <is>
          <t>TC-1-6-02</t>
        </is>
      </c>
      <c r="D928" s="13" t="inlineStr">
        <is>
          <t>기능</t>
        </is>
      </c>
      <c r="E928" s="13" t="inlineStr">
        <is>
          <t>미실행</t>
        </is>
      </c>
    </row>
    <row r="929">
      <c r="A929" s="13" t="inlineStr">
        <is>
          <t>요건</t>
        </is>
      </c>
      <c r="B929" s="13" t="inlineStr">
        <is>
          <t>V-5</t>
        </is>
      </c>
      <c r="C929" s="13" t="inlineStr">
        <is>
          <t>TC-1-6-02</t>
        </is>
      </c>
      <c r="D929" s="13" t="inlineStr">
        <is>
          <t>기능</t>
        </is>
      </c>
      <c r="E929" s="13" t="inlineStr">
        <is>
          <t>미실행</t>
        </is>
      </c>
    </row>
    <row r="930">
      <c r="A930" s="13" t="inlineStr">
        <is>
          <t>화면</t>
        </is>
      </c>
      <c r="B930" s="13" t="inlineStr">
        <is>
          <t>1-6</t>
        </is>
      </c>
      <c r="C930" s="13" t="inlineStr">
        <is>
          <t>TC-1-6-03</t>
        </is>
      </c>
      <c r="D930" s="13" t="inlineStr">
        <is>
          <t>기능</t>
        </is>
      </c>
      <c r="E930" s="13" t="inlineStr">
        <is>
          <t>미실행</t>
        </is>
      </c>
    </row>
    <row r="931">
      <c r="A931" s="13" t="inlineStr">
        <is>
          <t>요건</t>
        </is>
      </c>
      <c r="B931" s="13" t="inlineStr">
        <is>
          <t>FR-R6</t>
        </is>
      </c>
      <c r="C931" s="13" t="inlineStr">
        <is>
          <t>TC-1-6-03</t>
        </is>
      </c>
      <c r="D931" s="13" t="inlineStr">
        <is>
          <t>기능</t>
        </is>
      </c>
      <c r="E931" s="13" t="inlineStr">
        <is>
          <t>미실행</t>
        </is>
      </c>
    </row>
    <row r="932">
      <c r="A932" s="13" t="inlineStr">
        <is>
          <t>요건</t>
        </is>
      </c>
      <c r="B932" s="13" t="inlineStr">
        <is>
          <t>V-5</t>
        </is>
      </c>
      <c r="C932" s="13" t="inlineStr">
        <is>
          <t>TC-1-6-03</t>
        </is>
      </c>
      <c r="D932" s="13" t="inlineStr">
        <is>
          <t>기능</t>
        </is>
      </c>
      <c r="E932" s="13" t="inlineStr">
        <is>
          <t>미실행</t>
        </is>
      </c>
    </row>
    <row r="933">
      <c r="A933" s="13" t="inlineStr">
        <is>
          <t>화면</t>
        </is>
      </c>
      <c r="B933" s="13" t="inlineStr">
        <is>
          <t>1-6</t>
        </is>
      </c>
      <c r="C933" s="13" t="inlineStr">
        <is>
          <t>TC-1-6-04</t>
        </is>
      </c>
      <c r="D933" s="13" t="inlineStr">
        <is>
          <t>기능</t>
        </is>
      </c>
      <c r="E933" s="13" t="inlineStr">
        <is>
          <t>보류</t>
        </is>
      </c>
    </row>
    <row r="934">
      <c r="A934" s="13" t="inlineStr">
        <is>
          <t>요건</t>
        </is>
      </c>
      <c r="B934" s="13" t="inlineStr">
        <is>
          <t>SC-08</t>
        </is>
      </c>
      <c r="C934" s="13" t="inlineStr">
        <is>
          <t>TC-1-6-04</t>
        </is>
      </c>
      <c r="D934" s="13" t="inlineStr">
        <is>
          <t>기능</t>
        </is>
      </c>
      <c r="E934" s="13" t="inlineStr">
        <is>
          <t>보류</t>
        </is>
      </c>
    </row>
    <row r="935">
      <c r="A935" s="13" t="inlineStr">
        <is>
          <t>요건</t>
        </is>
      </c>
      <c r="B935" s="13" t="inlineStr">
        <is>
          <t>V-6</t>
        </is>
      </c>
      <c r="C935" s="13" t="inlineStr">
        <is>
          <t>TC-1-6-04</t>
        </is>
      </c>
      <c r="D935" s="13" t="inlineStr">
        <is>
          <t>기능</t>
        </is>
      </c>
      <c r="E935" s="13" t="inlineStr">
        <is>
          <t>보류</t>
        </is>
      </c>
    </row>
    <row r="936">
      <c r="A936" s="13" t="inlineStr">
        <is>
          <t>화면</t>
        </is>
      </c>
      <c r="B936" s="13" t="inlineStr">
        <is>
          <t>1-6</t>
        </is>
      </c>
      <c r="C936" s="13" t="inlineStr">
        <is>
          <t>TC-1-6-05</t>
        </is>
      </c>
      <c r="D936" s="13" t="inlineStr">
        <is>
          <t>기능</t>
        </is>
      </c>
      <c r="E936" s="13" t="inlineStr">
        <is>
          <t>미실행</t>
        </is>
      </c>
    </row>
    <row r="937">
      <c r="A937" s="13" t="inlineStr">
        <is>
          <t>요건</t>
        </is>
      </c>
      <c r="B937" s="13" t="inlineStr">
        <is>
          <t>FR-R6</t>
        </is>
      </c>
      <c r="C937" s="13" t="inlineStr">
        <is>
          <t>TC-1-6-05</t>
        </is>
      </c>
      <c r="D937" s="13" t="inlineStr">
        <is>
          <t>기능</t>
        </is>
      </c>
      <c r="E937" s="13" t="inlineStr">
        <is>
          <t>미실행</t>
        </is>
      </c>
    </row>
    <row r="938">
      <c r="A938" s="13" t="inlineStr">
        <is>
          <t>요건</t>
        </is>
      </c>
      <c r="B938" s="13" t="inlineStr">
        <is>
          <t>V-6</t>
        </is>
      </c>
      <c r="C938" s="13" t="inlineStr">
        <is>
          <t>TC-1-6-05</t>
        </is>
      </c>
      <c r="D938" s="13" t="inlineStr">
        <is>
          <t>기능</t>
        </is>
      </c>
      <c r="E938" s="13" t="inlineStr">
        <is>
          <t>미실행</t>
        </is>
      </c>
    </row>
    <row r="939">
      <c r="A939" s="13" t="inlineStr">
        <is>
          <t>화면</t>
        </is>
      </c>
      <c r="B939" s="13" t="inlineStr">
        <is>
          <t>1-6</t>
        </is>
      </c>
      <c r="C939" s="13" t="inlineStr">
        <is>
          <t>TC-1-6-06</t>
        </is>
      </c>
      <c r="D939" s="13" t="inlineStr">
        <is>
          <t>접근성</t>
        </is>
      </c>
      <c r="E939" s="13" t="inlineStr">
        <is>
          <t>미실행</t>
        </is>
      </c>
    </row>
    <row r="940">
      <c r="A940" s="13" t="inlineStr">
        <is>
          <t>요건</t>
        </is>
      </c>
      <c r="B940" s="13" t="inlineStr">
        <is>
          <t>NFR-04</t>
        </is>
      </c>
      <c r="C940" s="13" t="inlineStr">
        <is>
          <t>TC-1-6-06</t>
        </is>
      </c>
      <c r="D940" s="13" t="inlineStr">
        <is>
          <t>접근성</t>
        </is>
      </c>
      <c r="E940" s="13" t="inlineStr">
        <is>
          <t>미실행</t>
        </is>
      </c>
    </row>
    <row r="941">
      <c r="A941" s="13" t="inlineStr">
        <is>
          <t>요건</t>
        </is>
      </c>
      <c r="B941" s="13" t="inlineStr">
        <is>
          <t>AC-05</t>
        </is>
      </c>
      <c r="C941" s="13" t="inlineStr">
        <is>
          <t>TC-1-6-06</t>
        </is>
      </c>
      <c r="D941" s="13" t="inlineStr">
        <is>
          <t>접근성</t>
        </is>
      </c>
      <c r="E941" s="13" t="inlineStr">
        <is>
          <t>미실행</t>
        </is>
      </c>
    </row>
    <row r="942">
      <c r="A942" s="13" t="inlineStr">
        <is>
          <t>화면</t>
        </is>
      </c>
      <c r="B942" s="13" t="inlineStr">
        <is>
          <t>1-6</t>
        </is>
      </c>
      <c r="C942" s="13" t="inlineStr">
        <is>
          <t>TC-1-6-07</t>
        </is>
      </c>
      <c r="D942" s="13" t="inlineStr">
        <is>
          <t>접근성</t>
        </is>
      </c>
      <c r="E942" s="13" t="inlineStr">
        <is>
          <t>미실행</t>
        </is>
      </c>
    </row>
    <row r="943">
      <c r="A943" s="13" t="inlineStr">
        <is>
          <t>요건</t>
        </is>
      </c>
      <c r="B943" s="13" t="inlineStr">
        <is>
          <t>AC-05</t>
        </is>
      </c>
      <c r="C943" s="13" t="inlineStr">
        <is>
          <t>TC-1-6-07</t>
        </is>
      </c>
      <c r="D943" s="13" t="inlineStr">
        <is>
          <t>접근성</t>
        </is>
      </c>
      <c r="E943" s="13" t="inlineStr">
        <is>
          <t>미실행</t>
        </is>
      </c>
    </row>
    <row r="944">
      <c r="A944" s="13" t="inlineStr">
        <is>
          <t>요건</t>
        </is>
      </c>
      <c r="B944" s="13" t="inlineStr">
        <is>
          <t>NFR-05</t>
        </is>
      </c>
      <c r="C944" s="13" t="inlineStr">
        <is>
          <t>TC-1-6-07</t>
        </is>
      </c>
      <c r="D944" s="13" t="inlineStr">
        <is>
          <t>접근성</t>
        </is>
      </c>
      <c r="E944" s="13" t="inlineStr">
        <is>
          <t>미실행</t>
        </is>
      </c>
    </row>
    <row r="945">
      <c r="A945" s="13" t="inlineStr">
        <is>
          <t>화면</t>
        </is>
      </c>
      <c r="B945" s="13" t="inlineStr">
        <is>
          <t>REPORT-01</t>
        </is>
      </c>
      <c r="C945" s="13" t="inlineStr">
        <is>
          <t>TC-REPORT-01-01</t>
        </is>
      </c>
      <c r="D945" s="13" t="inlineStr">
        <is>
          <t>기능</t>
        </is>
      </c>
      <c r="E945" s="13" t="inlineStr">
        <is>
          <t>미실행</t>
        </is>
      </c>
    </row>
    <row r="946">
      <c r="A946" s="13" t="inlineStr">
        <is>
          <t>요건</t>
        </is>
      </c>
      <c r="B946" s="13" t="inlineStr">
        <is>
          <t>SC-08</t>
        </is>
      </c>
      <c r="C946" s="13" t="inlineStr">
        <is>
          <t>TC-REPORT-01-01</t>
        </is>
      </c>
      <c r="D946" s="13" t="inlineStr">
        <is>
          <t>기능</t>
        </is>
      </c>
      <c r="E946" s="13" t="inlineStr">
        <is>
          <t>미실행</t>
        </is>
      </c>
    </row>
    <row r="947">
      <c r="A947" s="13" t="inlineStr">
        <is>
          <t>요건</t>
        </is>
      </c>
      <c r="B947" s="13" t="inlineStr">
        <is>
          <t>V-1</t>
        </is>
      </c>
      <c r="C947" s="13" t="inlineStr">
        <is>
          <t>TC-REPORT-01-01</t>
        </is>
      </c>
      <c r="D947" s="13" t="inlineStr">
        <is>
          <t>기능</t>
        </is>
      </c>
      <c r="E947" s="13" t="inlineStr">
        <is>
          <t>미실행</t>
        </is>
      </c>
    </row>
    <row r="948">
      <c r="A948" s="13" t="inlineStr">
        <is>
          <t>화면</t>
        </is>
      </c>
      <c r="B948" s="13" t="inlineStr">
        <is>
          <t>REPORT-01</t>
        </is>
      </c>
      <c r="C948" s="13" t="inlineStr">
        <is>
          <t>TC-REPORT-01-02</t>
        </is>
      </c>
      <c r="D948" s="13" t="inlineStr">
        <is>
          <t>기능</t>
        </is>
      </c>
      <c r="E948" s="13" t="inlineStr">
        <is>
          <t>미실행</t>
        </is>
      </c>
    </row>
    <row r="949">
      <c r="A949" s="13" t="inlineStr">
        <is>
          <t>요건</t>
        </is>
      </c>
      <c r="B949" s="13" t="inlineStr">
        <is>
          <t>SC-08</t>
        </is>
      </c>
      <c r="C949" s="13" t="inlineStr">
        <is>
          <t>TC-REPORT-01-02</t>
        </is>
      </c>
      <c r="D949" s="13" t="inlineStr">
        <is>
          <t>기능</t>
        </is>
      </c>
      <c r="E949" s="13" t="inlineStr">
        <is>
          <t>미실행</t>
        </is>
      </c>
    </row>
    <row r="950">
      <c r="A950" s="13" t="inlineStr">
        <is>
          <t>요건</t>
        </is>
      </c>
      <c r="B950" s="13" t="inlineStr">
        <is>
          <t>NFR-05</t>
        </is>
      </c>
      <c r="C950" s="13" t="inlineStr">
        <is>
          <t>TC-REPORT-01-02</t>
        </is>
      </c>
      <c r="D950" s="13" t="inlineStr">
        <is>
          <t>기능</t>
        </is>
      </c>
      <c r="E950" s="13" t="inlineStr">
        <is>
          <t>미실행</t>
        </is>
      </c>
    </row>
    <row r="951">
      <c r="A951" s="13" t="inlineStr">
        <is>
          <t>화면</t>
        </is>
      </c>
      <c r="B951" s="13" t="inlineStr">
        <is>
          <t>REPORT-01</t>
        </is>
      </c>
      <c r="C951" s="13" t="inlineStr">
        <is>
          <t>TC-REPORT-01-03</t>
        </is>
      </c>
      <c r="D951" s="13" t="inlineStr">
        <is>
          <t>기능</t>
        </is>
      </c>
      <c r="E951" s="13" t="inlineStr">
        <is>
          <t>미실행</t>
        </is>
      </c>
    </row>
    <row r="952">
      <c r="A952" s="13" t="inlineStr">
        <is>
          <t>요건</t>
        </is>
      </c>
      <c r="B952" s="13" t="inlineStr">
        <is>
          <t>SC-08</t>
        </is>
      </c>
      <c r="C952" s="13" t="inlineStr">
        <is>
          <t>TC-REPORT-01-03</t>
        </is>
      </c>
      <c r="D952" s="13" t="inlineStr">
        <is>
          <t>기능</t>
        </is>
      </c>
      <c r="E952" s="13" t="inlineStr">
        <is>
          <t>미실행</t>
        </is>
      </c>
    </row>
    <row r="953">
      <c r="A953" s="13" t="inlineStr">
        <is>
          <t>화면</t>
        </is>
      </c>
      <c r="B953" s="13" t="inlineStr">
        <is>
          <t>REPORT-01</t>
        </is>
      </c>
      <c r="C953" s="13" t="inlineStr">
        <is>
          <t>TC-REPORT-01-04</t>
        </is>
      </c>
      <c r="D953" s="13" t="inlineStr">
        <is>
          <t>기능</t>
        </is>
      </c>
      <c r="E953" s="13" t="inlineStr">
        <is>
          <t>보류</t>
        </is>
      </c>
    </row>
    <row r="954">
      <c r="A954" s="13" t="inlineStr">
        <is>
          <t>요건</t>
        </is>
      </c>
      <c r="B954" s="13" t="inlineStr">
        <is>
          <t>SC-08</t>
        </is>
      </c>
      <c r="C954" s="13" t="inlineStr">
        <is>
          <t>TC-REPORT-01-04</t>
        </is>
      </c>
      <c r="D954" s="13" t="inlineStr">
        <is>
          <t>기능</t>
        </is>
      </c>
      <c r="E954" s="13" t="inlineStr">
        <is>
          <t>보류</t>
        </is>
      </c>
    </row>
    <row r="955">
      <c r="A955" s="13" t="inlineStr">
        <is>
          <t>요건</t>
        </is>
      </c>
      <c r="B955" s="13" t="inlineStr">
        <is>
          <t>FR-R6</t>
        </is>
      </c>
      <c r="C955" s="13" t="inlineStr">
        <is>
          <t>TC-REPORT-01-04</t>
        </is>
      </c>
      <c r="D955" s="13" t="inlineStr">
        <is>
          <t>기능</t>
        </is>
      </c>
      <c r="E955" s="13" t="inlineStr">
        <is>
          <t>보류</t>
        </is>
      </c>
    </row>
    <row r="956">
      <c r="A956" s="13" t="inlineStr">
        <is>
          <t>화면</t>
        </is>
      </c>
      <c r="B956" s="13" t="inlineStr">
        <is>
          <t>REPORT-01</t>
        </is>
      </c>
      <c r="C956" s="13" t="inlineStr">
        <is>
          <t>TC-REPORT-01-05</t>
        </is>
      </c>
      <c r="D956" s="13" t="inlineStr">
        <is>
          <t>기능</t>
        </is>
      </c>
      <c r="E956" s="13" t="inlineStr">
        <is>
          <t>미실행</t>
        </is>
      </c>
    </row>
    <row r="957">
      <c r="A957" s="13" t="inlineStr">
        <is>
          <t>요건</t>
        </is>
      </c>
      <c r="B957" s="13" t="inlineStr">
        <is>
          <t>SC-08</t>
        </is>
      </c>
      <c r="C957" s="13" t="inlineStr">
        <is>
          <t>TC-REPORT-01-05</t>
        </is>
      </c>
      <c r="D957" s="13" t="inlineStr">
        <is>
          <t>기능</t>
        </is>
      </c>
      <c r="E957" s="13" t="inlineStr">
        <is>
          <t>미실행</t>
        </is>
      </c>
    </row>
    <row r="958">
      <c r="A958" s="13" t="inlineStr">
        <is>
          <t>요건</t>
        </is>
      </c>
      <c r="B958" s="13" t="inlineStr">
        <is>
          <t>V-6</t>
        </is>
      </c>
      <c r="C958" s="13" t="inlineStr">
        <is>
          <t>TC-REPORT-01-05</t>
        </is>
      </c>
      <c r="D958" s="13" t="inlineStr">
        <is>
          <t>기능</t>
        </is>
      </c>
      <c r="E958" s="13" t="inlineStr">
        <is>
          <t>미실행</t>
        </is>
      </c>
    </row>
    <row r="959">
      <c r="A959" s="13" t="inlineStr">
        <is>
          <t>화면</t>
        </is>
      </c>
      <c r="B959" s="13" t="inlineStr">
        <is>
          <t>REPORT-01</t>
        </is>
      </c>
      <c r="C959" s="13" t="inlineStr">
        <is>
          <t>TC-REPORT-01-06</t>
        </is>
      </c>
      <c r="D959" s="13" t="inlineStr">
        <is>
          <t>기능</t>
        </is>
      </c>
      <c r="E959" s="13" t="inlineStr">
        <is>
          <t>미실행</t>
        </is>
      </c>
    </row>
    <row r="960">
      <c r="A960" s="13" t="inlineStr">
        <is>
          <t>요건</t>
        </is>
      </c>
      <c r="B960" s="13" t="inlineStr">
        <is>
          <t>SC-08</t>
        </is>
      </c>
      <c r="C960" s="13" t="inlineStr">
        <is>
          <t>TC-REPORT-01-06</t>
        </is>
      </c>
      <c r="D960" s="13" t="inlineStr">
        <is>
          <t>기능</t>
        </is>
      </c>
      <c r="E960" s="13" t="inlineStr">
        <is>
          <t>미실행</t>
        </is>
      </c>
    </row>
    <row r="961">
      <c r="A961" s="13" t="inlineStr">
        <is>
          <t>화면</t>
        </is>
      </c>
      <c r="B961" s="13" t="inlineStr">
        <is>
          <t>REPORT-01</t>
        </is>
      </c>
      <c r="C961" s="13" t="inlineStr">
        <is>
          <t>TC-REPORT-01-07</t>
        </is>
      </c>
      <c r="D961" s="13" t="inlineStr">
        <is>
          <t>접근성</t>
        </is>
      </c>
      <c r="E961" s="13" t="inlineStr">
        <is>
          <t>미실행</t>
        </is>
      </c>
    </row>
    <row r="962">
      <c r="A962" s="13" t="inlineStr">
        <is>
          <t>요건</t>
        </is>
      </c>
      <c r="B962" s="13" t="inlineStr">
        <is>
          <t>V-10</t>
        </is>
      </c>
      <c r="C962" s="13" t="inlineStr">
        <is>
          <t>TC-REPORT-01-07</t>
        </is>
      </c>
      <c r="D962" s="13" t="inlineStr">
        <is>
          <t>접근성</t>
        </is>
      </c>
      <c r="E962" s="13" t="inlineStr">
        <is>
          <t>미실행</t>
        </is>
      </c>
    </row>
    <row r="963">
      <c r="A963" s="13" t="inlineStr">
        <is>
          <t>요건</t>
        </is>
      </c>
      <c r="B963" s="13" t="inlineStr">
        <is>
          <t>NFR-02</t>
        </is>
      </c>
      <c r="C963" s="13" t="inlineStr">
        <is>
          <t>TC-REPORT-01-07</t>
        </is>
      </c>
      <c r="D963" s="13" t="inlineStr">
        <is>
          <t>접근성</t>
        </is>
      </c>
      <c r="E963" s="13" t="inlineStr">
        <is>
          <t>미실행</t>
        </is>
      </c>
    </row>
    <row r="964">
      <c r="A964" s="13" t="inlineStr">
        <is>
          <t>화면</t>
        </is>
      </c>
      <c r="B964" s="13" t="inlineStr">
        <is>
          <t>REPORT-01</t>
        </is>
      </c>
      <c r="C964" s="13" t="inlineStr">
        <is>
          <t>TC-REPORT-01-08</t>
        </is>
      </c>
      <c r="D964" s="13" t="inlineStr">
        <is>
          <t>기능</t>
        </is>
      </c>
      <c r="E964" s="13" t="inlineStr">
        <is>
          <t>미실행</t>
        </is>
      </c>
    </row>
    <row r="965">
      <c r="A965" s="13" t="inlineStr">
        <is>
          <t>요건</t>
        </is>
      </c>
      <c r="B965" s="13" t="inlineStr">
        <is>
          <t>V-6</t>
        </is>
      </c>
      <c r="C965" s="13" t="inlineStr">
        <is>
          <t>TC-REPORT-01-08</t>
        </is>
      </c>
      <c r="D965" s="13" t="inlineStr">
        <is>
          <t>기능</t>
        </is>
      </c>
      <c r="E965" s="13" t="inlineStr">
        <is>
          <t>미실행</t>
        </is>
      </c>
    </row>
    <row r="966">
      <c r="A966" s="13" t="inlineStr">
        <is>
          <t>요건</t>
        </is>
      </c>
      <c r="B966" s="13" t="inlineStr">
        <is>
          <t>V-4</t>
        </is>
      </c>
      <c r="C966" s="13" t="inlineStr">
        <is>
          <t>TC-REPORT-01-08</t>
        </is>
      </c>
      <c r="D966" s="13" t="inlineStr">
        <is>
          <t>기능</t>
        </is>
      </c>
      <c r="E966" s="13" t="inlineStr">
        <is>
          <t>미실행</t>
        </is>
      </c>
    </row>
    <row r="967">
      <c r="A967" s="13" t="inlineStr">
        <is>
          <t>화면</t>
        </is>
      </c>
      <c r="B967" s="13" t="inlineStr">
        <is>
          <t>REPORT-01</t>
        </is>
      </c>
      <c r="C967" s="13" t="inlineStr">
        <is>
          <t>TC-REPORT-01-09</t>
        </is>
      </c>
      <c r="D967" s="13" t="inlineStr">
        <is>
          <t>기능</t>
        </is>
      </c>
      <c r="E967" s="13" t="inlineStr">
        <is>
          <t>미실행</t>
        </is>
      </c>
    </row>
    <row r="968">
      <c r="A968" s="13" t="inlineStr">
        <is>
          <t>요건</t>
        </is>
      </c>
      <c r="B968" s="13" t="inlineStr">
        <is>
          <t>SC-08</t>
        </is>
      </c>
      <c r="C968" s="13" t="inlineStr">
        <is>
          <t>TC-REPORT-01-09</t>
        </is>
      </c>
      <c r="D968" s="13" t="inlineStr">
        <is>
          <t>기능</t>
        </is>
      </c>
      <c r="E968" s="13" t="inlineStr">
        <is>
          <t>미실행</t>
        </is>
      </c>
    </row>
    <row r="969">
      <c r="A969" s="13" t="inlineStr">
        <is>
          <t>요건</t>
        </is>
      </c>
      <c r="B969" s="13" t="inlineStr">
        <is>
          <t>NFR-05</t>
        </is>
      </c>
      <c r="C969" s="13" t="inlineStr">
        <is>
          <t>TC-REPORT-01-09</t>
        </is>
      </c>
      <c r="D969" s="13" t="inlineStr">
        <is>
          <t>기능</t>
        </is>
      </c>
      <c r="E969" s="13" t="inlineStr">
        <is>
          <t>미실행</t>
        </is>
      </c>
    </row>
    <row r="970">
      <c r="A970" s="13" t="inlineStr">
        <is>
          <t>화면</t>
        </is>
      </c>
      <c r="B970" s="13" t="inlineStr">
        <is>
          <t>REPORT-01</t>
        </is>
      </c>
      <c r="C970" s="13" t="inlineStr">
        <is>
          <t>TC-REPORT-01-10</t>
        </is>
      </c>
      <c r="D970" s="13" t="inlineStr">
        <is>
          <t>기능</t>
        </is>
      </c>
      <c r="E970" s="13" t="inlineStr">
        <is>
          <t>미실행</t>
        </is>
      </c>
    </row>
    <row r="971">
      <c r="A971" s="13" t="inlineStr">
        <is>
          <t>요건</t>
        </is>
      </c>
      <c r="B971" s="13" t="inlineStr">
        <is>
          <t>SC-08</t>
        </is>
      </c>
      <c r="C971" s="13" t="inlineStr">
        <is>
          <t>TC-REPORT-01-10</t>
        </is>
      </c>
      <c r="D971" s="13" t="inlineStr">
        <is>
          <t>기능</t>
        </is>
      </c>
      <c r="E971" s="13" t="inlineStr">
        <is>
          <t>미실행</t>
        </is>
      </c>
    </row>
    <row r="972">
      <c r="A972" s="13" t="inlineStr">
        <is>
          <t>요건</t>
        </is>
      </c>
      <c r="B972" s="13" t="inlineStr">
        <is>
          <t>V-9</t>
        </is>
      </c>
      <c r="C972" s="13" t="inlineStr">
        <is>
          <t>TC-REPORT-01-10</t>
        </is>
      </c>
      <c r="D972" s="13" t="inlineStr">
        <is>
          <t>기능</t>
        </is>
      </c>
      <c r="E972" s="13" t="inlineStr">
        <is>
          <t>미실행</t>
        </is>
      </c>
    </row>
    <row r="973">
      <c r="A973" s="13" t="inlineStr">
        <is>
          <t>화면</t>
        </is>
      </c>
      <c r="B973" s="13" t="inlineStr">
        <is>
          <t>REPORT-01</t>
        </is>
      </c>
      <c r="C973" s="13" t="inlineStr">
        <is>
          <t>TC-REPORT-01-11</t>
        </is>
      </c>
      <c r="D973" s="13" t="inlineStr">
        <is>
          <t>기능</t>
        </is>
      </c>
      <c r="E973" s="13" t="inlineStr">
        <is>
          <t>미실행</t>
        </is>
      </c>
    </row>
    <row r="974">
      <c r="A974" s="13" t="inlineStr">
        <is>
          <t>요건</t>
        </is>
      </c>
      <c r="B974" s="13" t="inlineStr">
        <is>
          <t>SC-08</t>
        </is>
      </c>
      <c r="C974" s="13" t="inlineStr">
        <is>
          <t>TC-REPORT-01-11</t>
        </is>
      </c>
      <c r="D974" s="13" t="inlineStr">
        <is>
          <t>기능</t>
        </is>
      </c>
      <c r="E974" s="13" t="inlineStr">
        <is>
          <t>미실행</t>
        </is>
      </c>
    </row>
    <row r="975">
      <c r="A975" s="13" t="inlineStr">
        <is>
          <t>요건</t>
        </is>
      </c>
      <c r="B975" s="13" t="inlineStr">
        <is>
          <t>V-6</t>
        </is>
      </c>
      <c r="C975" s="13" t="inlineStr">
        <is>
          <t>TC-REPORT-01-11</t>
        </is>
      </c>
      <c r="D975" s="13" t="inlineStr">
        <is>
          <t>기능</t>
        </is>
      </c>
      <c r="E975" s="13" t="inlineStr">
        <is>
          <t>미실행</t>
        </is>
      </c>
    </row>
    <row r="976">
      <c r="A976" s="13" t="inlineStr">
        <is>
          <t>화면</t>
        </is>
      </c>
      <c r="B976" s="13" t="inlineStr">
        <is>
          <t>REPORT-01</t>
        </is>
      </c>
      <c r="C976" s="13" t="inlineStr">
        <is>
          <t>TC-REPORT-01-12</t>
        </is>
      </c>
      <c r="D976" s="13" t="inlineStr">
        <is>
          <t>기능</t>
        </is>
      </c>
      <c r="E976" s="13" t="inlineStr">
        <is>
          <t>미실행</t>
        </is>
      </c>
    </row>
    <row r="977">
      <c r="A977" s="13" t="inlineStr">
        <is>
          <t>요건</t>
        </is>
      </c>
      <c r="B977" s="13" t="inlineStr">
        <is>
          <t>V-6</t>
        </is>
      </c>
      <c r="C977" s="13" t="inlineStr">
        <is>
          <t>TC-REPORT-01-12</t>
        </is>
      </c>
      <c r="D977" s="13" t="inlineStr">
        <is>
          <t>기능</t>
        </is>
      </c>
      <c r="E977" s="13" t="inlineStr">
        <is>
          <t>미실행</t>
        </is>
      </c>
    </row>
    <row r="978">
      <c r="A978" s="13" t="inlineStr">
        <is>
          <t>요건</t>
        </is>
      </c>
      <c r="B978" s="13" t="inlineStr">
        <is>
          <t>NFR-04</t>
        </is>
      </c>
      <c r="C978" s="13" t="inlineStr">
        <is>
          <t>TC-REPORT-01-12</t>
        </is>
      </c>
      <c r="D978" s="13" t="inlineStr">
        <is>
          <t>기능</t>
        </is>
      </c>
      <c r="E978" s="13" t="inlineStr">
        <is>
          <t>미실행</t>
        </is>
      </c>
    </row>
    <row r="979">
      <c r="A979" s="13" t="inlineStr">
        <is>
          <t>화면</t>
        </is>
      </c>
      <c r="B979" s="13" t="inlineStr">
        <is>
          <t>REPORT-01</t>
        </is>
      </c>
      <c r="C979" s="13" t="inlineStr">
        <is>
          <t>TC-REPORT-01-13</t>
        </is>
      </c>
      <c r="D979" s="13" t="inlineStr">
        <is>
          <t>기능</t>
        </is>
      </c>
      <c r="E979" s="13" t="inlineStr">
        <is>
          <t>미실행</t>
        </is>
      </c>
    </row>
    <row r="980">
      <c r="A980" s="13" t="inlineStr">
        <is>
          <t>요건</t>
        </is>
      </c>
      <c r="B980" s="13" t="inlineStr">
        <is>
          <t>SC-08</t>
        </is>
      </c>
      <c r="C980" s="13" t="inlineStr">
        <is>
          <t>TC-REPORT-01-13</t>
        </is>
      </c>
      <c r="D980" s="13" t="inlineStr">
        <is>
          <t>기능</t>
        </is>
      </c>
      <c r="E980" s="13" t="inlineStr">
        <is>
          <t>미실행</t>
        </is>
      </c>
    </row>
    <row r="981">
      <c r="A981" s="13" t="inlineStr">
        <is>
          <t>요건</t>
        </is>
      </c>
      <c r="B981" s="13" t="inlineStr">
        <is>
          <t>V-6</t>
        </is>
      </c>
      <c r="C981" s="13" t="inlineStr">
        <is>
          <t>TC-REPORT-01-13</t>
        </is>
      </c>
      <c r="D981" s="13" t="inlineStr">
        <is>
          <t>기능</t>
        </is>
      </c>
      <c r="E981" s="13" t="inlineStr">
        <is>
          <t>미실행</t>
        </is>
      </c>
    </row>
    <row r="982">
      <c r="A982" s="13" t="inlineStr">
        <is>
          <t>화면</t>
        </is>
      </c>
      <c r="B982" s="13" t="inlineStr">
        <is>
          <t>REPORT-01</t>
        </is>
      </c>
      <c r="C982" s="13" t="inlineStr">
        <is>
          <t>TC-REPORT-01-14</t>
        </is>
      </c>
      <c r="D982" s="13" t="inlineStr">
        <is>
          <t>접근성</t>
        </is>
      </c>
      <c r="E982" s="13" t="inlineStr">
        <is>
          <t>미실행</t>
        </is>
      </c>
    </row>
    <row r="983">
      <c r="A983" s="13" t="inlineStr">
        <is>
          <t>요건</t>
        </is>
      </c>
      <c r="B983" s="13" t="inlineStr">
        <is>
          <t>V-6</t>
        </is>
      </c>
      <c r="C983" s="13" t="inlineStr">
        <is>
          <t>TC-REPORT-01-14</t>
        </is>
      </c>
      <c r="D983" s="13" t="inlineStr">
        <is>
          <t>접근성</t>
        </is>
      </c>
      <c r="E983" s="13" t="inlineStr">
        <is>
          <t>미실행</t>
        </is>
      </c>
    </row>
    <row r="984">
      <c r="A984" s="13" t="inlineStr">
        <is>
          <t>요건</t>
        </is>
      </c>
      <c r="B984" s="13" t="inlineStr">
        <is>
          <t>AC-05</t>
        </is>
      </c>
      <c r="C984" s="13" t="inlineStr">
        <is>
          <t>TC-REPORT-01-14</t>
        </is>
      </c>
      <c r="D984" s="13" t="inlineStr">
        <is>
          <t>접근성</t>
        </is>
      </c>
      <c r="E984" s="13" t="inlineStr">
        <is>
          <t>미실행</t>
        </is>
      </c>
    </row>
    <row r="985">
      <c r="A985" s="13" t="inlineStr">
        <is>
          <t>화면</t>
        </is>
      </c>
      <c r="B985" s="13" t="inlineStr">
        <is>
          <t>REPORT-01</t>
        </is>
      </c>
      <c r="C985" s="13" t="inlineStr">
        <is>
          <t>TC-REPORT-01-15</t>
        </is>
      </c>
      <c r="D985" s="13" t="inlineStr">
        <is>
          <t>기능</t>
        </is>
      </c>
      <c r="E985" s="13" t="inlineStr">
        <is>
          <t>미실행</t>
        </is>
      </c>
    </row>
    <row r="986">
      <c r="A986" s="13" t="inlineStr">
        <is>
          <t>요건</t>
        </is>
      </c>
      <c r="B986" s="13" t="inlineStr">
        <is>
          <t>V-6</t>
        </is>
      </c>
      <c r="C986" s="13" t="inlineStr">
        <is>
          <t>TC-REPORT-01-15</t>
        </is>
      </c>
      <c r="D986" s="13" t="inlineStr">
        <is>
          <t>기능</t>
        </is>
      </c>
      <c r="E986" s="13" t="inlineStr">
        <is>
          <t>미실행</t>
        </is>
      </c>
    </row>
    <row r="987">
      <c r="A987" s="13" t="inlineStr">
        <is>
          <t>요건</t>
        </is>
      </c>
      <c r="B987" s="13" t="inlineStr">
        <is>
          <t>SC-08</t>
        </is>
      </c>
      <c r="C987" s="13" t="inlineStr">
        <is>
          <t>TC-REPORT-01-15</t>
        </is>
      </c>
      <c r="D987" s="13" t="inlineStr">
        <is>
          <t>기능</t>
        </is>
      </c>
      <c r="E987" s="13" t="inlineStr">
        <is>
          <t>미실행</t>
        </is>
      </c>
    </row>
    <row r="988">
      <c r="A988" s="13" t="inlineStr">
        <is>
          <t>화면</t>
        </is>
      </c>
      <c r="B988" s="13" t="inlineStr">
        <is>
          <t>REPORT-01</t>
        </is>
      </c>
      <c r="C988" s="13" t="inlineStr">
        <is>
          <t>TC-REPORT-01-16</t>
        </is>
      </c>
      <c r="D988" s="13" t="inlineStr">
        <is>
          <t>비기능</t>
        </is>
      </c>
      <c r="E988" s="13" t="inlineStr">
        <is>
          <t>보류</t>
        </is>
      </c>
    </row>
    <row r="989">
      <c r="A989" s="13" t="inlineStr">
        <is>
          <t>요건</t>
        </is>
      </c>
      <c r="B989" s="13" t="inlineStr">
        <is>
          <t>NFR-08</t>
        </is>
      </c>
      <c r="C989" s="13" t="inlineStr">
        <is>
          <t>TC-REPORT-01-16</t>
        </is>
      </c>
      <c r="D989" s="13" t="inlineStr">
        <is>
          <t>비기능</t>
        </is>
      </c>
      <c r="E989" s="13" t="inlineStr">
        <is>
          <t>보류</t>
        </is>
      </c>
    </row>
    <row r="990">
      <c r="A990" s="13" t="inlineStr">
        <is>
          <t>요건</t>
        </is>
      </c>
      <c r="B990" s="13" t="inlineStr">
        <is>
          <t>V-6</t>
        </is>
      </c>
      <c r="C990" s="13" t="inlineStr">
        <is>
          <t>TC-REPORT-01-16</t>
        </is>
      </c>
      <c r="D990" s="13" t="inlineStr">
        <is>
          <t>비기능</t>
        </is>
      </c>
      <c r="E990" s="13" t="inlineStr">
        <is>
          <t>보류</t>
        </is>
      </c>
    </row>
    <row r="991">
      <c r="A991" s="13" t="inlineStr">
        <is>
          <t>화면</t>
        </is>
      </c>
      <c r="B991" s="13" t="inlineStr">
        <is>
          <t>REPORT-01</t>
        </is>
      </c>
      <c r="C991" s="13" t="inlineStr">
        <is>
          <t>TC-REPORT-01-17</t>
        </is>
      </c>
      <c r="D991" s="13" t="inlineStr">
        <is>
          <t>접근성</t>
        </is>
      </c>
      <c r="E991" s="13" t="inlineStr">
        <is>
          <t>미실행</t>
        </is>
      </c>
    </row>
    <row r="992">
      <c r="A992" s="13" t="inlineStr">
        <is>
          <t>요건</t>
        </is>
      </c>
      <c r="B992" s="13" t="inlineStr">
        <is>
          <t>AC-05</t>
        </is>
      </c>
      <c r="C992" s="13" t="inlineStr">
        <is>
          <t>TC-REPORT-01-17</t>
        </is>
      </c>
      <c r="D992" s="13" t="inlineStr">
        <is>
          <t>접근성</t>
        </is>
      </c>
      <c r="E992" s="13" t="inlineStr">
        <is>
          <t>미실행</t>
        </is>
      </c>
    </row>
    <row r="993">
      <c r="A993" s="13" t="inlineStr">
        <is>
          <t>요건</t>
        </is>
      </c>
      <c r="B993" s="13" t="inlineStr">
        <is>
          <t>V-1</t>
        </is>
      </c>
      <c r="C993" s="13" t="inlineStr">
        <is>
          <t>TC-REPORT-01-17</t>
        </is>
      </c>
      <c r="D993" s="13" t="inlineStr">
        <is>
          <t>접근성</t>
        </is>
      </c>
      <c r="E993" s="13" t="inlineStr">
        <is>
          <t>미실행</t>
        </is>
      </c>
    </row>
    <row r="994">
      <c r="A994" s="13" t="inlineStr">
        <is>
          <t>화면</t>
        </is>
      </c>
      <c r="B994" s="13" t="inlineStr">
        <is>
          <t>REPORT-01</t>
        </is>
      </c>
      <c r="C994" s="13" t="inlineStr">
        <is>
          <t>TC-REPORT-01-18</t>
        </is>
      </c>
      <c r="D994" s="13" t="inlineStr">
        <is>
          <t>접근성</t>
        </is>
      </c>
      <c r="E994" s="13" t="inlineStr">
        <is>
          <t>보류</t>
        </is>
      </c>
    </row>
    <row r="995">
      <c r="A995" s="13" t="inlineStr">
        <is>
          <t>요건</t>
        </is>
      </c>
      <c r="B995" s="13" t="inlineStr">
        <is>
          <t>V-9</t>
        </is>
      </c>
      <c r="C995" s="13" t="inlineStr">
        <is>
          <t>TC-REPORT-01-18</t>
        </is>
      </c>
      <c r="D995" s="13" t="inlineStr">
        <is>
          <t>접근성</t>
        </is>
      </c>
      <c r="E995" s="13" t="inlineStr">
        <is>
          <t>보류</t>
        </is>
      </c>
    </row>
    <row r="996">
      <c r="A996" s="13" t="inlineStr">
        <is>
          <t>요건</t>
        </is>
      </c>
      <c r="B996" s="13" t="inlineStr">
        <is>
          <t>AC-05</t>
        </is>
      </c>
      <c r="C996" s="13" t="inlineStr">
        <is>
          <t>TC-REPORT-01-18</t>
        </is>
      </c>
      <c r="D996" s="13" t="inlineStr">
        <is>
          <t>접근성</t>
        </is>
      </c>
      <c r="E996" s="13" t="inlineStr">
        <is>
          <t>보류</t>
        </is>
      </c>
    </row>
    <row r="997">
      <c r="A997" s="13" t="inlineStr">
        <is>
          <t>화면</t>
        </is>
      </c>
      <c r="B997" s="13" t="inlineStr">
        <is>
          <t>REPORT-01</t>
        </is>
      </c>
      <c r="C997" s="13" t="inlineStr">
        <is>
          <t>TC-REPORT-01-19</t>
        </is>
      </c>
      <c r="D997" s="13" t="inlineStr">
        <is>
          <t>비기능</t>
        </is>
      </c>
      <c r="E997" s="13" t="inlineStr">
        <is>
          <t>미실행</t>
        </is>
      </c>
    </row>
    <row r="998">
      <c r="A998" s="13" t="inlineStr">
        <is>
          <t>요건</t>
        </is>
      </c>
      <c r="B998" s="13" t="inlineStr">
        <is>
          <t>AC-06</t>
        </is>
      </c>
      <c r="C998" s="13" t="inlineStr">
        <is>
          <t>TC-REPORT-01-19</t>
        </is>
      </c>
      <c r="D998" s="13" t="inlineStr">
        <is>
          <t>비기능</t>
        </is>
      </c>
      <c r="E998" s="13" t="inlineStr">
        <is>
          <t>미실행</t>
        </is>
      </c>
    </row>
    <row r="999">
      <c r="A999" s="13" t="inlineStr">
        <is>
          <t>요건</t>
        </is>
      </c>
      <c r="B999" s="13" t="inlineStr">
        <is>
          <t>T-4</t>
        </is>
      </c>
      <c r="C999" s="13" t="inlineStr">
        <is>
          <t>TC-REPORT-01-19</t>
        </is>
      </c>
      <c r="D999" s="13" t="inlineStr">
        <is>
          <t>비기능</t>
        </is>
      </c>
      <c r="E999" s="13" t="inlineStr">
        <is>
          <t>미실행</t>
        </is>
      </c>
    </row>
    <row r="1000">
      <c r="A1000" s="13" t="inlineStr">
        <is>
          <t>요건</t>
        </is>
      </c>
      <c r="B1000" s="13" t="inlineStr">
        <is>
          <t>NFR-02</t>
        </is>
      </c>
      <c r="C1000" s="13" t="inlineStr">
        <is>
          <t>TC-REPORT-01-19</t>
        </is>
      </c>
      <c r="D1000" s="13" t="inlineStr">
        <is>
          <t>비기능</t>
        </is>
      </c>
      <c r="E1000" s="13" t="inlineStr">
        <is>
          <t>미실행</t>
        </is>
      </c>
    </row>
    <row r="1001">
      <c r="A1001" s="13" t="inlineStr">
        <is>
          <t>요건</t>
        </is>
      </c>
      <c r="B1001" s="13" t="inlineStr">
        <is>
          <t>S-1</t>
        </is>
      </c>
      <c r="C1001" s="13" t="inlineStr">
        <is>
          <t>TC-REPORT-01-19</t>
        </is>
      </c>
      <c r="D1001" s="13" t="inlineStr">
        <is>
          <t>비기능</t>
        </is>
      </c>
      <c r="E1001" s="13" t="inlineStr">
        <is>
          <t>미실행</t>
        </is>
      </c>
    </row>
    <row r="1002">
      <c r="A1002" s="13" t="inlineStr">
        <is>
          <t>화면</t>
        </is>
      </c>
      <c r="B1002" s="13" t="inlineStr">
        <is>
          <t>REPORT-02</t>
        </is>
      </c>
      <c r="C1002" s="13" t="inlineStr">
        <is>
          <t>TC-REPORT-02-01</t>
        </is>
      </c>
      <c r="D1002" s="13" t="inlineStr">
        <is>
          <t>기능</t>
        </is>
      </c>
      <c r="E1002" s="13" t="inlineStr">
        <is>
          <t>미실행</t>
        </is>
      </c>
    </row>
    <row r="1003">
      <c r="A1003" s="13" t="inlineStr">
        <is>
          <t>요건</t>
        </is>
      </c>
      <c r="B1003" s="13" t="inlineStr">
        <is>
          <t>FR-R6</t>
        </is>
      </c>
      <c r="C1003" s="13" t="inlineStr">
        <is>
          <t>TC-REPORT-02-01</t>
        </is>
      </c>
      <c r="D1003" s="13" t="inlineStr">
        <is>
          <t>기능</t>
        </is>
      </c>
      <c r="E1003" s="13" t="inlineStr">
        <is>
          <t>미실행</t>
        </is>
      </c>
    </row>
    <row r="1004">
      <c r="A1004" s="13" t="inlineStr">
        <is>
          <t>요건</t>
        </is>
      </c>
      <c r="B1004" s="13" t="inlineStr">
        <is>
          <t>SC-08</t>
        </is>
      </c>
      <c r="C1004" s="13" t="inlineStr">
        <is>
          <t>TC-REPORT-02-01</t>
        </is>
      </c>
      <c r="D1004" s="13" t="inlineStr">
        <is>
          <t>기능</t>
        </is>
      </c>
      <c r="E1004" s="13" t="inlineStr">
        <is>
          <t>미실행</t>
        </is>
      </c>
    </row>
    <row r="1005">
      <c r="A1005" s="13" t="inlineStr">
        <is>
          <t>화면</t>
        </is>
      </c>
      <c r="B1005" s="13" t="inlineStr">
        <is>
          <t>REPORT-02</t>
        </is>
      </c>
      <c r="C1005" s="13" t="inlineStr">
        <is>
          <t>TC-REPORT-02-02</t>
        </is>
      </c>
      <c r="D1005" s="13" t="inlineStr">
        <is>
          <t>접근성</t>
        </is>
      </c>
      <c r="E1005" s="13" t="inlineStr">
        <is>
          <t>미실행</t>
        </is>
      </c>
    </row>
    <row r="1006">
      <c r="A1006" s="13" t="inlineStr">
        <is>
          <t>요건</t>
        </is>
      </c>
      <c r="B1006" s="13" t="inlineStr">
        <is>
          <t>V-3</t>
        </is>
      </c>
      <c r="C1006" s="13" t="inlineStr">
        <is>
          <t>TC-REPORT-02-02</t>
        </is>
      </c>
      <c r="D1006" s="13" t="inlineStr">
        <is>
          <t>접근성</t>
        </is>
      </c>
      <c r="E1006" s="13" t="inlineStr">
        <is>
          <t>미실행</t>
        </is>
      </c>
    </row>
    <row r="1007">
      <c r="A1007" s="13" t="inlineStr">
        <is>
          <t>요건</t>
        </is>
      </c>
      <c r="B1007" s="13" t="inlineStr">
        <is>
          <t>NFR-05</t>
        </is>
      </c>
      <c r="C1007" s="13" t="inlineStr">
        <is>
          <t>TC-REPORT-02-02</t>
        </is>
      </c>
      <c r="D1007" s="13" t="inlineStr">
        <is>
          <t>접근성</t>
        </is>
      </c>
      <c r="E1007" s="13" t="inlineStr">
        <is>
          <t>미실행</t>
        </is>
      </c>
    </row>
    <row r="1008">
      <c r="A1008" s="13" t="inlineStr">
        <is>
          <t>화면</t>
        </is>
      </c>
      <c r="B1008" s="13" t="inlineStr">
        <is>
          <t>REPORT-02</t>
        </is>
      </c>
      <c r="C1008" s="13" t="inlineStr">
        <is>
          <t>TC-REPORT-02-03</t>
        </is>
      </c>
      <c r="D1008" s="13" t="inlineStr">
        <is>
          <t>접근성</t>
        </is>
      </c>
      <c r="E1008" s="13" t="inlineStr">
        <is>
          <t>미실행</t>
        </is>
      </c>
    </row>
    <row r="1009">
      <c r="A1009" s="13" t="inlineStr">
        <is>
          <t>요건</t>
        </is>
      </c>
      <c r="B1009" s="13" t="inlineStr">
        <is>
          <t>AC-05</t>
        </is>
      </c>
      <c r="C1009" s="13" t="inlineStr">
        <is>
          <t>TC-REPORT-02-03</t>
        </is>
      </c>
      <c r="D1009" s="13" t="inlineStr">
        <is>
          <t>접근성</t>
        </is>
      </c>
      <c r="E1009" s="13" t="inlineStr">
        <is>
          <t>미실행</t>
        </is>
      </c>
    </row>
    <row r="1010">
      <c r="A1010" s="13" t="inlineStr">
        <is>
          <t>요건</t>
        </is>
      </c>
      <c r="B1010" s="13" t="inlineStr">
        <is>
          <t>V-3</t>
        </is>
      </c>
      <c r="C1010" s="13" t="inlineStr">
        <is>
          <t>TC-REPORT-02-03</t>
        </is>
      </c>
      <c r="D1010" s="13" t="inlineStr">
        <is>
          <t>접근성</t>
        </is>
      </c>
      <c r="E1010" s="13" t="inlineStr">
        <is>
          <t>미실행</t>
        </is>
      </c>
    </row>
    <row r="1011">
      <c r="A1011" s="13" t="inlineStr">
        <is>
          <t>화면</t>
        </is>
      </c>
      <c r="B1011" s="13" t="inlineStr">
        <is>
          <t>REPORT-02</t>
        </is>
      </c>
      <c r="C1011" s="13" t="inlineStr">
        <is>
          <t>TC-REPORT-02-04</t>
        </is>
      </c>
      <c r="D1011" s="13" t="inlineStr">
        <is>
          <t>기능</t>
        </is>
      </c>
      <c r="E1011" s="13" t="inlineStr">
        <is>
          <t>미실행</t>
        </is>
      </c>
    </row>
    <row r="1012">
      <c r="A1012" s="13" t="inlineStr">
        <is>
          <t>요건</t>
        </is>
      </c>
      <c r="B1012" s="13" t="inlineStr">
        <is>
          <t>E-3</t>
        </is>
      </c>
      <c r="C1012" s="13" t="inlineStr">
        <is>
          <t>TC-REPORT-02-04</t>
        </is>
      </c>
      <c r="D1012" s="13" t="inlineStr">
        <is>
          <t>기능</t>
        </is>
      </c>
      <c r="E1012" s="13" t="inlineStr">
        <is>
          <t>미실행</t>
        </is>
      </c>
    </row>
    <row r="1013">
      <c r="A1013" s="13" t="inlineStr">
        <is>
          <t>요건</t>
        </is>
      </c>
      <c r="B1013" s="13" t="inlineStr">
        <is>
          <t>FR-R6</t>
        </is>
      </c>
      <c r="C1013" s="13" t="inlineStr">
        <is>
          <t>TC-REPORT-02-04</t>
        </is>
      </c>
      <c r="D1013" s="13" t="inlineStr">
        <is>
          <t>기능</t>
        </is>
      </c>
      <c r="E1013" s="13" t="inlineStr">
        <is>
          <t>미실행</t>
        </is>
      </c>
    </row>
    <row r="1014">
      <c r="A1014" s="13" t="inlineStr">
        <is>
          <t>화면</t>
        </is>
      </c>
      <c r="B1014" s="13" t="inlineStr">
        <is>
          <t>REPORT-02</t>
        </is>
      </c>
      <c r="C1014" s="13" t="inlineStr">
        <is>
          <t>TC-REPORT-02-05</t>
        </is>
      </c>
      <c r="D1014" s="13" t="inlineStr">
        <is>
          <t>기능</t>
        </is>
      </c>
      <c r="E1014" s="13" t="inlineStr">
        <is>
          <t>미실행</t>
        </is>
      </c>
    </row>
    <row r="1015">
      <c r="A1015" s="13" t="inlineStr">
        <is>
          <t>요건</t>
        </is>
      </c>
      <c r="B1015" s="13" t="inlineStr">
        <is>
          <t>E-3</t>
        </is>
      </c>
      <c r="C1015" s="13" t="inlineStr">
        <is>
          <t>TC-REPORT-02-05</t>
        </is>
      </c>
      <c r="D1015" s="13" t="inlineStr">
        <is>
          <t>기능</t>
        </is>
      </c>
      <c r="E1015" s="13" t="inlineStr">
        <is>
          <t>미실행</t>
        </is>
      </c>
    </row>
    <row r="1016">
      <c r="A1016" s="13" t="inlineStr">
        <is>
          <t>화면</t>
        </is>
      </c>
      <c r="B1016" s="13" t="inlineStr">
        <is>
          <t>REPORT-02</t>
        </is>
      </c>
      <c r="C1016" s="13" t="inlineStr">
        <is>
          <t>TC-REPORT-02-06</t>
        </is>
      </c>
      <c r="D1016" s="13" t="inlineStr">
        <is>
          <t>접근성</t>
        </is>
      </c>
      <c r="E1016" s="13" t="inlineStr">
        <is>
          <t>미실행</t>
        </is>
      </c>
    </row>
    <row r="1017">
      <c r="A1017" s="13" t="inlineStr">
        <is>
          <t>요건</t>
        </is>
      </c>
      <c r="B1017" s="13" t="inlineStr">
        <is>
          <t>AC-05</t>
        </is>
      </c>
      <c r="C1017" s="13" t="inlineStr">
        <is>
          <t>TC-REPORT-02-06</t>
        </is>
      </c>
      <c r="D1017" s="13" t="inlineStr">
        <is>
          <t>접근성</t>
        </is>
      </c>
      <c r="E1017" s="13" t="inlineStr">
        <is>
          <t>미실행</t>
        </is>
      </c>
    </row>
    <row r="1018">
      <c r="A1018" s="13" t="inlineStr">
        <is>
          <t>요건</t>
        </is>
      </c>
      <c r="B1018" s="13" t="inlineStr">
        <is>
          <t>V-1</t>
        </is>
      </c>
      <c r="C1018" s="13" t="inlineStr">
        <is>
          <t>TC-REPORT-02-06</t>
        </is>
      </c>
      <c r="D1018" s="13" t="inlineStr">
        <is>
          <t>접근성</t>
        </is>
      </c>
      <c r="E1018" s="13" t="inlineStr">
        <is>
          <t>미실행</t>
        </is>
      </c>
    </row>
    <row r="1019">
      <c r="A1019" s="13" t="inlineStr">
        <is>
          <t>화면</t>
        </is>
      </c>
      <c r="B1019" s="13" t="inlineStr">
        <is>
          <t>REPORT-02</t>
        </is>
      </c>
      <c r="C1019" s="13" t="inlineStr">
        <is>
          <t>TC-REPORT-02-07</t>
        </is>
      </c>
      <c r="D1019" s="13" t="inlineStr">
        <is>
          <t>접근성</t>
        </is>
      </c>
      <c r="E1019" s="13" t="inlineStr">
        <is>
          <t>보류</t>
        </is>
      </c>
    </row>
    <row r="1020">
      <c r="A1020" s="13" t="inlineStr">
        <is>
          <t>요건</t>
        </is>
      </c>
      <c r="B1020" s="13" t="inlineStr">
        <is>
          <t>NFR-05</t>
        </is>
      </c>
      <c r="C1020" s="13" t="inlineStr">
        <is>
          <t>TC-REPORT-02-07</t>
        </is>
      </c>
      <c r="D1020" s="13" t="inlineStr">
        <is>
          <t>접근성</t>
        </is>
      </c>
      <c r="E1020" s="13" t="inlineStr">
        <is>
          <t>보류</t>
        </is>
      </c>
    </row>
    <row r="1021">
      <c r="A1021" s="13" t="inlineStr">
        <is>
          <t>화면</t>
        </is>
      </c>
      <c r="B1021" s="13" t="inlineStr">
        <is>
          <t>REPORT-02</t>
        </is>
      </c>
      <c r="C1021" s="13" t="inlineStr">
        <is>
          <t>TC-REPORT-02-08</t>
        </is>
      </c>
      <c r="D1021" s="13" t="inlineStr">
        <is>
          <t>기능</t>
        </is>
      </c>
      <c r="E1021" s="13" t="inlineStr">
        <is>
          <t>보류</t>
        </is>
      </c>
    </row>
    <row r="1022">
      <c r="A1022" s="13" t="inlineStr">
        <is>
          <t>요건</t>
        </is>
      </c>
      <c r="B1022" s="13" t="inlineStr">
        <is>
          <t>FR-R6</t>
        </is>
      </c>
      <c r="C1022" s="13" t="inlineStr">
        <is>
          <t>TC-REPORT-02-08</t>
        </is>
      </c>
      <c r="D1022" s="13" t="inlineStr">
        <is>
          <t>기능</t>
        </is>
      </c>
      <c r="E1022" s="13" t="inlineStr">
        <is>
          <t>보류</t>
        </is>
      </c>
    </row>
    <row r="1023">
      <c r="A1023" s="13" t="inlineStr">
        <is>
          <t>요건</t>
        </is>
      </c>
      <c r="B1023" s="13" t="inlineStr">
        <is>
          <t>V-3</t>
        </is>
      </c>
      <c r="C1023" s="13" t="inlineStr">
        <is>
          <t>TC-REPORT-02-08</t>
        </is>
      </c>
      <c r="D1023" s="13" t="inlineStr">
        <is>
          <t>기능</t>
        </is>
      </c>
      <c r="E1023" s="13" t="inlineStr">
        <is>
          <t>보류</t>
        </is>
      </c>
    </row>
    <row r="1024">
      <c r="A1024" s="13" t="inlineStr">
        <is>
          <t>화면</t>
        </is>
      </c>
      <c r="B1024" s="13" t="inlineStr">
        <is>
          <t>REPORT-02</t>
        </is>
      </c>
      <c r="C1024" s="13" t="inlineStr">
        <is>
          <t>TC-REPORT-02-09</t>
        </is>
      </c>
      <c r="D1024" s="13" t="inlineStr">
        <is>
          <t>기능</t>
        </is>
      </c>
      <c r="E1024" s="13" t="inlineStr">
        <is>
          <t>보류</t>
        </is>
      </c>
    </row>
    <row r="1025">
      <c r="A1025" s="13" t="inlineStr">
        <is>
          <t>요건</t>
        </is>
      </c>
      <c r="B1025" s="13" t="inlineStr">
        <is>
          <t>V-6</t>
        </is>
      </c>
      <c r="C1025" s="13" t="inlineStr">
        <is>
          <t>TC-REPORT-02-09</t>
        </is>
      </c>
      <c r="D1025" s="13" t="inlineStr">
        <is>
          <t>기능</t>
        </is>
      </c>
      <c r="E1025" s="13" t="inlineStr">
        <is>
          <t>보류</t>
        </is>
      </c>
    </row>
    <row r="1026">
      <c r="A1026" s="13" t="inlineStr">
        <is>
          <t>요건</t>
        </is>
      </c>
      <c r="B1026" s="13" t="inlineStr">
        <is>
          <t>V-4</t>
        </is>
      </c>
      <c r="C1026" s="13" t="inlineStr">
        <is>
          <t>TC-REPORT-02-09</t>
        </is>
      </c>
      <c r="D1026" s="13" t="inlineStr">
        <is>
          <t>기능</t>
        </is>
      </c>
      <c r="E1026" s="13" t="inlineStr">
        <is>
          <t>보류</t>
        </is>
      </c>
    </row>
    <row r="1027">
      <c r="A1027" s="13" t="inlineStr">
        <is>
          <t>화면</t>
        </is>
      </c>
      <c r="B1027" s="13" t="inlineStr">
        <is>
          <t>REPORT-02</t>
        </is>
      </c>
      <c r="C1027" s="13" t="inlineStr">
        <is>
          <t>TC-REPORT-02-10</t>
        </is>
      </c>
      <c r="D1027" s="13" t="inlineStr">
        <is>
          <t>기능</t>
        </is>
      </c>
      <c r="E1027" s="13" t="inlineStr">
        <is>
          <t>보류</t>
        </is>
      </c>
    </row>
    <row r="1028">
      <c r="A1028" s="13" t="inlineStr">
        <is>
          <t>요건</t>
        </is>
      </c>
      <c r="B1028" s="13" t="inlineStr">
        <is>
          <t>FR-A3</t>
        </is>
      </c>
      <c r="C1028" s="13" t="inlineStr">
        <is>
          <t>TC-REPORT-02-10</t>
        </is>
      </c>
      <c r="D1028" s="13" t="inlineStr">
        <is>
          <t>기능</t>
        </is>
      </c>
      <c r="E1028" s="13" t="inlineStr">
        <is>
          <t>보류</t>
        </is>
      </c>
    </row>
    <row r="1029">
      <c r="A1029" s="13" t="inlineStr">
        <is>
          <t>요건</t>
        </is>
      </c>
      <c r="B1029" s="13" t="inlineStr">
        <is>
          <t>E-4</t>
        </is>
      </c>
      <c r="C1029" s="13" t="inlineStr">
        <is>
          <t>TC-REPORT-02-10</t>
        </is>
      </c>
      <c r="D1029" s="13" t="inlineStr">
        <is>
          <t>기능</t>
        </is>
      </c>
      <c r="E1029" s="13" t="inlineStr">
        <is>
          <t>보류</t>
        </is>
      </c>
    </row>
    <row r="1030">
      <c r="A1030" s="13" t="inlineStr">
        <is>
          <t>화면</t>
        </is>
      </c>
      <c r="B1030" s="13" t="inlineStr">
        <is>
          <t>REPORT-02</t>
        </is>
      </c>
      <c r="C1030" s="13" t="inlineStr">
        <is>
          <t>TC-REPORT-02-11</t>
        </is>
      </c>
      <c r="D1030" s="13" t="inlineStr">
        <is>
          <t>기능</t>
        </is>
      </c>
      <c r="E1030" s="13" t="inlineStr">
        <is>
          <t>미실행</t>
        </is>
      </c>
    </row>
    <row r="1031">
      <c r="A1031" s="13" t="inlineStr">
        <is>
          <t>요건</t>
        </is>
      </c>
      <c r="B1031" s="13" t="inlineStr">
        <is>
          <t>V-6</t>
        </is>
      </c>
      <c r="C1031" s="13" t="inlineStr">
        <is>
          <t>TC-REPORT-02-11</t>
        </is>
      </c>
      <c r="D1031" s="13" t="inlineStr">
        <is>
          <t>기능</t>
        </is>
      </c>
      <c r="E1031" s="13" t="inlineStr">
        <is>
          <t>미실행</t>
        </is>
      </c>
    </row>
    <row r="1032">
      <c r="A1032" s="13" t="inlineStr">
        <is>
          <t>요건</t>
        </is>
      </c>
      <c r="B1032" s="13" t="inlineStr">
        <is>
          <t>NFR-04</t>
        </is>
      </c>
      <c r="C1032" s="13" t="inlineStr">
        <is>
          <t>TC-REPORT-02-11</t>
        </is>
      </c>
      <c r="D1032" s="13" t="inlineStr">
        <is>
          <t>기능</t>
        </is>
      </c>
      <c r="E1032" s="13" t="inlineStr">
        <is>
          <t>미실행</t>
        </is>
      </c>
    </row>
    <row r="1033">
      <c r="A1033" s="13" t="inlineStr">
        <is>
          <t>화면</t>
        </is>
      </c>
      <c r="B1033" s="13" t="inlineStr">
        <is>
          <t>REPORT-02</t>
        </is>
      </c>
      <c r="C1033" s="13" t="inlineStr">
        <is>
          <t>TC-REPORT-02-12</t>
        </is>
      </c>
      <c r="D1033" s="13" t="inlineStr">
        <is>
          <t>비기능</t>
        </is>
      </c>
      <c r="E1033" s="13" t="inlineStr">
        <is>
          <t>미실행</t>
        </is>
      </c>
    </row>
    <row r="1034">
      <c r="A1034" s="13" t="inlineStr">
        <is>
          <t>요건</t>
        </is>
      </c>
      <c r="B1034" s="13" t="inlineStr">
        <is>
          <t>AC-06</t>
        </is>
      </c>
      <c r="C1034" s="13" t="inlineStr">
        <is>
          <t>TC-REPORT-02-12</t>
        </is>
      </c>
      <c r="D1034" s="13" t="inlineStr">
        <is>
          <t>비기능</t>
        </is>
      </c>
      <c r="E1034" s="13" t="inlineStr">
        <is>
          <t>미실행</t>
        </is>
      </c>
    </row>
    <row r="1035">
      <c r="A1035" s="13" t="inlineStr">
        <is>
          <t>요건</t>
        </is>
      </c>
      <c r="B1035" s="13" t="inlineStr">
        <is>
          <t>T-4</t>
        </is>
      </c>
      <c r="C1035" s="13" t="inlineStr">
        <is>
          <t>TC-REPORT-02-12</t>
        </is>
      </c>
      <c r="D1035" s="13" t="inlineStr">
        <is>
          <t>비기능</t>
        </is>
      </c>
      <c r="E1035" s="13" t="inlineStr">
        <is>
          <t>미실행</t>
        </is>
      </c>
    </row>
    <row r="1036">
      <c r="A1036" s="13" t="inlineStr">
        <is>
          <t>요건</t>
        </is>
      </c>
      <c r="B1036" s="13" t="inlineStr">
        <is>
          <t>NFR-02</t>
        </is>
      </c>
      <c r="C1036" s="13" t="inlineStr">
        <is>
          <t>TC-REPORT-02-12</t>
        </is>
      </c>
      <c r="D1036" s="13" t="inlineStr">
        <is>
          <t>비기능</t>
        </is>
      </c>
      <c r="E1036" s="13" t="inlineStr">
        <is>
          <t>미실행</t>
        </is>
      </c>
    </row>
    <row r="1037">
      <c r="A1037" s="13" t="inlineStr">
        <is>
          <t>요건</t>
        </is>
      </c>
      <c r="B1037" s="13" t="inlineStr">
        <is>
          <t>S-2</t>
        </is>
      </c>
      <c r="C1037" s="13" t="inlineStr">
        <is>
          <t>TC-REPORT-02-12</t>
        </is>
      </c>
      <c r="D1037" s="13" t="inlineStr">
        <is>
          <t>비기능</t>
        </is>
      </c>
      <c r="E1037" s="13" t="inlineStr">
        <is>
          <t>미실행</t>
        </is>
      </c>
    </row>
    <row r="1038">
      <c r="A1038" s="13" t="inlineStr">
        <is>
          <t>화면</t>
        </is>
      </c>
      <c r="B1038" s="13" t="inlineStr">
        <is>
          <t>MY-01</t>
        </is>
      </c>
      <c r="C1038" s="13" t="inlineStr">
        <is>
          <t>TC-MY-01-01</t>
        </is>
      </c>
      <c r="D1038" s="13" t="inlineStr">
        <is>
          <t>기능</t>
        </is>
      </c>
      <c r="E1038" s="13" t="inlineStr">
        <is>
          <t>미실행</t>
        </is>
      </c>
    </row>
    <row r="1039">
      <c r="A1039" s="13" t="inlineStr">
        <is>
          <t>요건</t>
        </is>
      </c>
      <c r="B1039" s="13" t="inlineStr">
        <is>
          <t>V-1</t>
        </is>
      </c>
      <c r="C1039" s="13" t="inlineStr">
        <is>
          <t>TC-MY-01-01</t>
        </is>
      </c>
      <c r="D1039" s="13" t="inlineStr">
        <is>
          <t>기능</t>
        </is>
      </c>
      <c r="E1039" s="13" t="inlineStr">
        <is>
          <t>미실행</t>
        </is>
      </c>
    </row>
    <row r="1040">
      <c r="A1040" s="13" t="inlineStr">
        <is>
          <t>화면</t>
        </is>
      </c>
      <c r="B1040" s="13" t="inlineStr">
        <is>
          <t>MY-01</t>
        </is>
      </c>
      <c r="C1040" s="13" t="inlineStr">
        <is>
          <t>TC-MY-01-02</t>
        </is>
      </c>
      <c r="D1040" s="13" t="inlineStr">
        <is>
          <t>기능</t>
        </is>
      </c>
      <c r="E1040" s="13" t="inlineStr">
        <is>
          <t>미실행</t>
        </is>
      </c>
    </row>
    <row r="1041">
      <c r="A1041" s="13" t="inlineStr">
        <is>
          <t>요건</t>
        </is>
      </c>
      <c r="B1041" s="13" t="inlineStr">
        <is>
          <t>V-11</t>
        </is>
      </c>
      <c r="C1041" s="13" t="inlineStr">
        <is>
          <t>TC-MY-01-02</t>
        </is>
      </c>
      <c r="D1041" s="13" t="inlineStr">
        <is>
          <t>기능</t>
        </is>
      </c>
      <c r="E1041" s="13" t="inlineStr">
        <is>
          <t>미실행</t>
        </is>
      </c>
    </row>
    <row r="1042">
      <c r="A1042" s="13" t="inlineStr">
        <is>
          <t>화면</t>
        </is>
      </c>
      <c r="B1042" s="13" t="inlineStr">
        <is>
          <t>MY-01</t>
        </is>
      </c>
      <c r="C1042" s="13" t="inlineStr">
        <is>
          <t>TC-MY-01-03</t>
        </is>
      </c>
      <c r="D1042" s="13" t="inlineStr">
        <is>
          <t>기능</t>
        </is>
      </c>
      <c r="E1042" s="13" t="inlineStr">
        <is>
          <t>미실행</t>
        </is>
      </c>
    </row>
    <row r="1043">
      <c r="A1043" s="13" t="inlineStr">
        <is>
          <t>요건</t>
        </is>
      </c>
      <c r="B1043" s="13" t="inlineStr">
        <is>
          <t>FR-R2</t>
        </is>
      </c>
      <c r="C1043" s="13" t="inlineStr">
        <is>
          <t>TC-MY-01-03</t>
        </is>
      </c>
      <c r="D1043" s="13" t="inlineStr">
        <is>
          <t>기능</t>
        </is>
      </c>
      <c r="E1043" s="13" t="inlineStr">
        <is>
          <t>미실행</t>
        </is>
      </c>
    </row>
    <row r="1044">
      <c r="A1044" s="13" t="inlineStr">
        <is>
          <t>요건</t>
        </is>
      </c>
      <c r="B1044" s="13" t="inlineStr">
        <is>
          <t>T-6</t>
        </is>
      </c>
      <c r="C1044" s="13" t="inlineStr">
        <is>
          <t>TC-MY-01-03</t>
        </is>
      </c>
      <c r="D1044" s="13" t="inlineStr">
        <is>
          <t>기능</t>
        </is>
      </c>
      <c r="E1044" s="13" t="inlineStr">
        <is>
          <t>미실행</t>
        </is>
      </c>
    </row>
    <row r="1045">
      <c r="A1045" s="13" t="inlineStr">
        <is>
          <t>화면</t>
        </is>
      </c>
      <c r="B1045" s="13" t="inlineStr">
        <is>
          <t>MY-01</t>
        </is>
      </c>
      <c r="C1045" s="13" t="inlineStr">
        <is>
          <t>TC-MY-01-04</t>
        </is>
      </c>
      <c r="D1045" s="13" t="inlineStr">
        <is>
          <t>비기능</t>
        </is>
      </c>
      <c r="E1045" s="13" t="inlineStr">
        <is>
          <t>미실행</t>
        </is>
      </c>
    </row>
    <row r="1046">
      <c r="A1046" s="13" t="inlineStr">
        <is>
          <t>요건</t>
        </is>
      </c>
      <c r="B1046" s="13" t="inlineStr">
        <is>
          <t>T-6</t>
        </is>
      </c>
      <c r="C1046" s="13" t="inlineStr">
        <is>
          <t>TC-MY-01-04</t>
        </is>
      </c>
      <c r="D1046" s="13" t="inlineStr">
        <is>
          <t>비기능</t>
        </is>
      </c>
      <c r="E1046" s="13" t="inlineStr">
        <is>
          <t>미실행</t>
        </is>
      </c>
    </row>
    <row r="1047">
      <c r="A1047" s="13" t="inlineStr">
        <is>
          <t>요건</t>
        </is>
      </c>
      <c r="B1047" s="13" t="inlineStr">
        <is>
          <t>T-4</t>
        </is>
      </c>
      <c r="C1047" s="13" t="inlineStr">
        <is>
          <t>TC-MY-01-04</t>
        </is>
      </c>
      <c r="D1047" s="13" t="inlineStr">
        <is>
          <t>비기능</t>
        </is>
      </c>
      <c r="E1047" s="13" t="inlineStr">
        <is>
          <t>미실행</t>
        </is>
      </c>
    </row>
    <row r="1048">
      <c r="A1048" s="13" t="inlineStr">
        <is>
          <t>요건</t>
        </is>
      </c>
      <c r="B1048" s="13" t="inlineStr">
        <is>
          <t>AC-06</t>
        </is>
      </c>
      <c r="C1048" s="13" t="inlineStr">
        <is>
          <t>TC-MY-01-04</t>
        </is>
      </c>
      <c r="D1048" s="13" t="inlineStr">
        <is>
          <t>비기능</t>
        </is>
      </c>
      <c r="E1048" s="13" t="inlineStr">
        <is>
          <t>미실행</t>
        </is>
      </c>
    </row>
    <row r="1049">
      <c r="A1049" s="13" t="inlineStr">
        <is>
          <t>화면</t>
        </is>
      </c>
      <c r="B1049" s="13" t="inlineStr">
        <is>
          <t>MY-01</t>
        </is>
      </c>
      <c r="C1049" s="13" t="inlineStr">
        <is>
          <t>TC-MY-01-05</t>
        </is>
      </c>
      <c r="D1049" s="13" t="inlineStr">
        <is>
          <t>접근성</t>
        </is>
      </c>
      <c r="E1049" s="13" t="inlineStr">
        <is>
          <t>미실행</t>
        </is>
      </c>
    </row>
    <row r="1050">
      <c r="A1050" s="13" t="inlineStr">
        <is>
          <t>요건</t>
        </is>
      </c>
      <c r="B1050" s="13" t="inlineStr">
        <is>
          <t>V-6</t>
        </is>
      </c>
      <c r="C1050" s="13" t="inlineStr">
        <is>
          <t>TC-MY-01-05</t>
        </is>
      </c>
      <c r="D1050" s="13" t="inlineStr">
        <is>
          <t>접근성</t>
        </is>
      </c>
      <c r="E1050" s="13" t="inlineStr">
        <is>
          <t>미실행</t>
        </is>
      </c>
    </row>
    <row r="1051">
      <c r="A1051" s="13" t="inlineStr">
        <is>
          <t>요건</t>
        </is>
      </c>
      <c r="B1051" s="13" t="inlineStr">
        <is>
          <t>AC-05</t>
        </is>
      </c>
      <c r="C1051" s="13" t="inlineStr">
        <is>
          <t>TC-MY-01-05</t>
        </is>
      </c>
      <c r="D1051" s="13" t="inlineStr">
        <is>
          <t>접근성</t>
        </is>
      </c>
      <c r="E1051" s="13" t="inlineStr">
        <is>
          <t>미실행</t>
        </is>
      </c>
    </row>
    <row r="1052">
      <c r="A1052" s="13" t="inlineStr">
        <is>
          <t>화면</t>
        </is>
      </c>
      <c r="B1052" s="13" t="inlineStr">
        <is>
          <t>MY-01</t>
        </is>
      </c>
      <c r="C1052" s="13" t="inlineStr">
        <is>
          <t>TC-MY-01-06</t>
        </is>
      </c>
      <c r="D1052" s="13" t="inlineStr">
        <is>
          <t>비기능</t>
        </is>
      </c>
      <c r="E1052" s="13" t="inlineStr">
        <is>
          <t>미실행</t>
        </is>
      </c>
    </row>
    <row r="1053">
      <c r="A1053" s="13" t="inlineStr">
        <is>
          <t>요건</t>
        </is>
      </c>
      <c r="B1053" s="13" t="inlineStr">
        <is>
          <t>MB-1</t>
        </is>
      </c>
      <c r="C1053" s="13" t="inlineStr">
        <is>
          <t>TC-MY-01-06</t>
        </is>
      </c>
      <c r="D1053" s="13" t="inlineStr">
        <is>
          <t>비기능</t>
        </is>
      </c>
      <c r="E1053" s="13" t="inlineStr">
        <is>
          <t>미실행</t>
        </is>
      </c>
    </row>
    <row r="1054">
      <c r="A1054" s="13" t="inlineStr">
        <is>
          <t>요건</t>
        </is>
      </c>
      <c r="B1054" s="13" t="inlineStr">
        <is>
          <t>FR-R2</t>
        </is>
      </c>
      <c r="C1054" s="13" t="inlineStr">
        <is>
          <t>TC-MY-01-06</t>
        </is>
      </c>
      <c r="D1054" s="13" t="inlineStr">
        <is>
          <t>비기능</t>
        </is>
      </c>
      <c r="E1054" s="13" t="inlineStr">
        <is>
          <t>미실행</t>
        </is>
      </c>
    </row>
    <row r="1055">
      <c r="A1055" s="13" t="inlineStr">
        <is>
          <t>화면</t>
        </is>
      </c>
      <c r="B1055" s="13" t="inlineStr">
        <is>
          <t>MY-01</t>
        </is>
      </c>
      <c r="C1055" s="13" t="inlineStr">
        <is>
          <t>TC-MY-01-07</t>
        </is>
      </c>
      <c r="D1055" s="13" t="inlineStr">
        <is>
          <t>기능</t>
        </is>
      </c>
      <c r="E1055" s="13" t="inlineStr">
        <is>
          <t>미실행</t>
        </is>
      </c>
    </row>
    <row r="1056">
      <c r="A1056" s="13" t="inlineStr">
        <is>
          <t>요건</t>
        </is>
      </c>
      <c r="B1056" s="13" t="inlineStr">
        <is>
          <t>V-5</t>
        </is>
      </c>
      <c r="C1056" s="13" t="inlineStr">
        <is>
          <t>TC-MY-01-07</t>
        </is>
      </c>
      <c r="D1056" s="13" t="inlineStr">
        <is>
          <t>기능</t>
        </is>
      </c>
      <c r="E1056" s="13" t="inlineStr">
        <is>
          <t>미실행</t>
        </is>
      </c>
    </row>
    <row r="1057">
      <c r="A1057" s="13" t="inlineStr">
        <is>
          <t>화면</t>
        </is>
      </c>
      <c r="B1057" s="13" t="inlineStr">
        <is>
          <t>MY-01</t>
        </is>
      </c>
      <c r="C1057" s="13" t="inlineStr">
        <is>
          <t>TC-MY-01-08</t>
        </is>
      </c>
      <c r="D1057" s="13" t="inlineStr">
        <is>
          <t>기능</t>
        </is>
      </c>
      <c r="E1057" s="13" t="inlineStr">
        <is>
          <t>미실행</t>
        </is>
      </c>
    </row>
    <row r="1058">
      <c r="A1058" s="13" t="inlineStr">
        <is>
          <t>요건</t>
        </is>
      </c>
      <c r="B1058" s="13" t="inlineStr">
        <is>
          <t>V-1</t>
        </is>
      </c>
      <c r="C1058" s="13" t="inlineStr">
        <is>
          <t>TC-MY-01-08</t>
        </is>
      </c>
      <c r="D1058" s="13" t="inlineStr">
        <is>
          <t>기능</t>
        </is>
      </c>
      <c r="E1058" s="13" t="inlineStr">
        <is>
          <t>미실행</t>
        </is>
      </c>
    </row>
    <row r="1059">
      <c r="A1059" s="13" t="inlineStr">
        <is>
          <t>화면</t>
        </is>
      </c>
      <c r="B1059" s="13" t="inlineStr">
        <is>
          <t>MY-01</t>
        </is>
      </c>
      <c r="C1059" s="13" t="inlineStr">
        <is>
          <t>TC-MY-01-09</t>
        </is>
      </c>
      <c r="D1059" s="13" t="inlineStr">
        <is>
          <t>접근성</t>
        </is>
      </c>
      <c r="E1059" s="13" t="inlineStr">
        <is>
          <t>미실행</t>
        </is>
      </c>
    </row>
    <row r="1060">
      <c r="A1060" s="13" t="inlineStr">
        <is>
          <t>요건</t>
        </is>
      </c>
      <c r="B1060" s="13" t="inlineStr">
        <is>
          <t>NFR-04</t>
        </is>
      </c>
      <c r="C1060" s="13" t="inlineStr">
        <is>
          <t>TC-MY-01-09</t>
        </is>
      </c>
      <c r="D1060" s="13" t="inlineStr">
        <is>
          <t>접근성</t>
        </is>
      </c>
      <c r="E1060" s="13" t="inlineStr">
        <is>
          <t>미실행</t>
        </is>
      </c>
    </row>
    <row r="1061">
      <c r="A1061" s="13" t="inlineStr">
        <is>
          <t>요건</t>
        </is>
      </c>
      <c r="B1061" s="13" t="inlineStr">
        <is>
          <t>AC-05</t>
        </is>
      </c>
      <c r="C1061" s="13" t="inlineStr">
        <is>
          <t>TC-MY-01-09</t>
        </is>
      </c>
      <c r="D1061" s="13" t="inlineStr">
        <is>
          <t>접근성</t>
        </is>
      </c>
      <c r="E1061" s="13" t="inlineStr">
        <is>
          <t>미실행</t>
        </is>
      </c>
    </row>
    <row r="1062">
      <c r="A1062" s="13" t="inlineStr">
        <is>
          <t>화면</t>
        </is>
      </c>
      <c r="B1062" s="13" t="inlineStr">
        <is>
          <t>MY-01</t>
        </is>
      </c>
      <c r="C1062" s="13" t="inlineStr">
        <is>
          <t>TC-MY-01-10</t>
        </is>
      </c>
      <c r="D1062" s="13" t="inlineStr">
        <is>
          <t>기능</t>
        </is>
      </c>
      <c r="E1062" s="13" t="inlineStr">
        <is>
          <t>미실행</t>
        </is>
      </c>
    </row>
    <row r="1063">
      <c r="A1063" s="13" t="inlineStr">
        <is>
          <t>요건</t>
        </is>
      </c>
      <c r="B1063" s="13" t="inlineStr">
        <is>
          <t>V-6</t>
        </is>
      </c>
      <c r="C1063" s="13" t="inlineStr">
        <is>
          <t>TC-MY-01-10</t>
        </is>
      </c>
      <c r="D1063" s="13" t="inlineStr">
        <is>
          <t>기능</t>
        </is>
      </c>
      <c r="E1063" s="13" t="inlineStr">
        <is>
          <t>미실행</t>
        </is>
      </c>
    </row>
    <row r="1064">
      <c r="A1064" s="13" t="inlineStr">
        <is>
          <t>요건</t>
        </is>
      </c>
      <c r="B1064" s="13" t="inlineStr">
        <is>
          <t>NFR-04</t>
        </is>
      </c>
      <c r="C1064" s="13" t="inlineStr">
        <is>
          <t>TC-MY-01-10</t>
        </is>
      </c>
      <c r="D1064" s="13" t="inlineStr">
        <is>
          <t>기능</t>
        </is>
      </c>
      <c r="E1064" s="13" t="inlineStr">
        <is>
          <t>미실행</t>
        </is>
      </c>
    </row>
    <row r="1065">
      <c r="A1065" s="13" t="inlineStr">
        <is>
          <t>화면</t>
        </is>
      </c>
      <c r="B1065" s="13" t="inlineStr">
        <is>
          <t>MY-01</t>
        </is>
      </c>
      <c r="C1065" s="13" t="inlineStr">
        <is>
          <t>TC-MY-01-11</t>
        </is>
      </c>
      <c r="D1065" s="13" t="inlineStr">
        <is>
          <t>접근성</t>
        </is>
      </c>
      <c r="E1065" s="13" t="inlineStr">
        <is>
          <t>미실행</t>
        </is>
      </c>
    </row>
    <row r="1066">
      <c r="A1066" s="13" t="inlineStr">
        <is>
          <t>요건</t>
        </is>
      </c>
      <c r="B1066" s="13" t="inlineStr">
        <is>
          <t>AC-05</t>
        </is>
      </c>
      <c r="C1066" s="13" t="inlineStr">
        <is>
          <t>TC-MY-01-11</t>
        </is>
      </c>
      <c r="D1066" s="13" t="inlineStr">
        <is>
          <t>접근성</t>
        </is>
      </c>
      <c r="E1066" s="13" t="inlineStr">
        <is>
          <t>미실행</t>
        </is>
      </c>
    </row>
    <row r="1067">
      <c r="A1067" s="13" t="inlineStr">
        <is>
          <t>요건</t>
        </is>
      </c>
      <c r="B1067" s="13" t="inlineStr">
        <is>
          <t>T-6</t>
        </is>
      </c>
      <c r="C1067" s="13" t="inlineStr">
        <is>
          <t>TC-MY-01-11</t>
        </is>
      </c>
      <c r="D1067" s="13" t="inlineStr">
        <is>
          <t>접근성</t>
        </is>
      </c>
      <c r="E1067" s="13" t="inlineStr">
        <is>
          <t>미실행</t>
        </is>
      </c>
    </row>
    <row r="1068">
      <c r="A1068" s="13" t="inlineStr">
        <is>
          <t>화면</t>
        </is>
      </c>
      <c r="B1068" s="13" t="inlineStr">
        <is>
          <t>MY-01</t>
        </is>
      </c>
      <c r="C1068" s="13" t="inlineStr">
        <is>
          <t>TC-MY-01-12</t>
        </is>
      </c>
      <c r="D1068" s="13" t="inlineStr">
        <is>
          <t>접근성</t>
        </is>
      </c>
      <c r="E1068" s="13" t="inlineStr">
        <is>
          <t>미실행</t>
        </is>
      </c>
    </row>
    <row r="1069">
      <c r="A1069" s="13" t="inlineStr">
        <is>
          <t>요건</t>
        </is>
      </c>
      <c r="B1069" s="13" t="inlineStr">
        <is>
          <t>AC-05</t>
        </is>
      </c>
      <c r="C1069" s="13" t="inlineStr">
        <is>
          <t>TC-MY-01-12</t>
        </is>
      </c>
      <c r="D1069" s="13" t="inlineStr">
        <is>
          <t>접근성</t>
        </is>
      </c>
      <c r="E1069" s="13" t="inlineStr">
        <is>
          <t>미실행</t>
        </is>
      </c>
    </row>
    <row r="1070">
      <c r="A1070" s="13" t="inlineStr">
        <is>
          <t>요건</t>
        </is>
      </c>
      <c r="B1070" s="13" t="inlineStr">
        <is>
          <t>V-1</t>
        </is>
      </c>
      <c r="C1070" s="13" t="inlineStr">
        <is>
          <t>TC-MY-01-12</t>
        </is>
      </c>
      <c r="D1070" s="13" t="inlineStr">
        <is>
          <t>접근성</t>
        </is>
      </c>
      <c r="E1070" s="13" t="inlineStr">
        <is>
          <t>미실행</t>
        </is>
      </c>
    </row>
    <row r="1071">
      <c r="A1071" s="13" t="inlineStr">
        <is>
          <t>화면</t>
        </is>
      </c>
      <c r="B1071" s="13" t="inlineStr">
        <is>
          <t>MY-01</t>
        </is>
      </c>
      <c r="C1071" s="13" t="inlineStr">
        <is>
          <t>TC-MY-01-13</t>
        </is>
      </c>
      <c r="D1071" s="13" t="inlineStr">
        <is>
          <t>기능</t>
        </is>
      </c>
      <c r="E1071" s="13" t="inlineStr">
        <is>
          <t>미실행</t>
        </is>
      </c>
    </row>
    <row r="1072">
      <c r="A1072" s="13" t="inlineStr">
        <is>
          <t>요건</t>
        </is>
      </c>
      <c r="B1072" s="13" t="inlineStr">
        <is>
          <t>V-6</t>
        </is>
      </c>
      <c r="C1072" s="13" t="inlineStr">
        <is>
          <t>TC-MY-01-13</t>
        </is>
      </c>
      <c r="D1072" s="13" t="inlineStr">
        <is>
          <t>기능</t>
        </is>
      </c>
      <c r="E1072" s="13" t="inlineStr">
        <is>
          <t>미실행</t>
        </is>
      </c>
    </row>
    <row r="1073">
      <c r="A1073" s="13" t="inlineStr">
        <is>
          <t>화면</t>
        </is>
      </c>
      <c r="B1073" s="13" t="inlineStr">
        <is>
          <t>MY-01</t>
        </is>
      </c>
      <c r="C1073" s="13" t="inlineStr">
        <is>
          <t>TC-MY-01-14</t>
        </is>
      </c>
      <c r="D1073" s="13" t="inlineStr">
        <is>
          <t>접근성</t>
        </is>
      </c>
      <c r="E1073" s="13" t="inlineStr">
        <is>
          <t>보류</t>
        </is>
      </c>
    </row>
    <row r="1074">
      <c r="A1074" s="13" t="inlineStr">
        <is>
          <t>요건</t>
        </is>
      </c>
      <c r="B1074" s="13" t="inlineStr">
        <is>
          <t>AC-05</t>
        </is>
      </c>
      <c r="C1074" s="13" t="inlineStr">
        <is>
          <t>TC-MY-01-14</t>
        </is>
      </c>
      <c r="D1074" s="13" t="inlineStr">
        <is>
          <t>접근성</t>
        </is>
      </c>
      <c r="E1074" s="13" t="inlineStr">
        <is>
          <t>보류</t>
        </is>
      </c>
    </row>
    <row r="1075">
      <c r="A1075" s="13" t="inlineStr">
        <is>
          <t>요건</t>
        </is>
      </c>
      <c r="B1075" s="13" t="inlineStr">
        <is>
          <t>NFR-04</t>
        </is>
      </c>
      <c r="C1075" s="13" t="inlineStr">
        <is>
          <t>TC-MY-01-14</t>
        </is>
      </c>
      <c r="D1075" s="13" t="inlineStr">
        <is>
          <t>접근성</t>
        </is>
      </c>
      <c r="E1075" s="13" t="inlineStr">
        <is>
          <t>보류</t>
        </is>
      </c>
    </row>
    <row r="1076">
      <c r="A1076" s="13" t="inlineStr">
        <is>
          <t>화면</t>
        </is>
      </c>
      <c r="B1076" s="13" t="inlineStr">
        <is>
          <t>MY-01</t>
        </is>
      </c>
      <c r="C1076" s="13" t="inlineStr">
        <is>
          <t>TC-MY-01-15</t>
        </is>
      </c>
      <c r="D1076" s="13" t="inlineStr">
        <is>
          <t>시나리오</t>
        </is>
      </c>
      <c r="E1076" s="13" t="inlineStr">
        <is>
          <t>미실행</t>
        </is>
      </c>
    </row>
    <row r="1077">
      <c r="A1077" s="13" t="inlineStr">
        <is>
          <t>요건</t>
        </is>
      </c>
      <c r="B1077" s="13" t="inlineStr">
        <is>
          <t>SS-3</t>
        </is>
      </c>
      <c r="C1077" s="13" t="inlineStr">
        <is>
          <t>TC-MY-01-15</t>
        </is>
      </c>
      <c r="D1077" s="13" t="inlineStr">
        <is>
          <t>시나리오</t>
        </is>
      </c>
      <c r="E1077" s="13" t="inlineStr">
        <is>
          <t>미실행</t>
        </is>
      </c>
    </row>
    <row r="1078">
      <c r="A1078" s="13" t="inlineStr">
        <is>
          <t>요건</t>
        </is>
      </c>
      <c r="B1078" s="13" t="inlineStr">
        <is>
          <t>V-6</t>
        </is>
      </c>
      <c r="C1078" s="13" t="inlineStr">
        <is>
          <t>TC-MY-01-15</t>
        </is>
      </c>
      <c r="D1078" s="13" t="inlineStr">
        <is>
          <t>시나리오</t>
        </is>
      </c>
      <c r="E1078" s="13" t="inlineStr">
        <is>
          <t>미실행</t>
        </is>
      </c>
    </row>
    <row r="1079">
      <c r="A1079" s="13" t="inlineStr">
        <is>
          <t>화면</t>
        </is>
      </c>
      <c r="B1079" s="13" t="inlineStr">
        <is>
          <t>MY-01</t>
        </is>
      </c>
      <c r="C1079" s="13" t="inlineStr">
        <is>
          <t>TC-MY-01-16</t>
        </is>
      </c>
      <c r="D1079" s="13" t="inlineStr">
        <is>
          <t>기능</t>
        </is>
      </c>
      <c r="E1079" s="13" t="inlineStr">
        <is>
          <t>보류</t>
        </is>
      </c>
    </row>
    <row r="1080">
      <c r="A1080" s="13" t="inlineStr">
        <is>
          <t>요건</t>
        </is>
      </c>
      <c r="B1080" s="13" t="inlineStr">
        <is>
          <t>H-2</t>
        </is>
      </c>
      <c r="C1080" s="13" t="inlineStr">
        <is>
          <t>TC-MY-01-16</t>
        </is>
      </c>
      <c r="D1080" s="13" t="inlineStr">
        <is>
          <t>기능</t>
        </is>
      </c>
      <c r="E1080" s="13" t="inlineStr">
        <is>
          <t>보류</t>
        </is>
      </c>
    </row>
    <row r="1081">
      <c r="A1081" s="13" t="inlineStr">
        <is>
          <t>요건</t>
        </is>
      </c>
      <c r="B1081" s="13" t="inlineStr">
        <is>
          <t>MB-1</t>
        </is>
      </c>
      <c r="C1081" s="13" t="inlineStr">
        <is>
          <t>TC-MY-01-16</t>
        </is>
      </c>
      <c r="D1081" s="13" t="inlineStr">
        <is>
          <t>기능</t>
        </is>
      </c>
      <c r="E1081" s="13" t="inlineStr">
        <is>
          <t>보류</t>
        </is>
      </c>
    </row>
    <row r="1082">
      <c r="A1082" s="13" t="inlineStr">
        <is>
          <t>화면</t>
        </is>
      </c>
      <c r="B1082" s="13" t="inlineStr">
        <is>
          <t>MY-01</t>
        </is>
      </c>
      <c r="C1082" s="13" t="inlineStr">
        <is>
          <t>TC-MY-01-17</t>
        </is>
      </c>
      <c r="D1082" s="13" t="inlineStr">
        <is>
          <t>기능</t>
        </is>
      </c>
      <c r="E1082" s="13" t="inlineStr">
        <is>
          <t>보류</t>
        </is>
      </c>
    </row>
    <row r="1083">
      <c r="A1083" s="13" t="inlineStr">
        <is>
          <t>요건</t>
        </is>
      </c>
      <c r="B1083" s="13" t="inlineStr">
        <is>
          <t>L-8</t>
        </is>
      </c>
      <c r="C1083" s="13" t="inlineStr">
        <is>
          <t>TC-MY-01-17</t>
        </is>
      </c>
      <c r="D1083" s="13" t="inlineStr">
        <is>
          <t>기능</t>
        </is>
      </c>
      <c r="E1083" s="13" t="inlineStr">
        <is>
          <t>보류</t>
        </is>
      </c>
    </row>
    <row r="1084">
      <c r="A1084" s="13" t="inlineStr">
        <is>
          <t>요건</t>
        </is>
      </c>
      <c r="B1084" s="13" t="inlineStr">
        <is>
          <t>V-12</t>
        </is>
      </c>
      <c r="C1084" s="13" t="inlineStr">
        <is>
          <t>TC-MY-01-17</t>
        </is>
      </c>
      <c r="D1084" s="13" t="inlineStr">
        <is>
          <t>기능</t>
        </is>
      </c>
      <c r="E1084" s="13" t="inlineStr">
        <is>
          <t>보류</t>
        </is>
      </c>
    </row>
    <row r="1085">
      <c r="A1085" s="13" t="inlineStr">
        <is>
          <t>요건</t>
        </is>
      </c>
      <c r="B1085" s="13" t="inlineStr">
        <is>
          <t>L-5</t>
        </is>
      </c>
      <c r="C1085" s="13" t="inlineStr">
        <is>
          <t>TC-MY-01-17</t>
        </is>
      </c>
      <c r="D1085" s="13" t="inlineStr">
        <is>
          <t>기능</t>
        </is>
      </c>
      <c r="E1085" s="13" t="inlineStr">
        <is>
          <t>보류</t>
        </is>
      </c>
    </row>
    <row r="1086">
      <c r="A1086" s="13" t="inlineStr">
        <is>
          <t>화면</t>
        </is>
      </c>
      <c r="B1086" s="13" t="inlineStr">
        <is>
          <t>MY-01</t>
        </is>
      </c>
      <c r="C1086" s="13" t="inlineStr">
        <is>
          <t>TC-MY-01-18</t>
        </is>
      </c>
      <c r="D1086" s="13" t="inlineStr">
        <is>
          <t>대상외</t>
        </is>
      </c>
      <c r="E1086" s="13" t="inlineStr">
        <is>
          <t>미실행</t>
        </is>
      </c>
    </row>
    <row r="1087">
      <c r="A1087" s="13" t="inlineStr">
        <is>
          <t>요건</t>
        </is>
      </c>
      <c r="B1087" s="13" t="inlineStr">
        <is>
          <t>NFR-08</t>
        </is>
      </c>
      <c r="C1087" s="13" t="inlineStr">
        <is>
          <t>TC-MY-01-18</t>
        </is>
      </c>
      <c r="D1087" s="13" t="inlineStr">
        <is>
          <t>대상외</t>
        </is>
      </c>
      <c r="E1087" s="13" t="inlineStr">
        <is>
          <t>미실행</t>
        </is>
      </c>
    </row>
    <row r="1088">
      <c r="A1088" s="13" t="inlineStr">
        <is>
          <t>화면</t>
        </is>
      </c>
      <c r="B1088" s="13" t="inlineStr">
        <is>
          <t>MY-01</t>
        </is>
      </c>
      <c r="C1088" s="13" t="inlineStr">
        <is>
          <t>TC-MY-01-19</t>
        </is>
      </c>
      <c r="D1088" s="13" t="inlineStr">
        <is>
          <t>비기능</t>
        </is>
      </c>
      <c r="E1088" s="13" t="inlineStr">
        <is>
          <t>미실행</t>
        </is>
      </c>
    </row>
    <row r="1089">
      <c r="A1089" s="13" t="inlineStr">
        <is>
          <t>요건</t>
        </is>
      </c>
      <c r="B1089" s="13" t="inlineStr">
        <is>
          <t>AC-06</t>
        </is>
      </c>
      <c r="C1089" s="13" t="inlineStr">
        <is>
          <t>TC-MY-01-19</t>
        </is>
      </c>
      <c r="D1089" s="13" t="inlineStr">
        <is>
          <t>비기능</t>
        </is>
      </c>
      <c r="E1089" s="13" t="inlineStr">
        <is>
          <t>미실행</t>
        </is>
      </c>
    </row>
    <row r="1090">
      <c r="A1090" s="13" t="inlineStr">
        <is>
          <t>요건</t>
        </is>
      </c>
      <c r="B1090" s="13" t="inlineStr">
        <is>
          <t>T-4</t>
        </is>
      </c>
      <c r="C1090" s="13" t="inlineStr">
        <is>
          <t>TC-MY-01-19</t>
        </is>
      </c>
      <c r="D1090" s="13" t="inlineStr">
        <is>
          <t>비기능</t>
        </is>
      </c>
      <c r="E1090" s="13" t="inlineStr">
        <is>
          <t>미실행</t>
        </is>
      </c>
    </row>
    <row r="1091">
      <c r="A1091" s="13" t="inlineStr">
        <is>
          <t>요건</t>
        </is>
      </c>
      <c r="B1091" s="13" t="inlineStr">
        <is>
          <t>NFR-02</t>
        </is>
      </c>
      <c r="C1091" s="13" t="inlineStr">
        <is>
          <t>TC-MY-01-19</t>
        </is>
      </c>
      <c r="D1091" s="13" t="inlineStr">
        <is>
          <t>비기능</t>
        </is>
      </c>
      <c r="E1091" s="13" t="inlineStr">
        <is>
          <t>미실행</t>
        </is>
      </c>
    </row>
    <row r="1092">
      <c r="A1092" s="13" t="inlineStr">
        <is>
          <t>요건</t>
        </is>
      </c>
      <c r="B1092" s="13" t="inlineStr">
        <is>
          <t>S-1</t>
        </is>
      </c>
      <c r="C1092" s="13" t="inlineStr">
        <is>
          <t>TC-MY-01-19</t>
        </is>
      </c>
      <c r="D1092" s="13" t="inlineStr">
        <is>
          <t>비기능</t>
        </is>
      </c>
      <c r="E1092" s="13" t="inlineStr">
        <is>
          <t>미실행</t>
        </is>
      </c>
    </row>
    <row r="1093">
      <c r="A1093" s="13" t="inlineStr">
        <is>
          <t>요건</t>
        </is>
      </c>
      <c r="B1093" s="13" t="inlineStr">
        <is>
          <t>S-2</t>
        </is>
      </c>
      <c r="C1093" s="13" t="inlineStr">
        <is>
          <t>TC-MY-01-19</t>
        </is>
      </c>
      <c r="D1093" s="13" t="inlineStr">
        <is>
          <t>비기능</t>
        </is>
      </c>
      <c r="E1093" s="13" t="inlineStr">
        <is>
          <t>미실행</t>
        </is>
      </c>
    </row>
    <row r="1094">
      <c r="A1094" s="13" t="inlineStr">
        <is>
          <t>화면</t>
        </is>
      </c>
      <c r="B1094" s="13" t="inlineStr">
        <is>
          <t>AUTH-04</t>
        </is>
      </c>
      <c r="C1094" s="13" t="inlineStr">
        <is>
          <t>TC-AUTH-04-51</t>
        </is>
      </c>
      <c r="D1094" s="13" t="inlineStr">
        <is>
          <t>기능</t>
        </is>
      </c>
      <c r="E1094" s="13" t="inlineStr">
        <is>
          <t>미실행</t>
        </is>
      </c>
    </row>
    <row r="1095">
      <c r="A1095" s="13" t="inlineStr">
        <is>
          <t>요건</t>
        </is>
      </c>
      <c r="B1095" s="13" t="inlineStr">
        <is>
          <t>V-11</t>
        </is>
      </c>
      <c r="C1095" s="13" t="inlineStr">
        <is>
          <t>TC-AUTH-04-51</t>
        </is>
      </c>
      <c r="D1095" s="13" t="inlineStr">
        <is>
          <t>기능</t>
        </is>
      </c>
      <c r="E1095" s="13" t="inlineStr">
        <is>
          <t>미실행</t>
        </is>
      </c>
    </row>
    <row r="1096">
      <c r="A1096" s="13" t="inlineStr">
        <is>
          <t>요건</t>
        </is>
      </c>
      <c r="B1096" s="13" t="inlineStr">
        <is>
          <t>V-5</t>
        </is>
      </c>
      <c r="C1096" s="13" t="inlineStr">
        <is>
          <t>TC-AUTH-04-51</t>
        </is>
      </c>
      <c r="D1096" s="13" t="inlineStr">
        <is>
          <t>기능</t>
        </is>
      </c>
      <c r="E1096" s="13" t="inlineStr">
        <is>
          <t>미실행</t>
        </is>
      </c>
    </row>
    <row r="1097">
      <c r="A1097" s="13" t="inlineStr">
        <is>
          <t>화면</t>
        </is>
      </c>
      <c r="B1097" s="13" t="inlineStr">
        <is>
          <t>AUTH-04</t>
        </is>
      </c>
      <c r="C1097" s="13" t="inlineStr">
        <is>
          <t>TC-AUTH-04-52</t>
        </is>
      </c>
      <c r="D1097" s="13" t="inlineStr">
        <is>
          <t>기능</t>
        </is>
      </c>
      <c r="E1097" s="13" t="inlineStr">
        <is>
          <t>미실행</t>
        </is>
      </c>
    </row>
    <row r="1098">
      <c r="A1098" s="13" t="inlineStr">
        <is>
          <t>요건</t>
        </is>
      </c>
      <c r="B1098" s="13" t="inlineStr">
        <is>
          <t>NFR-04</t>
        </is>
      </c>
      <c r="C1098" s="13" t="inlineStr">
        <is>
          <t>TC-AUTH-04-52</t>
        </is>
      </c>
      <c r="D1098" s="13" t="inlineStr">
        <is>
          <t>기능</t>
        </is>
      </c>
      <c r="E1098" s="13" t="inlineStr">
        <is>
          <t>미실행</t>
        </is>
      </c>
    </row>
    <row r="1099">
      <c r="A1099" s="13" t="inlineStr">
        <is>
          <t>요건</t>
        </is>
      </c>
      <c r="B1099" s="13" t="inlineStr">
        <is>
          <t>V-11</t>
        </is>
      </c>
      <c r="C1099" s="13" t="inlineStr">
        <is>
          <t>TC-AUTH-04-52</t>
        </is>
      </c>
      <c r="D1099" s="13" t="inlineStr">
        <is>
          <t>기능</t>
        </is>
      </c>
      <c r="E1099" s="13" t="inlineStr">
        <is>
          <t>미실행</t>
        </is>
      </c>
    </row>
    <row r="1100">
      <c r="A1100" s="13" t="inlineStr">
        <is>
          <t>화면</t>
        </is>
      </c>
      <c r="B1100" s="13" t="inlineStr">
        <is>
          <t>AUTH-04</t>
        </is>
      </c>
      <c r="C1100" s="13" t="inlineStr">
        <is>
          <t>TC-AUTH-04-53</t>
        </is>
      </c>
      <c r="D1100" s="13" t="inlineStr">
        <is>
          <t>기능</t>
        </is>
      </c>
      <c r="E1100" s="13" t="inlineStr">
        <is>
          <t>미실행</t>
        </is>
      </c>
    </row>
    <row r="1101">
      <c r="A1101" s="13" t="inlineStr">
        <is>
          <t>요건</t>
        </is>
      </c>
      <c r="B1101" s="13" t="inlineStr">
        <is>
          <t>V-11</t>
        </is>
      </c>
      <c r="C1101" s="13" t="inlineStr">
        <is>
          <t>TC-AUTH-04-53</t>
        </is>
      </c>
      <c r="D1101" s="13" t="inlineStr">
        <is>
          <t>기능</t>
        </is>
      </c>
      <c r="E1101" s="13" t="inlineStr">
        <is>
          <t>미실행</t>
        </is>
      </c>
    </row>
    <row r="1102">
      <c r="A1102" s="13" t="inlineStr">
        <is>
          <t>요건</t>
        </is>
      </c>
      <c r="B1102" s="13" t="inlineStr">
        <is>
          <t>V-6</t>
        </is>
      </c>
      <c r="C1102" s="13" t="inlineStr">
        <is>
          <t>TC-AUTH-04-53</t>
        </is>
      </c>
      <c r="D1102" s="13" t="inlineStr">
        <is>
          <t>기능</t>
        </is>
      </c>
      <c r="E1102" s="13" t="inlineStr">
        <is>
          <t>미실행</t>
        </is>
      </c>
    </row>
    <row r="1103">
      <c r="A1103" s="13" t="inlineStr">
        <is>
          <t>화면</t>
        </is>
      </c>
      <c r="B1103" s="13" t="inlineStr">
        <is>
          <t>AUTH-04</t>
        </is>
      </c>
      <c r="C1103" s="13" t="inlineStr">
        <is>
          <t>TC-AUTH-04-54</t>
        </is>
      </c>
      <c r="D1103" s="13" t="inlineStr">
        <is>
          <t>기능</t>
        </is>
      </c>
      <c r="E1103" s="13" t="inlineStr">
        <is>
          <t>미실행</t>
        </is>
      </c>
    </row>
    <row r="1104">
      <c r="A1104" s="13" t="inlineStr">
        <is>
          <t>요건</t>
        </is>
      </c>
      <c r="B1104" s="13" t="inlineStr">
        <is>
          <t>NFR-04</t>
        </is>
      </c>
      <c r="C1104" s="13" t="inlineStr">
        <is>
          <t>TC-AUTH-04-54</t>
        </is>
      </c>
      <c r="D1104" s="13" t="inlineStr">
        <is>
          <t>기능</t>
        </is>
      </c>
      <c r="E1104" s="13" t="inlineStr">
        <is>
          <t>미실행</t>
        </is>
      </c>
    </row>
    <row r="1105">
      <c r="A1105" s="13" t="inlineStr">
        <is>
          <t>요건</t>
        </is>
      </c>
      <c r="B1105" s="13" t="inlineStr">
        <is>
          <t>V-11</t>
        </is>
      </c>
      <c r="C1105" s="13" t="inlineStr">
        <is>
          <t>TC-AUTH-04-54</t>
        </is>
      </c>
      <c r="D1105" s="13" t="inlineStr">
        <is>
          <t>기능</t>
        </is>
      </c>
      <c r="E1105" s="13" t="inlineStr">
        <is>
          <t>미실행</t>
        </is>
      </c>
    </row>
    <row r="1106">
      <c r="A1106" s="13" t="inlineStr">
        <is>
          <t>화면</t>
        </is>
      </c>
      <c r="B1106" s="13" t="inlineStr">
        <is>
          <t>AUTH-04</t>
        </is>
      </c>
      <c r="C1106" s="13" t="inlineStr">
        <is>
          <t>TC-AUTH-04-55</t>
        </is>
      </c>
      <c r="D1106" s="13" t="inlineStr">
        <is>
          <t>기능</t>
        </is>
      </c>
      <c r="E1106" s="13" t="inlineStr">
        <is>
          <t>보류</t>
        </is>
      </c>
    </row>
    <row r="1107">
      <c r="A1107" s="13" t="inlineStr">
        <is>
          <t>요건</t>
        </is>
      </c>
      <c r="B1107" s="13" t="inlineStr">
        <is>
          <t>V-3</t>
        </is>
      </c>
      <c r="C1107" s="13" t="inlineStr">
        <is>
          <t>TC-AUTH-04-55</t>
        </is>
      </c>
      <c r="D1107" s="13" t="inlineStr">
        <is>
          <t>기능</t>
        </is>
      </c>
      <c r="E1107" s="13" t="inlineStr">
        <is>
          <t>보류</t>
        </is>
      </c>
    </row>
    <row r="1108">
      <c r="A1108" s="13" t="inlineStr">
        <is>
          <t>요건</t>
        </is>
      </c>
      <c r="B1108" s="13" t="inlineStr">
        <is>
          <t>AC-05</t>
        </is>
      </c>
      <c r="C1108" s="13" t="inlineStr">
        <is>
          <t>TC-AUTH-04-55</t>
        </is>
      </c>
      <c r="D1108" s="13" t="inlineStr">
        <is>
          <t>기능</t>
        </is>
      </c>
      <c r="E1108" s="13" t="inlineStr">
        <is>
          <t>보류</t>
        </is>
      </c>
    </row>
    <row r="1109">
      <c r="A1109" s="13" t="inlineStr">
        <is>
          <t>화면</t>
        </is>
      </c>
      <c r="B1109" s="13" t="inlineStr">
        <is>
          <t>AUTH-04</t>
        </is>
      </c>
      <c r="C1109" s="13" t="inlineStr">
        <is>
          <t>TC-AUTH-04-56</t>
        </is>
      </c>
      <c r="D1109" s="13" t="inlineStr">
        <is>
          <t>접근성</t>
        </is>
      </c>
      <c r="E1109" s="13" t="inlineStr">
        <is>
          <t>미실행</t>
        </is>
      </c>
    </row>
    <row r="1110">
      <c r="A1110" s="13" t="inlineStr">
        <is>
          <t>화면</t>
        </is>
      </c>
      <c r="B1110" s="13" t="inlineStr">
        <is>
          <t>MY-01</t>
        </is>
      </c>
      <c r="C1110" s="13" t="inlineStr">
        <is>
          <t>TC-AUTH-04-56</t>
        </is>
      </c>
      <c r="D1110" s="13" t="inlineStr">
        <is>
          <t>접근성</t>
        </is>
      </c>
      <c r="E1110" s="13" t="inlineStr">
        <is>
          <t>미실행</t>
        </is>
      </c>
    </row>
    <row r="1111">
      <c r="A1111" s="13" t="inlineStr">
        <is>
          <t>요건</t>
        </is>
      </c>
      <c r="B1111" s="13" t="inlineStr">
        <is>
          <t>V-6</t>
        </is>
      </c>
      <c r="C1111" s="13" t="inlineStr">
        <is>
          <t>TC-AUTH-04-56</t>
        </is>
      </c>
      <c r="D1111" s="13" t="inlineStr">
        <is>
          <t>접근성</t>
        </is>
      </c>
      <c r="E1111" s="13" t="inlineStr">
        <is>
          <t>미실행</t>
        </is>
      </c>
    </row>
    <row r="1112">
      <c r="A1112" s="13" t="inlineStr">
        <is>
          <t>요건</t>
        </is>
      </c>
      <c r="B1112" s="13" t="inlineStr">
        <is>
          <t>AC-05</t>
        </is>
      </c>
      <c r="C1112" s="13" t="inlineStr">
        <is>
          <t>TC-AUTH-04-56</t>
        </is>
      </c>
      <c r="D1112" s="13" t="inlineStr">
        <is>
          <t>접근성</t>
        </is>
      </c>
      <c r="E1112" s="13" t="inlineStr">
        <is>
          <t>미실행</t>
        </is>
      </c>
    </row>
    <row r="1113">
      <c r="A1113" s="13" t="inlineStr">
        <is>
          <t>화면</t>
        </is>
      </c>
      <c r="B1113" s="13" t="inlineStr">
        <is>
          <t>AUTH-04</t>
        </is>
      </c>
      <c r="C1113" s="13" t="inlineStr">
        <is>
          <t>TC-AUTH-04-57</t>
        </is>
      </c>
      <c r="D1113" s="13" t="inlineStr">
        <is>
          <t>접근성</t>
        </is>
      </c>
      <c r="E1113" s="13" t="inlineStr">
        <is>
          <t>미실행</t>
        </is>
      </c>
    </row>
    <row r="1114">
      <c r="A1114" s="13" t="inlineStr">
        <is>
          <t>요건</t>
        </is>
      </c>
      <c r="B1114" s="13" t="inlineStr">
        <is>
          <t>NFR-04</t>
        </is>
      </c>
      <c r="C1114" s="13" t="inlineStr">
        <is>
          <t>TC-AUTH-04-57</t>
        </is>
      </c>
      <c r="D1114" s="13" t="inlineStr">
        <is>
          <t>접근성</t>
        </is>
      </c>
      <c r="E1114" s="13" t="inlineStr">
        <is>
          <t>미실행</t>
        </is>
      </c>
    </row>
    <row r="1115">
      <c r="A1115" s="13" t="inlineStr">
        <is>
          <t>요건</t>
        </is>
      </c>
      <c r="B1115" s="13" t="inlineStr">
        <is>
          <t>AC-05</t>
        </is>
      </c>
      <c r="C1115" s="13" t="inlineStr">
        <is>
          <t>TC-AUTH-04-57</t>
        </is>
      </c>
      <c r="D1115" s="13" t="inlineStr">
        <is>
          <t>접근성</t>
        </is>
      </c>
      <c r="E1115" s="13" t="inlineStr">
        <is>
          <t>미실행</t>
        </is>
      </c>
    </row>
    <row r="1116">
      <c r="A1116" s="13" t="inlineStr">
        <is>
          <t>화면</t>
        </is>
      </c>
      <c r="B1116" s="13" t="inlineStr">
        <is>
          <t>REPORT-03</t>
        </is>
      </c>
      <c r="C1116" s="13" t="inlineStr">
        <is>
          <t>TC-REPORT-03-01</t>
        </is>
      </c>
      <c r="D1116" s="13" t="inlineStr">
        <is>
          <t>기능</t>
        </is>
      </c>
      <c r="E1116" s="13" t="inlineStr">
        <is>
          <t>미실행</t>
        </is>
      </c>
    </row>
    <row r="1117">
      <c r="A1117" s="13" t="inlineStr">
        <is>
          <t>요건</t>
        </is>
      </c>
      <c r="B1117" s="13" t="inlineStr">
        <is>
          <t>FR-R5</t>
        </is>
      </c>
      <c r="C1117" s="13" t="inlineStr">
        <is>
          <t>TC-REPORT-03-01</t>
        </is>
      </c>
      <c r="D1117" s="13" t="inlineStr">
        <is>
          <t>기능</t>
        </is>
      </c>
      <c r="E1117" s="13" t="inlineStr">
        <is>
          <t>미실행</t>
        </is>
      </c>
    </row>
    <row r="1118">
      <c r="A1118" s="13" t="inlineStr">
        <is>
          <t>화면</t>
        </is>
      </c>
      <c r="B1118" s="13" t="inlineStr">
        <is>
          <t>REPORT-03</t>
        </is>
      </c>
      <c r="C1118" s="13" t="inlineStr">
        <is>
          <t>TC-REPORT-03-02</t>
        </is>
      </c>
      <c r="D1118" s="13" t="inlineStr">
        <is>
          <t>접근성</t>
        </is>
      </c>
      <c r="E1118" s="13" t="inlineStr">
        <is>
          <t>미실행</t>
        </is>
      </c>
    </row>
    <row r="1119">
      <c r="A1119" s="13" t="inlineStr">
        <is>
          <t>요건</t>
        </is>
      </c>
      <c r="B1119" s="13" t="inlineStr">
        <is>
          <t>NFR-05</t>
        </is>
      </c>
      <c r="C1119" s="13" t="inlineStr">
        <is>
          <t>TC-REPORT-03-02</t>
        </is>
      </c>
      <c r="D1119" s="13" t="inlineStr">
        <is>
          <t>접근성</t>
        </is>
      </c>
      <c r="E1119" s="13" t="inlineStr">
        <is>
          <t>미실행</t>
        </is>
      </c>
    </row>
    <row r="1120">
      <c r="A1120" s="13" t="inlineStr">
        <is>
          <t>요건</t>
        </is>
      </c>
      <c r="B1120" s="13" t="inlineStr">
        <is>
          <t>AC-05</t>
        </is>
      </c>
      <c r="C1120" s="13" t="inlineStr">
        <is>
          <t>TC-REPORT-03-02</t>
        </is>
      </c>
      <c r="D1120" s="13" t="inlineStr">
        <is>
          <t>접근성</t>
        </is>
      </c>
      <c r="E1120" s="13" t="inlineStr">
        <is>
          <t>미실행</t>
        </is>
      </c>
    </row>
    <row r="1121">
      <c r="A1121" s="13" t="inlineStr">
        <is>
          <t>화면</t>
        </is>
      </c>
      <c r="B1121" s="13" t="inlineStr">
        <is>
          <t>REPORT-03</t>
        </is>
      </c>
      <c r="C1121" s="13" t="inlineStr">
        <is>
          <t>TC-REPORT-03-03</t>
        </is>
      </c>
      <c r="D1121" s="13" t="inlineStr">
        <is>
          <t>기능</t>
        </is>
      </c>
      <c r="E1121" s="13" t="inlineStr">
        <is>
          <t>미실행</t>
        </is>
      </c>
    </row>
    <row r="1122">
      <c r="A1122" s="13" t="inlineStr">
        <is>
          <t>요건</t>
        </is>
      </c>
      <c r="B1122" s="13" t="inlineStr">
        <is>
          <t>FR-R5</t>
        </is>
      </c>
      <c r="C1122" s="13" t="inlineStr">
        <is>
          <t>TC-REPORT-03-03</t>
        </is>
      </c>
      <c r="D1122" s="13" t="inlineStr">
        <is>
          <t>기능</t>
        </is>
      </c>
      <c r="E1122" s="13" t="inlineStr">
        <is>
          <t>미실행</t>
        </is>
      </c>
    </row>
    <row r="1123">
      <c r="A1123" s="13" t="inlineStr">
        <is>
          <t>화면</t>
        </is>
      </c>
      <c r="B1123" s="13" t="inlineStr">
        <is>
          <t>REPORT-03</t>
        </is>
      </c>
      <c r="C1123" s="13" t="inlineStr">
        <is>
          <t>TC-REPORT-03-04</t>
        </is>
      </c>
      <c r="D1123" s="13" t="inlineStr">
        <is>
          <t>접근성</t>
        </is>
      </c>
      <c r="E1123" s="13" t="inlineStr">
        <is>
          <t>미실행</t>
        </is>
      </c>
    </row>
    <row r="1124">
      <c r="A1124" s="13" t="inlineStr">
        <is>
          <t>요건</t>
        </is>
      </c>
      <c r="B1124" s="13" t="inlineStr">
        <is>
          <t>V-3</t>
        </is>
      </c>
      <c r="C1124" s="13" t="inlineStr">
        <is>
          <t>TC-REPORT-03-04</t>
        </is>
      </c>
      <c r="D1124" s="13" t="inlineStr">
        <is>
          <t>접근성</t>
        </is>
      </c>
      <c r="E1124" s="13" t="inlineStr">
        <is>
          <t>미실행</t>
        </is>
      </c>
    </row>
    <row r="1125">
      <c r="A1125" s="13" t="inlineStr">
        <is>
          <t>요건</t>
        </is>
      </c>
      <c r="B1125" s="13" t="inlineStr">
        <is>
          <t>AC-05</t>
        </is>
      </c>
      <c r="C1125" s="13" t="inlineStr">
        <is>
          <t>TC-REPORT-03-04</t>
        </is>
      </c>
      <c r="D1125" s="13" t="inlineStr">
        <is>
          <t>접근성</t>
        </is>
      </c>
      <c r="E1125" s="13" t="inlineStr">
        <is>
          <t>미실행</t>
        </is>
      </c>
    </row>
    <row r="1126">
      <c r="A1126" s="13" t="inlineStr">
        <is>
          <t>화면</t>
        </is>
      </c>
      <c r="B1126" s="13" t="inlineStr">
        <is>
          <t>REPORT-03</t>
        </is>
      </c>
      <c r="C1126" s="13" t="inlineStr">
        <is>
          <t>TC-REPORT-03-05</t>
        </is>
      </c>
      <c r="D1126" s="13" t="inlineStr">
        <is>
          <t>기능</t>
        </is>
      </c>
      <c r="E1126" s="13" t="inlineStr">
        <is>
          <t>보류</t>
        </is>
      </c>
    </row>
    <row r="1127">
      <c r="A1127" s="13" t="inlineStr">
        <is>
          <t>요건</t>
        </is>
      </c>
      <c r="B1127" s="13" t="inlineStr">
        <is>
          <t>FR-R5</t>
        </is>
      </c>
      <c r="C1127" s="13" t="inlineStr">
        <is>
          <t>TC-REPORT-03-05</t>
        </is>
      </c>
      <c r="D1127" s="13" t="inlineStr">
        <is>
          <t>기능</t>
        </is>
      </c>
      <c r="E1127" s="13" t="inlineStr">
        <is>
          <t>보류</t>
        </is>
      </c>
    </row>
    <row r="1128">
      <c r="A1128" s="13" t="inlineStr">
        <is>
          <t>화면</t>
        </is>
      </c>
      <c r="B1128" s="13" t="inlineStr">
        <is>
          <t>REPORT-03</t>
        </is>
      </c>
      <c r="C1128" s="13" t="inlineStr">
        <is>
          <t>TC-REPORT-03-06</t>
        </is>
      </c>
      <c r="D1128" s="13" t="inlineStr">
        <is>
          <t>비기능</t>
        </is>
      </c>
      <c r="E1128" s="13" t="inlineStr">
        <is>
          <t>미실행</t>
        </is>
      </c>
    </row>
    <row r="1129">
      <c r="A1129" s="13" t="inlineStr">
        <is>
          <t>요건</t>
        </is>
      </c>
      <c r="B1129" s="13" t="inlineStr">
        <is>
          <t>E-4</t>
        </is>
      </c>
      <c r="C1129" s="13" t="inlineStr">
        <is>
          <t>TC-REPORT-03-06</t>
        </is>
      </c>
      <c r="D1129" s="13" t="inlineStr">
        <is>
          <t>비기능</t>
        </is>
      </c>
      <c r="E1129" s="13" t="inlineStr">
        <is>
          <t>미실행</t>
        </is>
      </c>
    </row>
    <row r="1130">
      <c r="A1130" s="13" t="inlineStr">
        <is>
          <t>요건</t>
        </is>
      </c>
      <c r="B1130" s="13" t="inlineStr">
        <is>
          <t>E-5</t>
        </is>
      </c>
      <c r="C1130" s="13" t="inlineStr">
        <is>
          <t>TC-REPORT-03-06</t>
        </is>
      </c>
      <c r="D1130" s="13" t="inlineStr">
        <is>
          <t>비기능</t>
        </is>
      </c>
      <c r="E1130" s="13" t="inlineStr">
        <is>
          <t>미실행</t>
        </is>
      </c>
    </row>
    <row r="1131">
      <c r="A1131" s="13" t="inlineStr">
        <is>
          <t>화면</t>
        </is>
      </c>
      <c r="B1131" s="13" t="inlineStr">
        <is>
          <t>REPORT-03</t>
        </is>
      </c>
      <c r="C1131" s="13" t="inlineStr">
        <is>
          <t>TC-REPORT-03-07</t>
        </is>
      </c>
      <c r="D1131" s="13" t="inlineStr">
        <is>
          <t>기능</t>
        </is>
      </c>
      <c r="E1131" s="13" t="inlineStr">
        <is>
          <t>보류</t>
        </is>
      </c>
    </row>
    <row r="1132">
      <c r="A1132" s="13" t="inlineStr">
        <is>
          <t>요건</t>
        </is>
      </c>
      <c r="B1132" s="13" t="inlineStr">
        <is>
          <t>V-6</t>
        </is>
      </c>
      <c r="C1132" s="13" t="inlineStr">
        <is>
          <t>TC-REPORT-03-07</t>
        </is>
      </c>
      <c r="D1132" s="13" t="inlineStr">
        <is>
          <t>기능</t>
        </is>
      </c>
      <c r="E1132" s="13" t="inlineStr">
        <is>
          <t>보류</t>
        </is>
      </c>
    </row>
    <row r="1133">
      <c r="A1133" s="13" t="inlineStr">
        <is>
          <t>요건</t>
        </is>
      </c>
      <c r="B1133" s="13" t="inlineStr">
        <is>
          <t>V-4</t>
        </is>
      </c>
      <c r="C1133" s="13" t="inlineStr">
        <is>
          <t>TC-REPORT-03-07</t>
        </is>
      </c>
      <c r="D1133" s="13" t="inlineStr">
        <is>
          <t>기능</t>
        </is>
      </c>
      <c r="E1133" s="13" t="inlineStr">
        <is>
          <t>보류</t>
        </is>
      </c>
    </row>
    <row r="1134">
      <c r="A1134" s="13" t="inlineStr">
        <is>
          <t>화면</t>
        </is>
      </c>
      <c r="B1134" s="13" t="inlineStr">
        <is>
          <t>MY-11</t>
        </is>
      </c>
      <c r="C1134" s="13" t="inlineStr">
        <is>
          <t>TC-MY-11-01</t>
        </is>
      </c>
      <c r="D1134" s="13" t="inlineStr">
        <is>
          <t>기능</t>
        </is>
      </c>
      <c r="E1134" s="13" t="inlineStr">
        <is>
          <t>미실행</t>
        </is>
      </c>
    </row>
    <row r="1135">
      <c r="A1135" s="13" t="inlineStr">
        <is>
          <t>요건</t>
        </is>
      </c>
      <c r="B1135" s="13" t="inlineStr">
        <is>
          <t>V-1</t>
        </is>
      </c>
      <c r="C1135" s="13" t="inlineStr">
        <is>
          <t>TC-MY-11-01</t>
        </is>
      </c>
      <c r="D1135" s="13" t="inlineStr">
        <is>
          <t>기능</t>
        </is>
      </c>
      <c r="E1135" s="13" t="inlineStr">
        <is>
          <t>미실행</t>
        </is>
      </c>
    </row>
    <row r="1136">
      <c r="A1136" s="13" t="inlineStr">
        <is>
          <t>요건</t>
        </is>
      </c>
      <c r="B1136" s="13" t="inlineStr">
        <is>
          <t>V-5</t>
        </is>
      </c>
      <c r="C1136" s="13" t="inlineStr">
        <is>
          <t>TC-MY-11-01</t>
        </is>
      </c>
      <c r="D1136" s="13" t="inlineStr">
        <is>
          <t>기능</t>
        </is>
      </c>
      <c r="E1136" s="13" t="inlineStr">
        <is>
          <t>미실행</t>
        </is>
      </c>
    </row>
    <row r="1137">
      <c r="A1137" s="13" t="inlineStr">
        <is>
          <t>화면</t>
        </is>
      </c>
      <c r="B1137" s="13" t="inlineStr">
        <is>
          <t>MY-11</t>
        </is>
      </c>
      <c r="C1137" s="13" t="inlineStr">
        <is>
          <t>TC-MY-11-02</t>
        </is>
      </c>
      <c r="D1137" s="13" t="inlineStr">
        <is>
          <t>기능</t>
        </is>
      </c>
      <c r="E1137" s="13" t="inlineStr">
        <is>
          <t>미실행</t>
        </is>
      </c>
    </row>
    <row r="1138">
      <c r="A1138" s="13" t="inlineStr">
        <is>
          <t>요건</t>
        </is>
      </c>
      <c r="B1138" s="13" t="inlineStr">
        <is>
          <t>NFR-04</t>
        </is>
      </c>
      <c r="C1138" s="13" t="inlineStr">
        <is>
          <t>TC-MY-11-02</t>
        </is>
      </c>
      <c r="D1138" s="13" t="inlineStr">
        <is>
          <t>기능</t>
        </is>
      </c>
      <c r="E1138" s="13" t="inlineStr">
        <is>
          <t>미실행</t>
        </is>
      </c>
    </row>
    <row r="1139">
      <c r="A1139" s="13" t="inlineStr">
        <is>
          <t>화면</t>
        </is>
      </c>
      <c r="B1139" s="13" t="inlineStr">
        <is>
          <t>MY-11</t>
        </is>
      </c>
      <c r="C1139" s="13" t="inlineStr">
        <is>
          <t>TC-MY-11-03</t>
        </is>
      </c>
      <c r="D1139" s="13" t="inlineStr">
        <is>
          <t>기능</t>
        </is>
      </c>
      <c r="E1139" s="13" t="inlineStr">
        <is>
          <t>미실행</t>
        </is>
      </c>
    </row>
    <row r="1140">
      <c r="A1140" s="13" t="inlineStr">
        <is>
          <t>요건</t>
        </is>
      </c>
      <c r="B1140" s="13" t="inlineStr">
        <is>
          <t>V-6</t>
        </is>
      </c>
      <c r="C1140" s="13" t="inlineStr">
        <is>
          <t>TC-MY-11-03</t>
        </is>
      </c>
      <c r="D1140" s="13" t="inlineStr">
        <is>
          <t>기능</t>
        </is>
      </c>
      <c r="E1140" s="13" t="inlineStr">
        <is>
          <t>미실행</t>
        </is>
      </c>
    </row>
    <row r="1141">
      <c r="A1141" s="13" t="inlineStr">
        <is>
          <t>요건</t>
        </is>
      </c>
      <c r="B1141" s="13" t="inlineStr">
        <is>
          <t>AC-05</t>
        </is>
      </c>
      <c r="C1141" s="13" t="inlineStr">
        <is>
          <t>TC-MY-11-03</t>
        </is>
      </c>
      <c r="D1141" s="13" t="inlineStr">
        <is>
          <t>기능</t>
        </is>
      </c>
      <c r="E1141" s="13" t="inlineStr">
        <is>
          <t>미실행</t>
        </is>
      </c>
    </row>
    <row r="1142">
      <c r="A1142" s="13" t="inlineStr">
        <is>
          <t>화면</t>
        </is>
      </c>
      <c r="B1142" s="13" t="inlineStr">
        <is>
          <t>MY-11</t>
        </is>
      </c>
      <c r="C1142" s="13" t="inlineStr">
        <is>
          <t>TC-MY-11-04</t>
        </is>
      </c>
      <c r="D1142" s="13" t="inlineStr">
        <is>
          <t>접근성</t>
        </is>
      </c>
      <c r="E1142" s="13" t="inlineStr">
        <is>
          <t>미실행</t>
        </is>
      </c>
    </row>
    <row r="1143">
      <c r="A1143" s="13" t="inlineStr">
        <is>
          <t>요건</t>
        </is>
      </c>
      <c r="B1143" s="13" t="inlineStr">
        <is>
          <t>NFR-04</t>
        </is>
      </c>
      <c r="C1143" s="13" t="inlineStr">
        <is>
          <t>TC-MY-11-04</t>
        </is>
      </c>
      <c r="D1143" s="13" t="inlineStr">
        <is>
          <t>접근성</t>
        </is>
      </c>
      <c r="E1143" s="13" t="inlineStr">
        <is>
          <t>미실행</t>
        </is>
      </c>
    </row>
    <row r="1144">
      <c r="A1144" s="13" t="inlineStr">
        <is>
          <t>요건</t>
        </is>
      </c>
      <c r="B1144" s="13" t="inlineStr">
        <is>
          <t>AC-05</t>
        </is>
      </c>
      <c r="C1144" s="13" t="inlineStr">
        <is>
          <t>TC-MY-11-04</t>
        </is>
      </c>
      <c r="D1144" s="13" t="inlineStr">
        <is>
          <t>접근성</t>
        </is>
      </c>
      <c r="E1144" s="13" t="inlineStr">
        <is>
          <t>미실행</t>
        </is>
      </c>
    </row>
    <row r="1145">
      <c r="A1145" s="13" t="inlineStr">
        <is>
          <t>요건</t>
        </is>
      </c>
      <c r="B1145" s="13" t="inlineStr">
        <is>
          <t>V-3</t>
        </is>
      </c>
      <c r="C1145" s="13" t="inlineStr">
        <is>
          <t>TC-MY-11-04</t>
        </is>
      </c>
      <c r="D1145" s="13" t="inlineStr">
        <is>
          <t>접근성</t>
        </is>
      </c>
      <c r="E1145" s="13" t="inlineStr">
        <is>
          <t>미실행</t>
        </is>
      </c>
    </row>
    <row r="1146">
      <c r="A1146" s="13" t="inlineStr">
        <is>
          <t>화면</t>
        </is>
      </c>
      <c r="B1146" s="13" t="inlineStr">
        <is>
          <t>MY-11</t>
        </is>
      </c>
      <c r="C1146" s="13" t="inlineStr">
        <is>
          <t>TC-MY-11-05</t>
        </is>
      </c>
      <c r="D1146" s="13" t="inlineStr">
        <is>
          <t>기능</t>
        </is>
      </c>
      <c r="E1146" s="13" t="inlineStr">
        <is>
          <t>미실행</t>
        </is>
      </c>
    </row>
    <row r="1147">
      <c r="A1147" s="13" t="inlineStr">
        <is>
          <t>요건</t>
        </is>
      </c>
      <c r="B1147" s="13" t="inlineStr">
        <is>
          <t>V-6</t>
        </is>
      </c>
      <c r="C1147" s="13" t="inlineStr">
        <is>
          <t>TC-MY-11-05</t>
        </is>
      </c>
      <c r="D1147" s="13" t="inlineStr">
        <is>
          <t>기능</t>
        </is>
      </c>
      <c r="E1147" s="13" t="inlineStr">
        <is>
          <t>미실행</t>
        </is>
      </c>
    </row>
    <row r="1148">
      <c r="A1148" s="13" t="inlineStr">
        <is>
          <t>화면</t>
        </is>
      </c>
      <c r="B1148" s="13" t="inlineStr">
        <is>
          <t>MY-11</t>
        </is>
      </c>
      <c r="C1148" s="13" t="inlineStr">
        <is>
          <t>TC-MY-11-06</t>
        </is>
      </c>
      <c r="D1148" s="13" t="inlineStr">
        <is>
          <t>접근성</t>
        </is>
      </c>
      <c r="E1148" s="13" t="inlineStr">
        <is>
          <t>보류</t>
        </is>
      </c>
    </row>
    <row r="1149">
      <c r="A1149" s="13" t="inlineStr">
        <is>
          <t>요건</t>
        </is>
      </c>
      <c r="B1149" s="13" t="inlineStr">
        <is>
          <t>NFR-05</t>
        </is>
      </c>
      <c r="C1149" s="13" t="inlineStr">
        <is>
          <t>TC-MY-11-06</t>
        </is>
      </c>
      <c r="D1149" s="13" t="inlineStr">
        <is>
          <t>접근성</t>
        </is>
      </c>
      <c r="E1149" s="13" t="inlineStr">
        <is>
          <t>보류</t>
        </is>
      </c>
    </row>
    <row r="1150">
      <c r="A1150" s="13" t="inlineStr">
        <is>
          <t>요건</t>
        </is>
      </c>
      <c r="B1150" s="13" t="inlineStr">
        <is>
          <t>E-4</t>
        </is>
      </c>
      <c r="C1150" s="13" t="inlineStr">
        <is>
          <t>TC-MY-11-06</t>
        </is>
      </c>
      <c r="D1150" s="13" t="inlineStr">
        <is>
          <t>접근성</t>
        </is>
      </c>
      <c r="E1150" s="13" t="inlineStr">
        <is>
          <t>보류</t>
        </is>
      </c>
    </row>
    <row r="1151">
      <c r="A1151" s="13" t="inlineStr">
        <is>
          <t>화면</t>
        </is>
      </c>
      <c r="B1151" s="13" t="inlineStr">
        <is>
          <t>FAV-01</t>
        </is>
      </c>
      <c r="C1151" s="13" t="inlineStr">
        <is>
          <t>TC-FAV-01-01</t>
        </is>
      </c>
      <c r="D1151" s="13" t="inlineStr">
        <is>
          <t>기능</t>
        </is>
      </c>
      <c r="E1151" s="13" t="inlineStr">
        <is>
          <t>미실행</t>
        </is>
      </c>
    </row>
    <row r="1152">
      <c r="A1152" s="13" t="inlineStr">
        <is>
          <t>요건</t>
        </is>
      </c>
      <c r="B1152" s="13" t="inlineStr">
        <is>
          <t>FR-R11</t>
        </is>
      </c>
      <c r="C1152" s="13" t="inlineStr">
        <is>
          <t>TC-FAV-01-01</t>
        </is>
      </c>
      <c r="D1152" s="13" t="inlineStr">
        <is>
          <t>기능</t>
        </is>
      </c>
      <c r="E1152" s="13" t="inlineStr">
        <is>
          <t>미실행</t>
        </is>
      </c>
    </row>
    <row r="1153">
      <c r="A1153" s="13" t="inlineStr">
        <is>
          <t>화면</t>
        </is>
      </c>
      <c r="B1153" s="13" t="inlineStr">
        <is>
          <t>FAV-01</t>
        </is>
      </c>
      <c r="C1153" s="13" t="inlineStr">
        <is>
          <t>TC-FAV-01-02</t>
        </is>
      </c>
      <c r="D1153" s="13" t="inlineStr">
        <is>
          <t>기능</t>
        </is>
      </c>
      <c r="E1153" s="13" t="inlineStr">
        <is>
          <t>미실행</t>
        </is>
      </c>
    </row>
    <row r="1154">
      <c r="A1154" s="13" t="inlineStr">
        <is>
          <t>화면</t>
        </is>
      </c>
      <c r="B1154" s="13" t="inlineStr">
        <is>
          <t>ROUTE-01</t>
        </is>
      </c>
      <c r="C1154" s="13" t="inlineStr">
        <is>
          <t>TC-FAV-01-02</t>
        </is>
      </c>
      <c r="D1154" s="13" t="inlineStr">
        <is>
          <t>기능</t>
        </is>
      </c>
      <c r="E1154" s="13" t="inlineStr">
        <is>
          <t>미실행</t>
        </is>
      </c>
    </row>
    <row r="1155">
      <c r="A1155" s="13" t="inlineStr">
        <is>
          <t>요건</t>
        </is>
      </c>
      <c r="B1155" s="13" t="inlineStr">
        <is>
          <t>FR-R11</t>
        </is>
      </c>
      <c r="C1155" s="13" t="inlineStr">
        <is>
          <t>TC-FAV-01-02</t>
        </is>
      </c>
      <c r="D1155" s="13" t="inlineStr">
        <is>
          <t>기능</t>
        </is>
      </c>
      <c r="E1155" s="13" t="inlineStr">
        <is>
          <t>미실행</t>
        </is>
      </c>
    </row>
    <row r="1156">
      <c r="A1156" s="13" t="inlineStr">
        <is>
          <t>화면</t>
        </is>
      </c>
      <c r="B1156" s="13" t="inlineStr">
        <is>
          <t>FAV-01</t>
        </is>
      </c>
      <c r="C1156" s="13" t="inlineStr">
        <is>
          <t>TC-FAV-01-03</t>
        </is>
      </c>
      <c r="D1156" s="13" t="inlineStr">
        <is>
          <t>기능</t>
        </is>
      </c>
      <c r="E1156" s="13" t="inlineStr">
        <is>
          <t>미실행</t>
        </is>
      </c>
    </row>
    <row r="1157">
      <c r="A1157" s="13" t="inlineStr">
        <is>
          <t>요건</t>
        </is>
      </c>
      <c r="B1157" s="13" t="inlineStr">
        <is>
          <t>FR-R11</t>
        </is>
      </c>
      <c r="C1157" s="13" t="inlineStr">
        <is>
          <t>TC-FAV-01-03</t>
        </is>
      </c>
      <c r="D1157" s="13" t="inlineStr">
        <is>
          <t>기능</t>
        </is>
      </c>
      <c r="E1157" s="13" t="inlineStr">
        <is>
          <t>미실행</t>
        </is>
      </c>
    </row>
    <row r="1158">
      <c r="A1158" s="13" t="inlineStr">
        <is>
          <t>화면</t>
        </is>
      </c>
      <c r="B1158" s="13" t="inlineStr">
        <is>
          <t>FAV-01</t>
        </is>
      </c>
      <c r="C1158" s="13" t="inlineStr">
        <is>
          <t>TC-FAV-01-04</t>
        </is>
      </c>
      <c r="D1158" s="13" t="inlineStr">
        <is>
          <t>기능</t>
        </is>
      </c>
      <c r="E1158" s="13" t="inlineStr">
        <is>
          <t>미실행</t>
        </is>
      </c>
    </row>
    <row r="1159">
      <c r="A1159" s="13" t="inlineStr">
        <is>
          <t>요건</t>
        </is>
      </c>
      <c r="B1159" s="13" t="inlineStr">
        <is>
          <t>FR-R11</t>
        </is>
      </c>
      <c r="C1159" s="13" t="inlineStr">
        <is>
          <t>TC-FAV-01-04</t>
        </is>
      </c>
      <c r="D1159" s="13" t="inlineStr">
        <is>
          <t>기능</t>
        </is>
      </c>
      <c r="E1159" s="13" t="inlineStr">
        <is>
          <t>미실행</t>
        </is>
      </c>
    </row>
    <row r="1160">
      <c r="A1160" s="13" t="inlineStr">
        <is>
          <t>요건</t>
        </is>
      </c>
      <c r="B1160" s="13" t="inlineStr">
        <is>
          <t>V-3</t>
        </is>
      </c>
      <c r="C1160" s="13" t="inlineStr">
        <is>
          <t>TC-FAV-01-04</t>
        </is>
      </c>
      <c r="D1160" s="13" t="inlineStr">
        <is>
          <t>기능</t>
        </is>
      </c>
      <c r="E1160" s="13" t="inlineStr">
        <is>
          <t>미실행</t>
        </is>
      </c>
    </row>
    <row r="1161">
      <c r="A1161" s="13" t="inlineStr">
        <is>
          <t>화면</t>
        </is>
      </c>
      <c r="B1161" s="13" t="inlineStr">
        <is>
          <t>FAV-01</t>
        </is>
      </c>
      <c r="C1161" s="13" t="inlineStr">
        <is>
          <t>TC-FAV-01-05</t>
        </is>
      </c>
      <c r="D1161" s="13" t="inlineStr">
        <is>
          <t>기능</t>
        </is>
      </c>
      <c r="E1161" s="13" t="inlineStr">
        <is>
          <t>미실행</t>
        </is>
      </c>
    </row>
    <row r="1162">
      <c r="A1162" s="13" t="inlineStr">
        <is>
          <t>요건</t>
        </is>
      </c>
      <c r="B1162" s="13" t="inlineStr">
        <is>
          <t>FR-R11</t>
        </is>
      </c>
      <c r="C1162" s="13" t="inlineStr">
        <is>
          <t>TC-FAV-01-05</t>
        </is>
      </c>
      <c r="D1162" s="13" t="inlineStr">
        <is>
          <t>기능</t>
        </is>
      </c>
      <c r="E1162" s="13" t="inlineStr">
        <is>
          <t>미실행</t>
        </is>
      </c>
    </row>
    <row r="1163">
      <c r="A1163" s="13" t="inlineStr">
        <is>
          <t>화면</t>
        </is>
      </c>
      <c r="B1163" s="13" t="inlineStr">
        <is>
          <t>FAV-01</t>
        </is>
      </c>
      <c r="C1163" s="13" t="inlineStr">
        <is>
          <t>TC-FAV-01-06</t>
        </is>
      </c>
      <c r="D1163" s="13" t="inlineStr">
        <is>
          <t>기능</t>
        </is>
      </c>
      <c r="E1163" s="13" t="inlineStr">
        <is>
          <t>미실행</t>
        </is>
      </c>
    </row>
    <row r="1164">
      <c r="A1164" s="13" t="inlineStr">
        <is>
          <t>요건</t>
        </is>
      </c>
      <c r="B1164" s="13" t="inlineStr">
        <is>
          <t>FR-R11</t>
        </is>
      </c>
      <c r="C1164" s="13" t="inlineStr">
        <is>
          <t>TC-FAV-01-06</t>
        </is>
      </c>
      <c r="D1164" s="13" t="inlineStr">
        <is>
          <t>기능</t>
        </is>
      </c>
      <c r="E1164" s="13" t="inlineStr">
        <is>
          <t>미실행</t>
        </is>
      </c>
    </row>
    <row r="1165">
      <c r="A1165" s="13" t="inlineStr">
        <is>
          <t>화면</t>
        </is>
      </c>
      <c r="B1165" s="13" t="inlineStr">
        <is>
          <t>FAV-01</t>
        </is>
      </c>
      <c r="C1165" s="13" t="inlineStr">
        <is>
          <t>TC-FAV-01-07</t>
        </is>
      </c>
      <c r="D1165" s="13" t="inlineStr">
        <is>
          <t>기능</t>
        </is>
      </c>
      <c r="E1165" s="13" t="inlineStr">
        <is>
          <t>미실행</t>
        </is>
      </c>
    </row>
    <row r="1166">
      <c r="A1166" s="13" t="inlineStr">
        <is>
          <t>요건</t>
        </is>
      </c>
      <c r="B1166" s="13" t="inlineStr">
        <is>
          <t>FR-R11</t>
        </is>
      </c>
      <c r="C1166" s="13" t="inlineStr">
        <is>
          <t>TC-FAV-01-07</t>
        </is>
      </c>
      <c r="D1166" s="13" t="inlineStr">
        <is>
          <t>기능</t>
        </is>
      </c>
      <c r="E1166" s="13" t="inlineStr">
        <is>
          <t>미실행</t>
        </is>
      </c>
    </row>
    <row r="1167">
      <c r="A1167" s="13" t="inlineStr">
        <is>
          <t>화면</t>
        </is>
      </c>
      <c r="B1167" s="13" t="inlineStr">
        <is>
          <t>FAV-01</t>
        </is>
      </c>
      <c r="C1167" s="13" t="inlineStr">
        <is>
          <t>TC-FAV-01-08</t>
        </is>
      </c>
      <c r="D1167" s="13" t="inlineStr">
        <is>
          <t>기능</t>
        </is>
      </c>
      <c r="E1167" s="13" t="inlineStr">
        <is>
          <t>미실행</t>
        </is>
      </c>
    </row>
    <row r="1168">
      <c r="A1168" s="13" t="inlineStr">
        <is>
          <t>요건</t>
        </is>
      </c>
      <c r="B1168" s="13" t="inlineStr">
        <is>
          <t>FR-R11</t>
        </is>
      </c>
      <c r="C1168" s="13" t="inlineStr">
        <is>
          <t>TC-FAV-01-08</t>
        </is>
      </c>
      <c r="D1168" s="13" t="inlineStr">
        <is>
          <t>기능</t>
        </is>
      </c>
      <c r="E1168" s="13" t="inlineStr">
        <is>
          <t>미실행</t>
        </is>
      </c>
    </row>
    <row r="1169">
      <c r="A1169" s="13" t="inlineStr">
        <is>
          <t>요건</t>
        </is>
      </c>
      <c r="B1169" s="13" t="inlineStr">
        <is>
          <t>V-3</t>
        </is>
      </c>
      <c r="C1169" s="13" t="inlineStr">
        <is>
          <t>TC-FAV-01-08</t>
        </is>
      </c>
      <c r="D1169" s="13" t="inlineStr">
        <is>
          <t>기능</t>
        </is>
      </c>
      <c r="E1169" s="13" t="inlineStr">
        <is>
          <t>미실행</t>
        </is>
      </c>
    </row>
    <row r="1170">
      <c r="A1170" s="13" t="inlineStr">
        <is>
          <t>화면</t>
        </is>
      </c>
      <c r="B1170" s="13" t="inlineStr">
        <is>
          <t>FAV-01</t>
        </is>
      </c>
      <c r="C1170" s="13" t="inlineStr">
        <is>
          <t>TC-FAV-01-09</t>
        </is>
      </c>
      <c r="D1170" s="13" t="inlineStr">
        <is>
          <t>기능</t>
        </is>
      </c>
      <c r="E1170" s="13" t="inlineStr">
        <is>
          <t>미실행</t>
        </is>
      </c>
    </row>
    <row r="1171">
      <c r="A1171" s="13" t="inlineStr">
        <is>
          <t>화면</t>
        </is>
      </c>
      <c r="B1171" s="13" t="inlineStr">
        <is>
          <t>SEARCH-02</t>
        </is>
      </c>
      <c r="C1171" s="13" t="inlineStr">
        <is>
          <t>TC-FAV-01-09</t>
        </is>
      </c>
      <c r="D1171" s="13" t="inlineStr">
        <is>
          <t>기능</t>
        </is>
      </c>
      <c r="E1171" s="13" t="inlineStr">
        <is>
          <t>미실행</t>
        </is>
      </c>
    </row>
    <row r="1172">
      <c r="A1172" s="13" t="inlineStr">
        <is>
          <t>요건</t>
        </is>
      </c>
      <c r="B1172" s="13" t="inlineStr">
        <is>
          <t>V-6</t>
        </is>
      </c>
      <c r="C1172" s="13" t="inlineStr">
        <is>
          <t>TC-FAV-01-09</t>
        </is>
      </c>
      <c r="D1172" s="13" t="inlineStr">
        <is>
          <t>기능</t>
        </is>
      </c>
      <c r="E1172" s="13" t="inlineStr">
        <is>
          <t>미실행</t>
        </is>
      </c>
    </row>
    <row r="1173">
      <c r="A1173" s="13" t="inlineStr">
        <is>
          <t>화면</t>
        </is>
      </c>
      <c r="B1173" s="13" t="inlineStr">
        <is>
          <t>FAV-01</t>
        </is>
      </c>
      <c r="C1173" s="13" t="inlineStr">
        <is>
          <t>TC-FAV-01-10</t>
        </is>
      </c>
      <c r="D1173" s="13" t="inlineStr">
        <is>
          <t>기능</t>
        </is>
      </c>
      <c r="E1173" s="13" t="inlineStr">
        <is>
          <t>미실행</t>
        </is>
      </c>
    </row>
    <row r="1174">
      <c r="A1174" s="13" t="inlineStr">
        <is>
          <t>요건</t>
        </is>
      </c>
      <c r="B1174" s="13" t="inlineStr">
        <is>
          <t>FR-R11</t>
        </is>
      </c>
      <c r="C1174" s="13" t="inlineStr">
        <is>
          <t>TC-FAV-01-10</t>
        </is>
      </c>
      <c r="D1174" s="13" t="inlineStr">
        <is>
          <t>기능</t>
        </is>
      </c>
      <c r="E1174" s="13" t="inlineStr">
        <is>
          <t>미실행</t>
        </is>
      </c>
    </row>
    <row r="1175">
      <c r="A1175" s="13" t="inlineStr">
        <is>
          <t>요건</t>
        </is>
      </c>
      <c r="B1175" s="13" t="inlineStr">
        <is>
          <t>V-6</t>
        </is>
      </c>
      <c r="C1175" s="13" t="inlineStr">
        <is>
          <t>TC-FAV-01-10</t>
        </is>
      </c>
      <c r="D1175" s="13" t="inlineStr">
        <is>
          <t>기능</t>
        </is>
      </c>
      <c r="E1175" s="13" t="inlineStr">
        <is>
          <t>미실행</t>
        </is>
      </c>
    </row>
    <row r="1176">
      <c r="A1176" s="13" t="inlineStr">
        <is>
          <t>화면</t>
        </is>
      </c>
      <c r="B1176" s="13" t="inlineStr">
        <is>
          <t>FAV-01</t>
        </is>
      </c>
      <c r="C1176" s="13" t="inlineStr">
        <is>
          <t>TC-FAV-01-11</t>
        </is>
      </c>
      <c r="D1176" s="13" t="inlineStr">
        <is>
          <t>기능</t>
        </is>
      </c>
      <c r="E1176" s="13" t="inlineStr">
        <is>
          <t>미실행</t>
        </is>
      </c>
    </row>
    <row r="1177">
      <c r="A1177" s="13" t="inlineStr">
        <is>
          <t>요건</t>
        </is>
      </c>
      <c r="B1177" s="13" t="inlineStr">
        <is>
          <t>FR-R11</t>
        </is>
      </c>
      <c r="C1177" s="13" t="inlineStr">
        <is>
          <t>TC-FAV-01-11</t>
        </is>
      </c>
      <c r="D1177" s="13" t="inlineStr">
        <is>
          <t>기능</t>
        </is>
      </c>
      <c r="E1177" s="13" t="inlineStr">
        <is>
          <t>미실행</t>
        </is>
      </c>
    </row>
    <row r="1178">
      <c r="A1178" s="13" t="inlineStr">
        <is>
          <t>요건</t>
        </is>
      </c>
      <c r="B1178" s="13" t="inlineStr">
        <is>
          <t>V-6</t>
        </is>
      </c>
      <c r="C1178" s="13" t="inlineStr">
        <is>
          <t>TC-FAV-01-11</t>
        </is>
      </c>
      <c r="D1178" s="13" t="inlineStr">
        <is>
          <t>기능</t>
        </is>
      </c>
      <c r="E1178" s="13" t="inlineStr">
        <is>
          <t>미실행</t>
        </is>
      </c>
    </row>
    <row r="1179">
      <c r="A1179" s="13" t="inlineStr">
        <is>
          <t>화면</t>
        </is>
      </c>
      <c r="B1179" s="13" t="inlineStr">
        <is>
          <t>FAV-01</t>
        </is>
      </c>
      <c r="C1179" s="13" t="inlineStr">
        <is>
          <t>TC-FAV-01-12</t>
        </is>
      </c>
      <c r="D1179" s="13" t="inlineStr">
        <is>
          <t>접근성</t>
        </is>
      </c>
      <c r="E1179" s="13" t="inlineStr">
        <is>
          <t>미실행</t>
        </is>
      </c>
    </row>
    <row r="1180">
      <c r="A1180" s="13" t="inlineStr">
        <is>
          <t>요건</t>
        </is>
      </c>
      <c r="B1180" s="13" t="inlineStr">
        <is>
          <t>V-1</t>
        </is>
      </c>
      <c r="C1180" s="13" t="inlineStr">
        <is>
          <t>TC-FAV-01-12</t>
        </is>
      </c>
      <c r="D1180" s="13" t="inlineStr">
        <is>
          <t>접근성</t>
        </is>
      </c>
      <c r="E1180" s="13" t="inlineStr">
        <is>
          <t>미실행</t>
        </is>
      </c>
    </row>
    <row r="1181">
      <c r="A1181" s="13" t="inlineStr">
        <is>
          <t>요건</t>
        </is>
      </c>
      <c r="B1181" s="13" t="inlineStr">
        <is>
          <t>AC-05</t>
        </is>
      </c>
      <c r="C1181" s="13" t="inlineStr">
        <is>
          <t>TC-FAV-01-12</t>
        </is>
      </c>
      <c r="D1181" s="13" t="inlineStr">
        <is>
          <t>접근성</t>
        </is>
      </c>
      <c r="E1181" s="13" t="inlineStr">
        <is>
          <t>미실행</t>
        </is>
      </c>
    </row>
    <row r="1182">
      <c r="A1182" s="13" t="inlineStr">
        <is>
          <t>요건</t>
        </is>
      </c>
      <c r="B1182" s="13" t="inlineStr">
        <is>
          <t>NFR-04</t>
        </is>
      </c>
      <c r="C1182" s="13" t="inlineStr">
        <is>
          <t>TC-FAV-01-12</t>
        </is>
      </c>
      <c r="D1182" s="13" t="inlineStr">
        <is>
          <t>접근성</t>
        </is>
      </c>
      <c r="E1182" s="13" t="inlineStr">
        <is>
          <t>미실행</t>
        </is>
      </c>
    </row>
    <row r="1183">
      <c r="A1183" s="13" t="inlineStr">
        <is>
          <t>화면</t>
        </is>
      </c>
      <c r="B1183" s="13" t="inlineStr">
        <is>
          <t>FAV-01</t>
        </is>
      </c>
      <c r="C1183" s="13" t="inlineStr">
        <is>
          <t>TC-FAV-01-13</t>
        </is>
      </c>
      <c r="D1183" s="13" t="inlineStr">
        <is>
          <t>접근성</t>
        </is>
      </c>
      <c r="E1183" s="13" t="inlineStr">
        <is>
          <t>미실행</t>
        </is>
      </c>
    </row>
    <row r="1184">
      <c r="A1184" s="13" t="inlineStr">
        <is>
          <t>요건</t>
        </is>
      </c>
      <c r="B1184" s="13" t="inlineStr">
        <is>
          <t>AC-05</t>
        </is>
      </c>
      <c r="C1184" s="13" t="inlineStr">
        <is>
          <t>TC-FAV-01-13</t>
        </is>
      </c>
      <c r="D1184" s="13" t="inlineStr">
        <is>
          <t>접근성</t>
        </is>
      </c>
      <c r="E1184" s="13" t="inlineStr">
        <is>
          <t>미실행</t>
        </is>
      </c>
    </row>
    <row r="1185">
      <c r="A1185" s="13" t="inlineStr">
        <is>
          <t>요건</t>
        </is>
      </c>
      <c r="B1185" s="13" t="inlineStr">
        <is>
          <t>V-6</t>
        </is>
      </c>
      <c r="C1185" s="13" t="inlineStr">
        <is>
          <t>TC-FAV-01-13</t>
        </is>
      </c>
      <c r="D1185" s="13" t="inlineStr">
        <is>
          <t>접근성</t>
        </is>
      </c>
      <c r="E1185" s="13" t="inlineStr">
        <is>
          <t>미실행</t>
        </is>
      </c>
    </row>
    <row r="1186">
      <c r="A1186" s="13" t="inlineStr">
        <is>
          <t>화면</t>
        </is>
      </c>
      <c r="B1186" s="13" t="inlineStr">
        <is>
          <t>FAV-01</t>
        </is>
      </c>
      <c r="C1186" s="13" t="inlineStr">
        <is>
          <t>TC-FAV-01-14</t>
        </is>
      </c>
      <c r="D1186" s="13" t="inlineStr">
        <is>
          <t>접근성</t>
        </is>
      </c>
      <c r="E1186" s="13" t="inlineStr">
        <is>
          <t>미실행</t>
        </is>
      </c>
    </row>
    <row r="1187">
      <c r="A1187" s="13" t="inlineStr">
        <is>
          <t>요건</t>
        </is>
      </c>
      <c r="B1187" s="13" t="inlineStr">
        <is>
          <t>AC-05</t>
        </is>
      </c>
      <c r="C1187" s="13" t="inlineStr">
        <is>
          <t>TC-FAV-01-14</t>
        </is>
      </c>
      <c r="D1187" s="13" t="inlineStr">
        <is>
          <t>접근성</t>
        </is>
      </c>
      <c r="E1187" s="13" t="inlineStr">
        <is>
          <t>미실행</t>
        </is>
      </c>
    </row>
    <row r="1188">
      <c r="A1188" s="13" t="inlineStr">
        <is>
          <t>요건</t>
        </is>
      </c>
      <c r="B1188" s="13" t="inlineStr">
        <is>
          <t>V-6</t>
        </is>
      </c>
      <c r="C1188" s="13" t="inlineStr">
        <is>
          <t>TC-FAV-01-14</t>
        </is>
      </c>
      <c r="D1188" s="13" t="inlineStr">
        <is>
          <t>접근성</t>
        </is>
      </c>
      <c r="E1188" s="13" t="inlineStr">
        <is>
          <t>미실행</t>
        </is>
      </c>
    </row>
    <row r="1189">
      <c r="A1189" s="13" t="inlineStr">
        <is>
          <t>화면</t>
        </is>
      </c>
      <c r="B1189" s="13" t="inlineStr">
        <is>
          <t>FAV-01</t>
        </is>
      </c>
      <c r="C1189" s="13" t="inlineStr">
        <is>
          <t>TC-FAV-01-15</t>
        </is>
      </c>
      <c r="D1189" s="13" t="inlineStr">
        <is>
          <t>접근성</t>
        </is>
      </c>
      <c r="E1189" s="13" t="inlineStr">
        <is>
          <t>미실행</t>
        </is>
      </c>
    </row>
    <row r="1190">
      <c r="A1190" s="13" t="inlineStr">
        <is>
          <t>요건</t>
        </is>
      </c>
      <c r="B1190" s="13" t="inlineStr">
        <is>
          <t>NFR-05</t>
        </is>
      </c>
      <c r="C1190" s="13" t="inlineStr">
        <is>
          <t>TC-FAV-01-15</t>
        </is>
      </c>
      <c r="D1190" s="13" t="inlineStr">
        <is>
          <t>접근성</t>
        </is>
      </c>
      <c r="E1190" s="13" t="inlineStr">
        <is>
          <t>미실행</t>
        </is>
      </c>
    </row>
    <row r="1191">
      <c r="A1191" s="13" t="inlineStr">
        <is>
          <t>요건</t>
        </is>
      </c>
      <c r="B1191" s="13" t="inlineStr">
        <is>
          <t>AC-05</t>
        </is>
      </c>
      <c r="C1191" s="13" t="inlineStr">
        <is>
          <t>TC-FAV-01-15</t>
        </is>
      </c>
      <c r="D1191" s="13" t="inlineStr">
        <is>
          <t>접근성</t>
        </is>
      </c>
      <c r="E1191" s="13" t="inlineStr">
        <is>
          <t>미실행</t>
        </is>
      </c>
    </row>
    <row r="1192">
      <c r="A1192" s="13" t="inlineStr">
        <is>
          <t>화면</t>
        </is>
      </c>
      <c r="B1192" s="13" t="inlineStr">
        <is>
          <t>FAV-01</t>
        </is>
      </c>
      <c r="C1192" s="13" t="inlineStr">
        <is>
          <t>TC-FAV-01-16</t>
        </is>
      </c>
      <c r="D1192" s="13" t="inlineStr">
        <is>
          <t>접근성</t>
        </is>
      </c>
      <c r="E1192" s="13" t="inlineStr">
        <is>
          <t>미실행</t>
        </is>
      </c>
    </row>
    <row r="1193">
      <c r="A1193" s="13" t="inlineStr">
        <is>
          <t>요건</t>
        </is>
      </c>
      <c r="B1193" s="13" t="inlineStr">
        <is>
          <t>NFR-02</t>
        </is>
      </c>
      <c r="C1193" s="13" t="inlineStr">
        <is>
          <t>TC-FAV-01-16</t>
        </is>
      </c>
      <c r="D1193" s="13" t="inlineStr">
        <is>
          <t>접근성</t>
        </is>
      </c>
      <c r="E1193" s="13" t="inlineStr">
        <is>
          <t>미실행</t>
        </is>
      </c>
    </row>
    <row r="1194">
      <c r="A1194" s="13" t="inlineStr">
        <is>
          <t>요건</t>
        </is>
      </c>
      <c r="B1194" s="13" t="inlineStr">
        <is>
          <t>S-1</t>
        </is>
      </c>
      <c r="C1194" s="13" t="inlineStr">
        <is>
          <t>TC-FAV-01-16</t>
        </is>
      </c>
      <c r="D1194" s="13" t="inlineStr">
        <is>
          <t>접근성</t>
        </is>
      </c>
      <c r="E1194" s="13" t="inlineStr">
        <is>
          <t>미실행</t>
        </is>
      </c>
    </row>
    <row r="1195">
      <c r="A1195" s="13" t="inlineStr">
        <is>
          <t>요건</t>
        </is>
      </c>
      <c r="B1195" s="13" t="inlineStr">
        <is>
          <t>S-2</t>
        </is>
      </c>
      <c r="C1195" s="13" t="inlineStr">
        <is>
          <t>TC-FAV-01-16</t>
        </is>
      </c>
      <c r="D1195" s="13" t="inlineStr">
        <is>
          <t>접근성</t>
        </is>
      </c>
      <c r="E1195" s="13" t="inlineStr">
        <is>
          <t>미실행</t>
        </is>
      </c>
    </row>
    <row r="1196">
      <c r="A1196" s="13" t="inlineStr">
        <is>
          <t>화면</t>
        </is>
      </c>
      <c r="B1196" s="13" t="inlineStr">
        <is>
          <t>FAV-01</t>
        </is>
      </c>
      <c r="C1196" s="13" t="inlineStr">
        <is>
          <t>TC-FAV-01-17</t>
        </is>
      </c>
      <c r="D1196" s="13" t="inlineStr">
        <is>
          <t>접근성</t>
        </is>
      </c>
      <c r="E1196" s="13" t="inlineStr">
        <is>
          <t>미실행</t>
        </is>
      </c>
    </row>
    <row r="1197">
      <c r="A1197" s="13" t="inlineStr">
        <is>
          <t>요건</t>
        </is>
      </c>
      <c r="B1197" s="13" t="inlineStr">
        <is>
          <t>NFR-03</t>
        </is>
      </c>
      <c r="C1197" s="13" t="inlineStr">
        <is>
          <t>TC-FAV-01-17</t>
        </is>
      </c>
      <c r="D1197" s="13" t="inlineStr">
        <is>
          <t>접근성</t>
        </is>
      </c>
      <c r="E1197" s="13" t="inlineStr">
        <is>
          <t>미실행</t>
        </is>
      </c>
    </row>
    <row r="1198">
      <c r="A1198" s="13" t="inlineStr">
        <is>
          <t>요건</t>
        </is>
      </c>
      <c r="B1198" s="13" t="inlineStr">
        <is>
          <t>T-1</t>
        </is>
      </c>
      <c r="C1198" s="13" t="inlineStr">
        <is>
          <t>TC-FAV-01-17</t>
        </is>
      </c>
      <c r="D1198" s="13" t="inlineStr">
        <is>
          <t>접근성</t>
        </is>
      </c>
      <c r="E1198" s="13" t="inlineStr">
        <is>
          <t>미실행</t>
        </is>
      </c>
    </row>
    <row r="1199">
      <c r="A1199" s="13" t="inlineStr">
        <is>
          <t>요건</t>
        </is>
      </c>
      <c r="B1199" s="13" t="inlineStr">
        <is>
          <t>T-2</t>
        </is>
      </c>
      <c r="C1199" s="13" t="inlineStr">
        <is>
          <t>TC-FAV-01-17</t>
        </is>
      </c>
      <c r="D1199" s="13" t="inlineStr">
        <is>
          <t>접근성</t>
        </is>
      </c>
      <c r="E1199" s="13" t="inlineStr">
        <is>
          <t>미실행</t>
        </is>
      </c>
    </row>
    <row r="1200">
      <c r="A1200" s="13" t="inlineStr">
        <is>
          <t>화면</t>
        </is>
      </c>
      <c r="B1200" s="13" t="inlineStr">
        <is>
          <t>FAV-01</t>
        </is>
      </c>
      <c r="C1200" s="13" t="inlineStr">
        <is>
          <t>TC-FAV-01-18</t>
        </is>
      </c>
      <c r="D1200" s="13" t="inlineStr">
        <is>
          <t>접근성</t>
        </is>
      </c>
      <c r="E1200" s="13" t="inlineStr">
        <is>
          <t>보류</t>
        </is>
      </c>
    </row>
    <row r="1201">
      <c r="A1201" s="13" t="inlineStr">
        <is>
          <t>요건</t>
        </is>
      </c>
      <c r="B1201" s="13" t="inlineStr">
        <is>
          <t>AC-06</t>
        </is>
      </c>
      <c r="C1201" s="13" t="inlineStr">
        <is>
          <t>TC-FAV-01-18</t>
        </is>
      </c>
      <c r="D1201" s="13" t="inlineStr">
        <is>
          <t>접근성</t>
        </is>
      </c>
      <c r="E1201" s="13" t="inlineStr">
        <is>
          <t>보류</t>
        </is>
      </c>
    </row>
    <row r="1202">
      <c r="A1202" s="13" t="inlineStr">
        <is>
          <t>요건</t>
        </is>
      </c>
      <c r="B1202" s="13" t="inlineStr">
        <is>
          <t>T-4</t>
        </is>
      </c>
      <c r="C1202" s="13" t="inlineStr">
        <is>
          <t>TC-FAV-01-18</t>
        </is>
      </c>
      <c r="D1202" s="13" t="inlineStr">
        <is>
          <t>접근성</t>
        </is>
      </c>
      <c r="E1202" s="13" t="inlineStr">
        <is>
          <t>보류</t>
        </is>
      </c>
    </row>
    <row r="1203">
      <c r="A1203" s="13" t="inlineStr">
        <is>
          <t>요건</t>
        </is>
      </c>
      <c r="B1203" s="13" t="inlineStr">
        <is>
          <t>S-4</t>
        </is>
      </c>
      <c r="C1203" s="13" t="inlineStr">
        <is>
          <t>TC-FAV-01-18</t>
        </is>
      </c>
      <c r="D1203" s="13" t="inlineStr">
        <is>
          <t>접근성</t>
        </is>
      </c>
      <c r="E1203" s="13" t="inlineStr">
        <is>
          <t>보류</t>
        </is>
      </c>
    </row>
    <row r="1204">
      <c r="A1204" s="13" t="inlineStr">
        <is>
          <t>화면</t>
        </is>
      </c>
      <c r="B1204" s="13" t="inlineStr">
        <is>
          <t>FAV-01</t>
        </is>
      </c>
      <c r="C1204" s="13" t="inlineStr">
        <is>
          <t>TC-FAV-01-19</t>
        </is>
      </c>
      <c r="D1204" s="13" t="inlineStr">
        <is>
          <t>기능</t>
        </is>
      </c>
      <c r="E1204" s="13" t="inlineStr">
        <is>
          <t>보류</t>
        </is>
      </c>
    </row>
    <row r="1205">
      <c r="A1205" s="13" t="inlineStr">
        <is>
          <t>요건</t>
        </is>
      </c>
      <c r="B1205" s="13" t="inlineStr">
        <is>
          <t>V-6</t>
        </is>
      </c>
      <c r="C1205" s="13" t="inlineStr">
        <is>
          <t>TC-FAV-01-19</t>
        </is>
      </c>
      <c r="D1205" s="13" t="inlineStr">
        <is>
          <t>기능</t>
        </is>
      </c>
      <c r="E1205" s="13" t="inlineStr">
        <is>
          <t>보류</t>
        </is>
      </c>
    </row>
    <row r="1206">
      <c r="A1206" s="13" t="inlineStr">
        <is>
          <t>화면</t>
        </is>
      </c>
      <c r="B1206" s="13" t="inlineStr">
        <is>
          <t>FAV-01</t>
        </is>
      </c>
      <c r="C1206" s="13" t="inlineStr">
        <is>
          <t>TC-FAV-01-20</t>
        </is>
      </c>
      <c r="D1206" s="13" t="inlineStr">
        <is>
          <t>접근성</t>
        </is>
      </c>
      <c r="E1206" s="13" t="inlineStr">
        <is>
          <t>보류</t>
        </is>
      </c>
    </row>
    <row r="1207">
      <c r="A1207" s="13" t="inlineStr">
        <is>
          <t>요건</t>
        </is>
      </c>
      <c r="B1207" s="13" t="inlineStr">
        <is>
          <t>AC-05</t>
        </is>
      </c>
      <c r="C1207" s="13" t="inlineStr">
        <is>
          <t>TC-FAV-01-20</t>
        </is>
      </c>
      <c r="D1207" s="13" t="inlineStr">
        <is>
          <t>접근성</t>
        </is>
      </c>
      <c r="E1207" s="13" t="inlineStr">
        <is>
          <t>보류</t>
        </is>
      </c>
    </row>
    <row r="1208">
      <c r="A1208" s="13" t="inlineStr">
        <is>
          <t>요건</t>
        </is>
      </c>
      <c r="B1208" s="13" t="inlineStr">
        <is>
          <t>V-6</t>
        </is>
      </c>
      <c r="C1208" s="13" t="inlineStr">
        <is>
          <t>TC-FAV-01-20</t>
        </is>
      </c>
      <c r="D1208" s="13" t="inlineStr">
        <is>
          <t>접근성</t>
        </is>
      </c>
      <c r="E1208" s="13" t="inlineStr">
        <is>
          <t>보류</t>
        </is>
      </c>
    </row>
    <row r="1209">
      <c r="A1209" s="13" t="inlineStr">
        <is>
          <t>화면</t>
        </is>
      </c>
      <c r="B1209" s="13" t="inlineStr">
        <is>
          <t>HOME-04</t>
        </is>
      </c>
      <c r="C1209" s="13" t="inlineStr">
        <is>
          <t>TC-HOME-04-01</t>
        </is>
      </c>
      <c r="D1209" s="13" t="inlineStr">
        <is>
          <t>기능</t>
        </is>
      </c>
      <c r="E1209" s="13" t="inlineStr">
        <is>
          <t>미실행</t>
        </is>
      </c>
    </row>
    <row r="1210">
      <c r="A1210" s="13" t="inlineStr">
        <is>
          <t>요건</t>
        </is>
      </c>
      <c r="B1210" s="13" t="inlineStr">
        <is>
          <t>V-8</t>
        </is>
      </c>
      <c r="C1210" s="13" t="inlineStr">
        <is>
          <t>TC-HOME-04-01</t>
        </is>
      </c>
      <c r="D1210" s="13" t="inlineStr">
        <is>
          <t>기능</t>
        </is>
      </c>
      <c r="E1210" s="13" t="inlineStr">
        <is>
          <t>미실행</t>
        </is>
      </c>
    </row>
    <row r="1211">
      <c r="A1211" s="13" t="inlineStr">
        <is>
          <t>화면</t>
        </is>
      </c>
      <c r="B1211" s="13" t="inlineStr">
        <is>
          <t>HOME-04</t>
        </is>
      </c>
      <c r="C1211" s="13" t="inlineStr">
        <is>
          <t>TC-HOME-04-02</t>
        </is>
      </c>
      <c r="D1211" s="13" t="inlineStr">
        <is>
          <t>기능</t>
        </is>
      </c>
      <c r="E1211" s="13" t="inlineStr">
        <is>
          <t>미실행</t>
        </is>
      </c>
    </row>
    <row r="1212">
      <c r="A1212" s="13" t="inlineStr">
        <is>
          <t>요건</t>
        </is>
      </c>
      <c r="B1212" s="13" t="inlineStr">
        <is>
          <t>V-3</t>
        </is>
      </c>
      <c r="C1212" s="13" t="inlineStr">
        <is>
          <t>TC-HOME-04-02</t>
        </is>
      </c>
      <c r="D1212" s="13" t="inlineStr">
        <is>
          <t>기능</t>
        </is>
      </c>
      <c r="E1212" s="13" t="inlineStr">
        <is>
          <t>미실행</t>
        </is>
      </c>
    </row>
    <row r="1213">
      <c r="A1213" s="13" t="inlineStr">
        <is>
          <t>화면</t>
        </is>
      </c>
      <c r="B1213" s="13" t="inlineStr">
        <is>
          <t>HOME-04</t>
        </is>
      </c>
      <c r="C1213" s="13" t="inlineStr">
        <is>
          <t>TC-HOME-04-03</t>
        </is>
      </c>
      <c r="D1213" s="13" t="inlineStr">
        <is>
          <t>접근성</t>
        </is>
      </c>
      <c r="E1213" s="13" t="inlineStr">
        <is>
          <t>미실행</t>
        </is>
      </c>
    </row>
    <row r="1214">
      <c r="A1214" s="13" t="inlineStr">
        <is>
          <t>요건</t>
        </is>
      </c>
      <c r="B1214" s="13" t="inlineStr">
        <is>
          <t>AC-05</t>
        </is>
      </c>
      <c r="C1214" s="13" t="inlineStr">
        <is>
          <t>TC-HOME-04-03</t>
        </is>
      </c>
      <c r="D1214" s="13" t="inlineStr">
        <is>
          <t>접근성</t>
        </is>
      </c>
      <c r="E1214" s="13" t="inlineStr">
        <is>
          <t>미실행</t>
        </is>
      </c>
    </row>
    <row r="1215">
      <c r="A1215" s="13" t="inlineStr">
        <is>
          <t>요건</t>
        </is>
      </c>
      <c r="B1215" s="13" t="inlineStr">
        <is>
          <t>NFR-04</t>
        </is>
      </c>
      <c r="C1215" s="13" t="inlineStr">
        <is>
          <t>TC-HOME-04-03</t>
        </is>
      </c>
      <c r="D1215" s="13" t="inlineStr">
        <is>
          <t>접근성</t>
        </is>
      </c>
      <c r="E1215" s="13" t="inlineStr">
        <is>
          <t>미실행</t>
        </is>
      </c>
    </row>
    <row r="1216">
      <c r="A1216" s="13" t="inlineStr">
        <is>
          <t>화면</t>
        </is>
      </c>
      <c r="B1216" s="13" t="inlineStr">
        <is>
          <t>HOME-04</t>
        </is>
      </c>
      <c r="C1216" s="13" t="inlineStr">
        <is>
          <t>TC-HOME-04-04</t>
        </is>
      </c>
      <c r="D1216" s="13" t="inlineStr">
        <is>
          <t>접근성</t>
        </is>
      </c>
      <c r="E1216" s="13" t="inlineStr">
        <is>
          <t>미실행</t>
        </is>
      </c>
    </row>
    <row r="1217">
      <c r="A1217" s="13" t="inlineStr">
        <is>
          <t>화면</t>
        </is>
      </c>
      <c r="B1217" s="13" t="inlineStr">
        <is>
          <t>MY-05</t>
        </is>
      </c>
      <c r="C1217" s="13" t="inlineStr">
        <is>
          <t>TC-HOME-04-04</t>
        </is>
      </c>
      <c r="D1217" s="13" t="inlineStr">
        <is>
          <t>접근성</t>
        </is>
      </c>
      <c r="E1217" s="13" t="inlineStr">
        <is>
          <t>미실행</t>
        </is>
      </c>
    </row>
    <row r="1218">
      <c r="A1218" s="13" t="inlineStr">
        <is>
          <t>요건</t>
        </is>
      </c>
      <c r="B1218" s="13" t="inlineStr">
        <is>
          <t>NFR-02</t>
        </is>
      </c>
      <c r="C1218" s="13" t="inlineStr">
        <is>
          <t>TC-HOME-04-04</t>
        </is>
      </c>
      <c r="D1218" s="13" t="inlineStr">
        <is>
          <t>접근성</t>
        </is>
      </c>
      <c r="E1218" s="13" t="inlineStr">
        <is>
          <t>미실행</t>
        </is>
      </c>
    </row>
    <row r="1219">
      <c r="A1219" s="13" t="inlineStr">
        <is>
          <t>요건</t>
        </is>
      </c>
      <c r="B1219" s="13" t="inlineStr">
        <is>
          <t>S-1</t>
        </is>
      </c>
      <c r="C1219" s="13" t="inlineStr">
        <is>
          <t>TC-HOME-04-04</t>
        </is>
      </c>
      <c r="D1219" s="13" t="inlineStr">
        <is>
          <t>접근성</t>
        </is>
      </c>
      <c r="E1219" s="13" t="inlineStr">
        <is>
          <t>미실행</t>
        </is>
      </c>
    </row>
    <row r="1220">
      <c r="A1220" s="13" t="inlineStr">
        <is>
          <t>요건</t>
        </is>
      </c>
      <c r="B1220" s="13" t="inlineStr">
        <is>
          <t>S-2</t>
        </is>
      </c>
      <c r="C1220" s="13" t="inlineStr">
        <is>
          <t>TC-HOME-04-04</t>
        </is>
      </c>
      <c r="D1220" s="13" t="inlineStr">
        <is>
          <t>접근성</t>
        </is>
      </c>
      <c r="E1220" s="13" t="inlineStr">
        <is>
          <t>미실행</t>
        </is>
      </c>
    </row>
    <row r="1221">
      <c r="A1221" s="13" t="inlineStr">
        <is>
          <t>화면</t>
        </is>
      </c>
      <c r="B1221" s="13" t="inlineStr">
        <is>
          <t>HOME-04</t>
        </is>
      </c>
      <c r="C1221" s="13" t="inlineStr">
        <is>
          <t>TC-HOME-04-05</t>
        </is>
      </c>
      <c r="D1221" s="13" t="inlineStr">
        <is>
          <t>비기능</t>
        </is>
      </c>
      <c r="E1221" s="13" t="inlineStr">
        <is>
          <t>미실행</t>
        </is>
      </c>
    </row>
    <row r="1222">
      <c r="A1222" s="13" t="inlineStr">
        <is>
          <t>요건</t>
        </is>
      </c>
      <c r="B1222" s="13" t="inlineStr">
        <is>
          <t>NFR-06</t>
        </is>
      </c>
      <c r="C1222" s="13" t="inlineStr">
        <is>
          <t>TC-HOME-04-05</t>
        </is>
      </c>
      <c r="D1222" s="13" t="inlineStr">
        <is>
          <t>비기능</t>
        </is>
      </c>
      <c r="E1222" s="13" t="inlineStr">
        <is>
          <t>미실행</t>
        </is>
      </c>
    </row>
    <row r="1223">
      <c r="A1223" s="13" t="inlineStr">
        <is>
          <t>화면</t>
        </is>
      </c>
      <c r="B1223" s="13" t="inlineStr">
        <is>
          <t>HOME-04</t>
        </is>
      </c>
      <c r="C1223" s="13" t="inlineStr">
        <is>
          <t>TC-HOME-04-06</t>
        </is>
      </c>
      <c r="D1223" s="13" t="inlineStr">
        <is>
          <t>기능</t>
        </is>
      </c>
      <c r="E1223" s="13" t="inlineStr">
        <is>
          <t>보류</t>
        </is>
      </c>
    </row>
    <row r="1224">
      <c r="A1224" s="13" t="inlineStr">
        <is>
          <t>요건</t>
        </is>
      </c>
      <c r="B1224" s="13" t="inlineStr">
        <is>
          <t>V-6</t>
        </is>
      </c>
      <c r="C1224" s="13" t="inlineStr">
        <is>
          <t>TC-HOME-04-06</t>
        </is>
      </c>
      <c r="D1224" s="13" t="inlineStr">
        <is>
          <t>기능</t>
        </is>
      </c>
      <c r="E1224" s="13" t="inlineStr">
        <is>
          <t>보류</t>
        </is>
      </c>
    </row>
    <row r="1225">
      <c r="A1225" s="13" t="inlineStr">
        <is>
          <t>화면</t>
        </is>
      </c>
      <c r="B1225" s="13" t="inlineStr">
        <is>
          <t>HOME-04</t>
        </is>
      </c>
      <c r="C1225" s="13" t="inlineStr">
        <is>
          <t>TC-HOME-04-07</t>
        </is>
      </c>
      <c r="D1225" s="13" t="inlineStr">
        <is>
          <t>기능</t>
        </is>
      </c>
      <c r="E1225" s="13" t="inlineStr">
        <is>
          <t>보류</t>
        </is>
      </c>
    </row>
    <row r="1226">
      <c r="A1226" s="13" t="inlineStr">
        <is>
          <t>화면</t>
        </is>
      </c>
      <c r="B1226" s="13" t="inlineStr">
        <is>
          <t>MY-06</t>
        </is>
      </c>
      <c r="C1226" s="13" t="inlineStr">
        <is>
          <t>TC-HOME-04-07</t>
        </is>
      </c>
      <c r="D1226" s="13" t="inlineStr">
        <is>
          <t>기능</t>
        </is>
      </c>
      <c r="E1226" s="13" t="inlineStr">
        <is>
          <t>보류</t>
        </is>
      </c>
    </row>
    <row r="1227">
      <c r="A1227" s="13" t="inlineStr">
        <is>
          <t>화면</t>
        </is>
      </c>
      <c r="B1227" s="13" t="inlineStr">
        <is>
          <t>MY-07</t>
        </is>
      </c>
      <c r="C1227" s="13" t="inlineStr">
        <is>
          <t>TC-HOME-04-07</t>
        </is>
      </c>
      <c r="D1227" s="13" t="inlineStr">
        <is>
          <t>기능</t>
        </is>
      </c>
      <c r="E1227" s="13" t="inlineStr">
        <is>
          <t>보류</t>
        </is>
      </c>
    </row>
    <row r="1228">
      <c r="A1228" s="13" t="inlineStr">
        <is>
          <t>화면</t>
        </is>
      </c>
      <c r="B1228" s="13" t="inlineStr">
        <is>
          <t>MY-08</t>
        </is>
      </c>
      <c r="C1228" s="13" t="inlineStr">
        <is>
          <t>TC-HOME-04-07</t>
        </is>
      </c>
      <c r="D1228" s="13" t="inlineStr">
        <is>
          <t>기능</t>
        </is>
      </c>
      <c r="E1228" s="13" t="inlineStr">
        <is>
          <t>보류</t>
        </is>
      </c>
    </row>
    <row r="1229">
      <c r="A1229" s="13" t="inlineStr">
        <is>
          <t>요건</t>
        </is>
      </c>
      <c r="B1229" s="13" t="inlineStr">
        <is>
          <t>V-6</t>
        </is>
      </c>
      <c r="C1229" s="13" t="inlineStr">
        <is>
          <t>TC-HOME-04-07</t>
        </is>
      </c>
      <c r="D1229" s="13" t="inlineStr">
        <is>
          <t>기능</t>
        </is>
      </c>
      <c r="E1229" s="13" t="inlineStr">
        <is>
          <t>보류</t>
        </is>
      </c>
    </row>
    <row r="1230">
      <c r="A1230" s="13" t="inlineStr">
        <is>
          <t>화면</t>
        </is>
      </c>
      <c r="B1230" s="13" t="inlineStr">
        <is>
          <t>MY-05</t>
        </is>
      </c>
      <c r="C1230" s="13" t="inlineStr">
        <is>
          <t>TC-MY-05-01</t>
        </is>
      </c>
      <c r="D1230" s="13" t="inlineStr">
        <is>
          <t>기능</t>
        </is>
      </c>
      <c r="E1230" s="13" t="inlineStr">
        <is>
          <t>미실행</t>
        </is>
      </c>
    </row>
    <row r="1231">
      <c r="A1231" s="13" t="inlineStr">
        <is>
          <t>요건</t>
        </is>
      </c>
      <c r="B1231" s="13" t="inlineStr">
        <is>
          <t>V-14</t>
        </is>
      </c>
      <c r="C1231" s="13" t="inlineStr">
        <is>
          <t>TC-MY-05-01</t>
        </is>
      </c>
      <c r="D1231" s="13" t="inlineStr">
        <is>
          <t>기능</t>
        </is>
      </c>
      <c r="E1231" s="13" t="inlineStr">
        <is>
          <t>미실행</t>
        </is>
      </c>
    </row>
    <row r="1232">
      <c r="A1232" s="13" t="inlineStr">
        <is>
          <t>화면</t>
        </is>
      </c>
      <c r="B1232" s="13" t="inlineStr">
        <is>
          <t>MY-05</t>
        </is>
      </c>
      <c r="C1232" s="13" t="inlineStr">
        <is>
          <t>TC-MY-05-02</t>
        </is>
      </c>
      <c r="D1232" s="13" t="inlineStr">
        <is>
          <t>기능</t>
        </is>
      </c>
      <c r="E1232" s="13" t="inlineStr">
        <is>
          <t>미실행</t>
        </is>
      </c>
    </row>
    <row r="1233">
      <c r="A1233" s="13" t="inlineStr">
        <is>
          <t>요건</t>
        </is>
      </c>
      <c r="B1233" s="13" t="inlineStr">
        <is>
          <t>V-14</t>
        </is>
      </c>
      <c r="C1233" s="13" t="inlineStr">
        <is>
          <t>TC-MY-05-02</t>
        </is>
      </c>
      <c r="D1233" s="13" t="inlineStr">
        <is>
          <t>기능</t>
        </is>
      </c>
      <c r="E1233" s="13" t="inlineStr">
        <is>
          <t>미실행</t>
        </is>
      </c>
    </row>
    <row r="1234">
      <c r="A1234" s="13" t="inlineStr">
        <is>
          <t>화면</t>
        </is>
      </c>
      <c r="B1234" s="13" t="inlineStr">
        <is>
          <t>MY-05</t>
        </is>
      </c>
      <c r="C1234" s="13" t="inlineStr">
        <is>
          <t>TC-MY-05-03</t>
        </is>
      </c>
      <c r="D1234" s="13" t="inlineStr">
        <is>
          <t>기능</t>
        </is>
      </c>
      <c r="E1234" s="13" t="inlineStr">
        <is>
          <t>미실행</t>
        </is>
      </c>
    </row>
    <row r="1235">
      <c r="A1235" s="13" t="inlineStr">
        <is>
          <t>요건</t>
        </is>
      </c>
      <c r="B1235" s="13" t="inlineStr">
        <is>
          <t>V-14</t>
        </is>
      </c>
      <c r="C1235" s="13" t="inlineStr">
        <is>
          <t>TC-MY-05-03</t>
        </is>
      </c>
      <c r="D1235" s="13" t="inlineStr">
        <is>
          <t>기능</t>
        </is>
      </c>
      <c r="E1235" s="13" t="inlineStr">
        <is>
          <t>미실행</t>
        </is>
      </c>
    </row>
    <row r="1236">
      <c r="A1236" s="13" t="inlineStr">
        <is>
          <t>화면</t>
        </is>
      </c>
      <c r="B1236" s="13" t="inlineStr">
        <is>
          <t>MY-05</t>
        </is>
      </c>
      <c r="C1236" s="13" t="inlineStr">
        <is>
          <t>TC-MY-05-04</t>
        </is>
      </c>
      <c r="D1236" s="13" t="inlineStr">
        <is>
          <t>시나리오</t>
        </is>
      </c>
      <c r="E1236" s="13" t="inlineStr">
        <is>
          <t>미실행</t>
        </is>
      </c>
    </row>
    <row r="1237">
      <c r="A1237" s="13" t="inlineStr">
        <is>
          <t>화면</t>
        </is>
      </c>
      <c r="B1237" s="13" t="inlineStr">
        <is>
          <t>AUTH-03</t>
        </is>
      </c>
      <c r="C1237" s="13" t="inlineStr">
        <is>
          <t>TC-MY-05-04</t>
        </is>
      </c>
      <c r="D1237" s="13" t="inlineStr">
        <is>
          <t>시나리오</t>
        </is>
      </c>
      <c r="E1237" s="13" t="inlineStr">
        <is>
          <t>미실행</t>
        </is>
      </c>
    </row>
    <row r="1238">
      <c r="A1238" s="13" t="inlineStr">
        <is>
          <t>요건</t>
        </is>
      </c>
      <c r="B1238" s="13" t="inlineStr">
        <is>
          <t>V-14</t>
        </is>
      </c>
      <c r="C1238" s="13" t="inlineStr">
        <is>
          <t>TC-MY-05-04</t>
        </is>
      </c>
      <c r="D1238" s="13" t="inlineStr">
        <is>
          <t>시나리오</t>
        </is>
      </c>
      <c r="E1238" s="13" t="inlineStr">
        <is>
          <t>미실행</t>
        </is>
      </c>
    </row>
    <row r="1239">
      <c r="A1239" s="13" t="inlineStr">
        <is>
          <t>화면</t>
        </is>
      </c>
      <c r="B1239" s="13" t="inlineStr">
        <is>
          <t>MY-05</t>
        </is>
      </c>
      <c r="C1239" s="13" t="inlineStr">
        <is>
          <t>TC-MY-05-05</t>
        </is>
      </c>
      <c r="D1239" s="13" t="inlineStr">
        <is>
          <t>기능</t>
        </is>
      </c>
      <c r="E1239" s="13" t="inlineStr">
        <is>
          <t>보류</t>
        </is>
      </c>
    </row>
    <row r="1240">
      <c r="A1240" s="13" t="inlineStr">
        <is>
          <t>화면</t>
        </is>
      </c>
      <c r="B1240" s="13" t="inlineStr">
        <is>
          <t>AUTH-03</t>
        </is>
      </c>
      <c r="C1240" s="13" t="inlineStr">
        <is>
          <t>TC-MY-05-05</t>
        </is>
      </c>
      <c r="D1240" s="13" t="inlineStr">
        <is>
          <t>기능</t>
        </is>
      </c>
      <c r="E1240" s="13" t="inlineStr">
        <is>
          <t>보류</t>
        </is>
      </c>
    </row>
    <row r="1241">
      <c r="A1241" s="13" t="inlineStr">
        <is>
          <t>요건</t>
        </is>
      </c>
      <c r="B1241" s="13" t="inlineStr">
        <is>
          <t>V-14</t>
        </is>
      </c>
      <c r="C1241" s="13" t="inlineStr">
        <is>
          <t>TC-MY-05-05</t>
        </is>
      </c>
      <c r="D1241" s="13" t="inlineStr">
        <is>
          <t>기능</t>
        </is>
      </c>
      <c r="E1241" s="13" t="inlineStr">
        <is>
          <t>보류</t>
        </is>
      </c>
    </row>
    <row r="1242">
      <c r="A1242" s="13" t="inlineStr">
        <is>
          <t>화면</t>
        </is>
      </c>
      <c r="B1242" s="13" t="inlineStr">
        <is>
          <t>HOME-04</t>
        </is>
      </c>
      <c r="C1242" s="13" t="inlineStr">
        <is>
          <t>TC-MY-05-06</t>
        </is>
      </c>
      <c r="D1242" s="13" t="inlineStr">
        <is>
          <t>기능</t>
        </is>
      </c>
      <c r="E1242" s="13" t="inlineStr">
        <is>
          <t>미실행</t>
        </is>
      </c>
    </row>
    <row r="1243">
      <c r="A1243" s="13" t="inlineStr">
        <is>
          <t>화면</t>
        </is>
      </c>
      <c r="B1243" s="13" t="inlineStr">
        <is>
          <t>MY-05</t>
        </is>
      </c>
      <c r="C1243" s="13" t="inlineStr">
        <is>
          <t>TC-MY-05-06</t>
        </is>
      </c>
      <c r="D1243" s="13" t="inlineStr">
        <is>
          <t>기능</t>
        </is>
      </c>
      <c r="E1243" s="13" t="inlineStr">
        <is>
          <t>미실행</t>
        </is>
      </c>
    </row>
    <row r="1244">
      <c r="A1244" s="13" t="inlineStr">
        <is>
          <t>요건</t>
        </is>
      </c>
      <c r="B1244" s="13" t="inlineStr">
        <is>
          <t>V-8</t>
        </is>
      </c>
      <c r="C1244" s="13" t="inlineStr">
        <is>
          <t>TC-MY-05-06</t>
        </is>
      </c>
      <c r="D1244" s="13" t="inlineStr">
        <is>
          <t>기능</t>
        </is>
      </c>
      <c r="E1244" s="13" t="inlineStr">
        <is>
          <t>미실행</t>
        </is>
      </c>
    </row>
    <row r="1245">
      <c r="A1245" s="13" t="inlineStr">
        <is>
          <t>화면</t>
        </is>
      </c>
      <c r="B1245" s="13" t="inlineStr">
        <is>
          <t>MY-06</t>
        </is>
      </c>
      <c r="C1245" s="13" t="inlineStr">
        <is>
          <t>TC-MY-06-01</t>
        </is>
      </c>
      <c r="D1245" s="13" t="inlineStr">
        <is>
          <t>접근성</t>
        </is>
      </c>
      <c r="E1245" s="13" t="inlineStr">
        <is>
          <t>미실행</t>
        </is>
      </c>
    </row>
    <row r="1246">
      <c r="A1246" s="13" t="inlineStr">
        <is>
          <t>화면</t>
        </is>
      </c>
      <c r="B1246" s="13" t="inlineStr">
        <is>
          <t>MY-07</t>
        </is>
      </c>
      <c r="C1246" s="13" t="inlineStr">
        <is>
          <t>TC-MY-06-01</t>
        </is>
      </c>
      <c r="D1246" s="13" t="inlineStr">
        <is>
          <t>접근성</t>
        </is>
      </c>
      <c r="E1246" s="13" t="inlineStr">
        <is>
          <t>미실행</t>
        </is>
      </c>
    </row>
    <row r="1247">
      <c r="A1247" s="13" t="inlineStr">
        <is>
          <t>화면</t>
        </is>
      </c>
      <c r="B1247" s="13" t="inlineStr">
        <is>
          <t>MY-08</t>
        </is>
      </c>
      <c r="C1247" s="13" t="inlineStr">
        <is>
          <t>TC-MY-06-01</t>
        </is>
      </c>
      <c r="D1247" s="13" t="inlineStr">
        <is>
          <t>접근성</t>
        </is>
      </c>
      <c r="E1247" s="13" t="inlineStr">
        <is>
          <t>미실행</t>
        </is>
      </c>
    </row>
    <row r="1248">
      <c r="A1248" s="13" t="inlineStr">
        <is>
          <t>요건</t>
        </is>
      </c>
      <c r="B1248" s="13" t="inlineStr">
        <is>
          <t>V-1</t>
        </is>
      </c>
      <c r="C1248" s="13" t="inlineStr">
        <is>
          <t>TC-MY-06-01</t>
        </is>
      </c>
      <c r="D1248" s="13" t="inlineStr">
        <is>
          <t>접근성</t>
        </is>
      </c>
      <c r="E1248" s="13" t="inlineStr">
        <is>
          <t>미실행</t>
        </is>
      </c>
    </row>
    <row r="1249">
      <c r="A1249" s="13" t="inlineStr">
        <is>
          <t>요건</t>
        </is>
      </c>
      <c r="B1249" s="13" t="inlineStr">
        <is>
          <t>V-14</t>
        </is>
      </c>
      <c r="C1249" s="13" t="inlineStr">
        <is>
          <t>TC-MY-06-01</t>
        </is>
      </c>
      <c r="D1249" s="13" t="inlineStr">
        <is>
          <t>접근성</t>
        </is>
      </c>
      <c r="E1249" s="13" t="inlineStr">
        <is>
          <t>미실행</t>
        </is>
      </c>
    </row>
    <row r="1250">
      <c r="A1250" s="13" t="inlineStr">
        <is>
          <t>요건</t>
        </is>
      </c>
      <c r="B1250" s="13" t="inlineStr">
        <is>
          <t>NFR-05</t>
        </is>
      </c>
      <c r="C1250" s="13" t="inlineStr">
        <is>
          <t>TC-MY-06-01</t>
        </is>
      </c>
      <c r="D1250" s="13" t="inlineStr">
        <is>
          <t>접근성</t>
        </is>
      </c>
      <c r="E1250" s="13" t="inlineStr">
        <is>
          <t>미실행</t>
        </is>
      </c>
    </row>
    <row r="1251">
      <c r="A1251" s="13" t="inlineStr">
        <is>
          <t>요건</t>
        </is>
      </c>
      <c r="B1251" s="13" t="inlineStr">
        <is>
          <t>AC-05</t>
        </is>
      </c>
      <c r="C1251" s="13" t="inlineStr">
        <is>
          <t>TC-MY-06-01</t>
        </is>
      </c>
      <c r="D1251" s="13" t="inlineStr">
        <is>
          <t>접근성</t>
        </is>
      </c>
      <c r="E1251" s="13" t="inlineStr">
        <is>
          <t>미실행</t>
        </is>
      </c>
    </row>
    <row r="1252">
      <c r="A1252" s="13" t="inlineStr">
        <is>
          <t>화면</t>
        </is>
      </c>
      <c r="B1252" s="13" t="inlineStr">
        <is>
          <t>MY-06</t>
        </is>
      </c>
      <c r="C1252" s="13" t="inlineStr">
        <is>
          <t>TC-MY-06-02</t>
        </is>
      </c>
      <c r="D1252" s="13" t="inlineStr">
        <is>
          <t>접근성</t>
        </is>
      </c>
      <c r="E1252" s="13" t="inlineStr">
        <is>
          <t>미실행</t>
        </is>
      </c>
    </row>
    <row r="1253">
      <c r="A1253" s="13" t="inlineStr">
        <is>
          <t>화면</t>
        </is>
      </c>
      <c r="B1253" s="13" t="inlineStr">
        <is>
          <t>MY-07</t>
        </is>
      </c>
      <c r="C1253" s="13" t="inlineStr">
        <is>
          <t>TC-MY-06-02</t>
        </is>
      </c>
      <c r="D1253" s="13" t="inlineStr">
        <is>
          <t>접근성</t>
        </is>
      </c>
      <c r="E1253" s="13" t="inlineStr">
        <is>
          <t>미실행</t>
        </is>
      </c>
    </row>
    <row r="1254">
      <c r="A1254" s="13" t="inlineStr">
        <is>
          <t>화면</t>
        </is>
      </c>
      <c r="B1254" s="13" t="inlineStr">
        <is>
          <t>MY-08</t>
        </is>
      </c>
      <c r="C1254" s="13" t="inlineStr">
        <is>
          <t>TC-MY-06-02</t>
        </is>
      </c>
      <c r="D1254" s="13" t="inlineStr">
        <is>
          <t>접근성</t>
        </is>
      </c>
      <c r="E1254" s="13" t="inlineStr">
        <is>
          <t>미실행</t>
        </is>
      </c>
    </row>
    <row r="1255">
      <c r="A1255" s="13" t="inlineStr">
        <is>
          <t>요건</t>
        </is>
      </c>
      <c r="B1255" s="13" t="inlineStr">
        <is>
          <t>NFR-03</t>
        </is>
      </c>
      <c r="C1255" s="13" t="inlineStr">
        <is>
          <t>TC-MY-06-02</t>
        </is>
      </c>
      <c r="D1255" s="13" t="inlineStr">
        <is>
          <t>접근성</t>
        </is>
      </c>
      <c r="E1255" s="13" t="inlineStr">
        <is>
          <t>미실행</t>
        </is>
      </c>
    </row>
    <row r="1256">
      <c r="A1256" s="13" t="inlineStr">
        <is>
          <t>요건</t>
        </is>
      </c>
      <c r="B1256" s="13" t="inlineStr">
        <is>
          <t>T-1</t>
        </is>
      </c>
      <c r="C1256" s="13" t="inlineStr">
        <is>
          <t>TC-MY-06-02</t>
        </is>
      </c>
      <c r="D1256" s="13" t="inlineStr">
        <is>
          <t>접근성</t>
        </is>
      </c>
      <c r="E1256" s="13" t="inlineStr">
        <is>
          <t>미실행</t>
        </is>
      </c>
    </row>
    <row r="1257">
      <c r="A1257" s="13" t="inlineStr">
        <is>
          <t>요건</t>
        </is>
      </c>
      <c r="B1257" s="13" t="inlineStr">
        <is>
          <t>T-2</t>
        </is>
      </c>
      <c r="C1257" s="13" t="inlineStr">
        <is>
          <t>TC-MY-06-02</t>
        </is>
      </c>
      <c r="D1257" s="13" t="inlineStr">
        <is>
          <t>접근성</t>
        </is>
      </c>
      <c r="E1257" s="13" t="inlineStr">
        <is>
          <t>미실행</t>
        </is>
      </c>
    </row>
    <row r="1258">
      <c r="A1258" s="13" t="inlineStr">
        <is>
          <t>화면</t>
        </is>
      </c>
      <c r="B1258" s="13" t="inlineStr">
        <is>
          <t>MY-06</t>
        </is>
      </c>
      <c r="C1258" s="13" t="inlineStr">
        <is>
          <t>TC-MY-06-03</t>
        </is>
      </c>
      <c r="D1258" s="13" t="inlineStr">
        <is>
          <t>접근성</t>
        </is>
      </c>
      <c r="E1258" s="13" t="inlineStr">
        <is>
          <t>미실행</t>
        </is>
      </c>
    </row>
    <row r="1259">
      <c r="A1259" s="13" t="inlineStr">
        <is>
          <t>화면</t>
        </is>
      </c>
      <c r="B1259" s="13" t="inlineStr">
        <is>
          <t>MY-07</t>
        </is>
      </c>
      <c r="C1259" s="13" t="inlineStr">
        <is>
          <t>TC-MY-06-03</t>
        </is>
      </c>
      <c r="D1259" s="13" t="inlineStr">
        <is>
          <t>접근성</t>
        </is>
      </c>
      <c r="E1259" s="13" t="inlineStr">
        <is>
          <t>미실행</t>
        </is>
      </c>
    </row>
    <row r="1260">
      <c r="A1260" s="13" t="inlineStr">
        <is>
          <t>화면</t>
        </is>
      </c>
      <c r="B1260" s="13" t="inlineStr">
        <is>
          <t>MY-08</t>
        </is>
      </c>
      <c r="C1260" s="13" t="inlineStr">
        <is>
          <t>TC-MY-06-03</t>
        </is>
      </c>
      <c r="D1260" s="13" t="inlineStr">
        <is>
          <t>접근성</t>
        </is>
      </c>
      <c r="E1260" s="13" t="inlineStr">
        <is>
          <t>미실행</t>
        </is>
      </c>
    </row>
    <row r="1261">
      <c r="A1261" s="13" t="inlineStr">
        <is>
          <t>요건</t>
        </is>
      </c>
      <c r="B1261" s="13" t="inlineStr">
        <is>
          <t>AC-06</t>
        </is>
      </c>
      <c r="C1261" s="13" t="inlineStr">
        <is>
          <t>TC-MY-06-03</t>
        </is>
      </c>
      <c r="D1261" s="13" t="inlineStr">
        <is>
          <t>접근성</t>
        </is>
      </c>
      <c r="E1261" s="13" t="inlineStr">
        <is>
          <t>미실행</t>
        </is>
      </c>
    </row>
    <row r="1262">
      <c r="A1262" s="13" t="inlineStr">
        <is>
          <t>요건</t>
        </is>
      </c>
      <c r="B1262" s="13" t="inlineStr">
        <is>
          <t>T-4</t>
        </is>
      </c>
      <c r="C1262" s="13" t="inlineStr">
        <is>
          <t>TC-MY-06-03</t>
        </is>
      </c>
      <c r="D1262" s="13" t="inlineStr">
        <is>
          <t>접근성</t>
        </is>
      </c>
      <c r="E1262" s="13" t="inlineStr">
        <is>
          <t>미실행</t>
        </is>
      </c>
    </row>
    <row r="1263">
      <c r="A1263" s="13" t="inlineStr">
        <is>
          <t>요건</t>
        </is>
      </c>
      <c r="B1263" s="13" t="inlineStr">
        <is>
          <t>S-4</t>
        </is>
      </c>
      <c r="C1263" s="13" t="inlineStr">
        <is>
          <t>TC-MY-06-03</t>
        </is>
      </c>
      <c r="D1263" s="13" t="inlineStr">
        <is>
          <t>접근성</t>
        </is>
      </c>
      <c r="E1263" s="13" t="inlineStr">
        <is>
          <t>미실행</t>
        </is>
      </c>
    </row>
    <row r="1264">
      <c r="A1264" s="13" t="inlineStr">
        <is>
          <t>화면</t>
        </is>
      </c>
      <c r="B1264" s="13" t="inlineStr">
        <is>
          <t>MY-06</t>
        </is>
      </c>
      <c r="C1264" s="13" t="inlineStr">
        <is>
          <t>TC-MY-06-04</t>
        </is>
      </c>
      <c r="D1264" s="13" t="inlineStr">
        <is>
          <t>접근성</t>
        </is>
      </c>
      <c r="E1264" s="13" t="inlineStr">
        <is>
          <t>미실행</t>
        </is>
      </c>
    </row>
    <row r="1265">
      <c r="A1265" s="13" t="inlineStr">
        <is>
          <t>화면</t>
        </is>
      </c>
      <c r="B1265" s="13" t="inlineStr">
        <is>
          <t>MY-07</t>
        </is>
      </c>
      <c r="C1265" s="13" t="inlineStr">
        <is>
          <t>TC-MY-06-04</t>
        </is>
      </c>
      <c r="D1265" s="13" t="inlineStr">
        <is>
          <t>접근성</t>
        </is>
      </c>
      <c r="E1265" s="13" t="inlineStr">
        <is>
          <t>미실행</t>
        </is>
      </c>
    </row>
    <row r="1266">
      <c r="A1266" s="13" t="inlineStr">
        <is>
          <t>화면</t>
        </is>
      </c>
      <c r="B1266" s="13" t="inlineStr">
        <is>
          <t>MY-08</t>
        </is>
      </c>
      <c r="C1266" s="13" t="inlineStr">
        <is>
          <t>TC-MY-06-04</t>
        </is>
      </c>
      <c r="D1266" s="13" t="inlineStr">
        <is>
          <t>접근성</t>
        </is>
      </c>
      <c r="E1266" s="13" t="inlineStr">
        <is>
          <t>미실행</t>
        </is>
      </c>
    </row>
    <row r="1267">
      <c r="A1267" s="13" t="inlineStr">
        <is>
          <t>요건</t>
        </is>
      </c>
      <c r="B1267" s="13" t="inlineStr">
        <is>
          <t>NFR-04</t>
        </is>
      </c>
      <c r="C1267" s="13" t="inlineStr">
        <is>
          <t>TC-MY-06-04</t>
        </is>
      </c>
      <c r="D1267" s="13" t="inlineStr">
        <is>
          <t>접근성</t>
        </is>
      </c>
      <c r="E1267" s="13" t="inlineStr">
        <is>
          <t>미실행</t>
        </is>
      </c>
    </row>
    <row r="1268">
      <c r="A1268" s="13" t="inlineStr">
        <is>
          <t>요건</t>
        </is>
      </c>
      <c r="B1268" s="13" t="inlineStr">
        <is>
          <t>AC-05</t>
        </is>
      </c>
      <c r="C1268" s="13" t="inlineStr">
        <is>
          <t>TC-MY-06-04</t>
        </is>
      </c>
      <c r="D1268" s="13" t="inlineStr">
        <is>
          <t>접근성</t>
        </is>
      </c>
      <c r="E1268" s="13" t="inlineStr">
        <is>
          <t>미실행</t>
        </is>
      </c>
    </row>
    <row r="1269">
      <c r="A1269" s="13" t="inlineStr">
        <is>
          <t>화면</t>
        </is>
      </c>
      <c r="B1269" s="13" t="inlineStr">
        <is>
          <t>MY-06</t>
        </is>
      </c>
      <c r="C1269" s="13" t="inlineStr">
        <is>
          <t>TC-MY-06-05</t>
        </is>
      </c>
      <c r="D1269" s="13" t="inlineStr">
        <is>
          <t>기능</t>
        </is>
      </c>
      <c r="E1269" s="13" t="inlineStr">
        <is>
          <t>미실행</t>
        </is>
      </c>
    </row>
    <row r="1270">
      <c r="A1270" s="13" t="inlineStr">
        <is>
          <t>화면</t>
        </is>
      </c>
      <c r="B1270" s="13" t="inlineStr">
        <is>
          <t>MY-07</t>
        </is>
      </c>
      <c r="C1270" s="13" t="inlineStr">
        <is>
          <t>TC-MY-06-05</t>
        </is>
      </c>
      <c r="D1270" s="13" t="inlineStr">
        <is>
          <t>기능</t>
        </is>
      </c>
      <c r="E1270" s="13" t="inlineStr">
        <is>
          <t>미실행</t>
        </is>
      </c>
    </row>
    <row r="1271">
      <c r="A1271" s="13" t="inlineStr">
        <is>
          <t>화면</t>
        </is>
      </c>
      <c r="B1271" s="13" t="inlineStr">
        <is>
          <t>MY-08</t>
        </is>
      </c>
      <c r="C1271" s="13" t="inlineStr">
        <is>
          <t>TC-MY-06-05</t>
        </is>
      </c>
      <c r="D1271" s="13" t="inlineStr">
        <is>
          <t>기능</t>
        </is>
      </c>
      <c r="E1271" s="13" t="inlineStr">
        <is>
          <t>미실행</t>
        </is>
      </c>
    </row>
    <row r="1272">
      <c r="A1272" s="13" t="inlineStr">
        <is>
          <t>요건</t>
        </is>
      </c>
      <c r="B1272" s="13" t="inlineStr">
        <is>
          <t>V-14</t>
        </is>
      </c>
      <c r="C1272" s="13" t="inlineStr">
        <is>
          <t>TC-MY-06-05</t>
        </is>
      </c>
      <c r="D1272" s="13" t="inlineStr">
        <is>
          <t>기능</t>
        </is>
      </c>
      <c r="E1272" s="13" t="inlineStr">
        <is>
          <t>미실행</t>
        </is>
      </c>
    </row>
    <row r="1273">
      <c r="A1273" s="13" t="inlineStr">
        <is>
          <t>화면</t>
        </is>
      </c>
      <c r="B1273" s="13" t="inlineStr">
        <is>
          <t>HOME-04</t>
        </is>
      </c>
      <c r="C1273" s="13" t="inlineStr">
        <is>
          <t>TC-MY-06-06</t>
        </is>
      </c>
      <c r="D1273" s="13" t="inlineStr">
        <is>
          <t>비기능</t>
        </is>
      </c>
      <c r="E1273" s="13" t="inlineStr">
        <is>
          <t>미실행</t>
        </is>
      </c>
    </row>
    <row r="1274">
      <c r="A1274" s="13" t="inlineStr">
        <is>
          <t>화면</t>
        </is>
      </c>
      <c r="B1274" s="13" t="inlineStr">
        <is>
          <t>MY-06</t>
        </is>
      </c>
      <c r="C1274" s="13" t="inlineStr">
        <is>
          <t>TC-MY-06-06</t>
        </is>
      </c>
      <c r="D1274" s="13" t="inlineStr">
        <is>
          <t>비기능</t>
        </is>
      </c>
      <c r="E1274" s="13" t="inlineStr">
        <is>
          <t>미실행</t>
        </is>
      </c>
    </row>
    <row r="1275">
      <c r="A1275" s="13" t="inlineStr">
        <is>
          <t>화면</t>
        </is>
      </c>
      <c r="B1275" s="13" t="inlineStr">
        <is>
          <t>MY-07</t>
        </is>
      </c>
      <c r="C1275" s="13" t="inlineStr">
        <is>
          <t>TC-MY-06-06</t>
        </is>
      </c>
      <c r="D1275" s="13" t="inlineStr">
        <is>
          <t>비기능</t>
        </is>
      </c>
      <c r="E1275" s="13" t="inlineStr">
        <is>
          <t>미실행</t>
        </is>
      </c>
    </row>
    <row r="1276">
      <c r="A1276" s="13" t="inlineStr">
        <is>
          <t>화면</t>
        </is>
      </c>
      <c r="B1276" s="13" t="inlineStr">
        <is>
          <t>MY-08</t>
        </is>
      </c>
      <c r="C1276" s="13" t="inlineStr">
        <is>
          <t>TC-MY-06-06</t>
        </is>
      </c>
      <c r="D1276" s="13" t="inlineStr">
        <is>
          <t>비기능</t>
        </is>
      </c>
      <c r="E1276" s="13" t="inlineStr">
        <is>
          <t>미실행</t>
        </is>
      </c>
    </row>
    <row r="1277">
      <c r="A1277" s="13" t="inlineStr">
        <is>
          <t>요건</t>
        </is>
      </c>
      <c r="B1277" s="13" t="inlineStr">
        <is>
          <t>NFR-07</t>
        </is>
      </c>
      <c r="C1277" s="13" t="inlineStr">
        <is>
          <t>TC-MY-06-06</t>
        </is>
      </c>
      <c r="D1277" s="13" t="inlineStr">
        <is>
          <t>비기능</t>
        </is>
      </c>
      <c r="E1277" s="13" t="inlineStr">
        <is>
          <t>미실행</t>
        </is>
      </c>
    </row>
    <row r="1278">
      <c r="A1278" s="13" t="inlineStr">
        <is>
          <t>화면</t>
        </is>
      </c>
      <c r="B1278" s="13" t="inlineStr">
        <is>
          <t>MY-05</t>
        </is>
      </c>
      <c r="C1278" s="13" t="inlineStr">
        <is>
          <t>TC-MY-06-07</t>
        </is>
      </c>
      <c r="D1278" s="13" t="inlineStr">
        <is>
          <t>기능</t>
        </is>
      </c>
      <c r="E1278" s="13" t="inlineStr">
        <is>
          <t>보류</t>
        </is>
      </c>
    </row>
    <row r="1279">
      <c r="A1279" s="13" t="inlineStr">
        <is>
          <t>화면</t>
        </is>
      </c>
      <c r="B1279" s="13" t="inlineStr">
        <is>
          <t>MY-06</t>
        </is>
      </c>
      <c r="C1279" s="13" t="inlineStr">
        <is>
          <t>TC-MY-06-07</t>
        </is>
      </c>
      <c r="D1279" s="13" t="inlineStr">
        <is>
          <t>기능</t>
        </is>
      </c>
      <c r="E1279" s="13" t="inlineStr">
        <is>
          <t>보류</t>
        </is>
      </c>
    </row>
    <row r="1280">
      <c r="A1280" s="13" t="inlineStr">
        <is>
          <t>화면</t>
        </is>
      </c>
      <c r="B1280" s="13" t="inlineStr">
        <is>
          <t>MY-07</t>
        </is>
      </c>
      <c r="C1280" s="13" t="inlineStr">
        <is>
          <t>TC-MY-06-07</t>
        </is>
      </c>
      <c r="D1280" s="13" t="inlineStr">
        <is>
          <t>기능</t>
        </is>
      </c>
      <c r="E1280" s="13" t="inlineStr">
        <is>
          <t>보류</t>
        </is>
      </c>
    </row>
    <row r="1281">
      <c r="A1281" s="13" t="inlineStr">
        <is>
          <t>화면</t>
        </is>
      </c>
      <c r="B1281" s="13" t="inlineStr">
        <is>
          <t>MY-08</t>
        </is>
      </c>
      <c r="C1281" s="13" t="inlineStr">
        <is>
          <t>TC-MY-06-07</t>
        </is>
      </c>
      <c r="D1281" s="13" t="inlineStr">
        <is>
          <t>기능</t>
        </is>
      </c>
      <c r="E1281" s="13" t="inlineStr">
        <is>
          <t>보류</t>
        </is>
      </c>
    </row>
    <row r="1282">
      <c r="A1282" s="13" t="inlineStr">
        <is>
          <t>요건</t>
        </is>
      </c>
      <c r="B1282" s="13" t="inlineStr">
        <is>
          <t>V-14</t>
        </is>
      </c>
      <c r="C1282" s="13" t="inlineStr">
        <is>
          <t>TC-MY-06-07</t>
        </is>
      </c>
      <c r="D1282" s="13" t="inlineStr">
        <is>
          <t>기능</t>
        </is>
      </c>
      <c r="E1282" s="13" t="inlineStr">
        <is>
          <t>보류</t>
        </is>
      </c>
    </row>
    <row r="1283">
      <c r="A1283" s="13" t="inlineStr">
        <is>
          <t>화면</t>
        </is>
      </c>
      <c r="B1283" s="13" t="inlineStr">
        <is>
          <t>2-7</t>
        </is>
      </c>
      <c r="C1283" s="13" t="inlineStr">
        <is>
          <t>TC-2-7-01</t>
        </is>
      </c>
      <c r="D1283" s="13" t="inlineStr">
        <is>
          <t>기능</t>
        </is>
      </c>
      <c r="E1283" s="13" t="inlineStr">
        <is>
          <t>미실행</t>
        </is>
      </c>
    </row>
    <row r="1284">
      <c r="A1284" s="13" t="inlineStr">
        <is>
          <t>요건</t>
        </is>
      </c>
      <c r="B1284" s="13" t="inlineStr">
        <is>
          <t>FR-A4</t>
        </is>
      </c>
      <c r="C1284" s="13" t="inlineStr">
        <is>
          <t>TC-2-7-01</t>
        </is>
      </c>
      <c r="D1284" s="13" t="inlineStr">
        <is>
          <t>기능</t>
        </is>
      </c>
      <c r="E1284" s="13" t="inlineStr">
        <is>
          <t>미실행</t>
        </is>
      </c>
    </row>
    <row r="1285">
      <c r="A1285" s="13" t="inlineStr">
        <is>
          <t>화면</t>
        </is>
      </c>
      <c r="B1285" s="13" t="inlineStr">
        <is>
          <t>2-7</t>
        </is>
      </c>
      <c r="C1285" s="13" t="inlineStr">
        <is>
          <t>TC-2-7-02</t>
        </is>
      </c>
      <c r="D1285" s="13" t="inlineStr">
        <is>
          <t>접근성</t>
        </is>
      </c>
      <c r="E1285" s="13" t="inlineStr">
        <is>
          <t>미실행</t>
        </is>
      </c>
    </row>
    <row r="1286">
      <c r="A1286" s="13" t="inlineStr">
        <is>
          <t>요건</t>
        </is>
      </c>
      <c r="B1286" s="13" t="inlineStr">
        <is>
          <t>FR-A4</t>
        </is>
      </c>
      <c r="C1286" s="13" t="inlineStr">
        <is>
          <t>TC-2-7-02</t>
        </is>
      </c>
      <c r="D1286" s="13" t="inlineStr">
        <is>
          <t>접근성</t>
        </is>
      </c>
      <c r="E1286" s="13" t="inlineStr">
        <is>
          <t>미실행</t>
        </is>
      </c>
    </row>
    <row r="1287">
      <c r="A1287" s="13" t="inlineStr">
        <is>
          <t>요건</t>
        </is>
      </c>
      <c r="B1287" s="13" t="inlineStr">
        <is>
          <t>AC-05</t>
        </is>
      </c>
      <c r="C1287" s="13" t="inlineStr">
        <is>
          <t>TC-2-7-02</t>
        </is>
      </c>
      <c r="D1287" s="13" t="inlineStr">
        <is>
          <t>접근성</t>
        </is>
      </c>
      <c r="E1287" s="13" t="inlineStr">
        <is>
          <t>미실행</t>
        </is>
      </c>
    </row>
    <row r="1288">
      <c r="A1288" s="13" t="inlineStr">
        <is>
          <t>요건</t>
        </is>
      </c>
      <c r="B1288" s="13" t="inlineStr">
        <is>
          <t>V-1</t>
        </is>
      </c>
      <c r="C1288" s="13" t="inlineStr">
        <is>
          <t>TC-2-7-02</t>
        </is>
      </c>
      <c r="D1288" s="13" t="inlineStr">
        <is>
          <t>접근성</t>
        </is>
      </c>
      <c r="E1288" s="13" t="inlineStr">
        <is>
          <t>미실행</t>
        </is>
      </c>
    </row>
    <row r="1289">
      <c r="A1289" s="13" t="inlineStr">
        <is>
          <t>화면</t>
        </is>
      </c>
      <c r="B1289" s="13" t="inlineStr">
        <is>
          <t>2-7</t>
        </is>
      </c>
      <c r="C1289" s="13" t="inlineStr">
        <is>
          <t>TC-2-7-03</t>
        </is>
      </c>
      <c r="D1289" s="13" t="inlineStr">
        <is>
          <t>기능</t>
        </is>
      </c>
      <c r="E1289" s="13" t="inlineStr">
        <is>
          <t>미실행</t>
        </is>
      </c>
    </row>
    <row r="1290">
      <c r="A1290" s="13" t="inlineStr">
        <is>
          <t>요건</t>
        </is>
      </c>
      <c r="B1290" s="13" t="inlineStr">
        <is>
          <t>FR-A4</t>
        </is>
      </c>
      <c r="C1290" s="13" t="inlineStr">
        <is>
          <t>TC-2-7-03</t>
        </is>
      </c>
      <c r="D1290" s="13" t="inlineStr">
        <is>
          <t>기능</t>
        </is>
      </c>
      <c r="E1290" s="13" t="inlineStr">
        <is>
          <t>미실행</t>
        </is>
      </c>
    </row>
    <row r="1291">
      <c r="A1291" s="13" t="inlineStr">
        <is>
          <t>화면</t>
        </is>
      </c>
      <c r="B1291" s="13" t="inlineStr">
        <is>
          <t>2-7</t>
        </is>
      </c>
      <c r="C1291" s="13" t="inlineStr">
        <is>
          <t>TC-2-7-04</t>
        </is>
      </c>
      <c r="D1291" s="13" t="inlineStr">
        <is>
          <t>접근성</t>
        </is>
      </c>
      <c r="E1291" s="13" t="inlineStr">
        <is>
          <t>미실행</t>
        </is>
      </c>
    </row>
    <row r="1292">
      <c r="A1292" s="13" t="inlineStr">
        <is>
          <t>요건</t>
        </is>
      </c>
      <c r="B1292" s="13" t="inlineStr">
        <is>
          <t>V-6</t>
        </is>
      </c>
      <c r="C1292" s="13" t="inlineStr">
        <is>
          <t>TC-2-7-04</t>
        </is>
      </c>
      <c r="D1292" s="13" t="inlineStr">
        <is>
          <t>접근성</t>
        </is>
      </c>
      <c r="E1292" s="13" t="inlineStr">
        <is>
          <t>미실행</t>
        </is>
      </c>
    </row>
    <row r="1293">
      <c r="A1293" s="13" t="inlineStr">
        <is>
          <t>요건</t>
        </is>
      </c>
      <c r="B1293" s="13" t="inlineStr">
        <is>
          <t>V-9</t>
        </is>
      </c>
      <c r="C1293" s="13" t="inlineStr">
        <is>
          <t>TC-2-7-04</t>
        </is>
      </c>
      <c r="D1293" s="13" t="inlineStr">
        <is>
          <t>접근성</t>
        </is>
      </c>
      <c r="E1293" s="13" t="inlineStr">
        <is>
          <t>미실행</t>
        </is>
      </c>
    </row>
    <row r="1294">
      <c r="A1294" s="13" t="inlineStr">
        <is>
          <t>화면</t>
        </is>
      </c>
      <c r="B1294" s="13" t="inlineStr">
        <is>
          <t>2-7</t>
        </is>
      </c>
      <c r="C1294" s="13" t="inlineStr">
        <is>
          <t>TC-2-7-05</t>
        </is>
      </c>
      <c r="D1294" s="13" t="inlineStr">
        <is>
          <t>접근성</t>
        </is>
      </c>
      <c r="E1294" s="13" t="inlineStr">
        <is>
          <t>미실행</t>
        </is>
      </c>
    </row>
    <row r="1295">
      <c r="A1295" s="13" t="inlineStr">
        <is>
          <t>요건</t>
        </is>
      </c>
      <c r="B1295" s="13" t="inlineStr">
        <is>
          <t>V-9</t>
        </is>
      </c>
      <c r="C1295" s="13" t="inlineStr">
        <is>
          <t>TC-2-7-05</t>
        </is>
      </c>
      <c r="D1295" s="13" t="inlineStr">
        <is>
          <t>접근성</t>
        </is>
      </c>
      <c r="E1295" s="13" t="inlineStr">
        <is>
          <t>미실행</t>
        </is>
      </c>
    </row>
    <row r="1296">
      <c r="A1296" s="13" t="inlineStr">
        <is>
          <t>요건</t>
        </is>
      </c>
      <c r="B1296" s="13" t="inlineStr">
        <is>
          <t>NFR-04</t>
        </is>
      </c>
      <c r="C1296" s="13" t="inlineStr">
        <is>
          <t>TC-2-7-05</t>
        </is>
      </c>
      <c r="D1296" s="13" t="inlineStr">
        <is>
          <t>접근성</t>
        </is>
      </c>
      <c r="E1296" s="13" t="inlineStr">
        <is>
          <t>미실행</t>
        </is>
      </c>
    </row>
    <row r="1297">
      <c r="A1297" s="13" t="inlineStr">
        <is>
          <t>화면</t>
        </is>
      </c>
      <c r="B1297" s="13" t="inlineStr">
        <is>
          <t>2-7</t>
        </is>
      </c>
      <c r="C1297" s="13" t="inlineStr">
        <is>
          <t>TC-2-7-06</t>
        </is>
      </c>
      <c r="D1297" s="13" t="inlineStr">
        <is>
          <t>접근성</t>
        </is>
      </c>
      <c r="E1297" s="13" t="inlineStr">
        <is>
          <t>미실행</t>
        </is>
      </c>
    </row>
    <row r="1298">
      <c r="A1298" s="13" t="inlineStr">
        <is>
          <t>요건</t>
        </is>
      </c>
      <c r="B1298" s="13" t="inlineStr">
        <is>
          <t>V-6</t>
        </is>
      </c>
      <c r="C1298" s="13" t="inlineStr">
        <is>
          <t>TC-2-7-06</t>
        </is>
      </c>
      <c r="D1298" s="13" t="inlineStr">
        <is>
          <t>접근성</t>
        </is>
      </c>
      <c r="E1298" s="13" t="inlineStr">
        <is>
          <t>미실행</t>
        </is>
      </c>
    </row>
    <row r="1299">
      <c r="A1299" s="13" t="inlineStr">
        <is>
          <t>화면</t>
        </is>
      </c>
      <c r="B1299" s="13" t="inlineStr">
        <is>
          <t>2-7</t>
        </is>
      </c>
      <c r="C1299" s="13" t="inlineStr">
        <is>
          <t>TC-2-7-07</t>
        </is>
      </c>
      <c r="D1299" s="13" t="inlineStr">
        <is>
          <t>기능</t>
        </is>
      </c>
      <c r="E1299" s="13" t="inlineStr">
        <is>
          <t>미실행</t>
        </is>
      </c>
    </row>
    <row r="1300">
      <c r="A1300" s="13" t="inlineStr">
        <is>
          <t>화면</t>
        </is>
      </c>
      <c r="B1300" s="13" t="inlineStr">
        <is>
          <t>S2-2</t>
        </is>
      </c>
      <c r="C1300" s="13" t="inlineStr">
        <is>
          <t>TC-2-7-07</t>
        </is>
      </c>
      <c r="D1300" s="13" t="inlineStr">
        <is>
          <t>기능</t>
        </is>
      </c>
      <c r="E1300" s="13" t="inlineStr">
        <is>
          <t>미실행</t>
        </is>
      </c>
    </row>
    <row r="1301">
      <c r="A1301" s="13" t="inlineStr">
        <is>
          <t>요건</t>
        </is>
      </c>
      <c r="B1301" s="13" t="inlineStr">
        <is>
          <t>FR-A4</t>
        </is>
      </c>
      <c r="C1301" s="13" t="inlineStr">
        <is>
          <t>TC-2-7-07</t>
        </is>
      </c>
      <c r="D1301" s="13" t="inlineStr">
        <is>
          <t>기능</t>
        </is>
      </c>
      <c r="E1301" s="13" t="inlineStr">
        <is>
          <t>미실행</t>
        </is>
      </c>
    </row>
    <row r="1302">
      <c r="A1302" s="13" t="inlineStr">
        <is>
          <t>요건</t>
        </is>
      </c>
      <c r="B1302" s="13" t="inlineStr">
        <is>
          <t>V-6</t>
        </is>
      </c>
      <c r="C1302" s="13" t="inlineStr">
        <is>
          <t>TC-2-7-07</t>
        </is>
      </c>
      <c r="D1302" s="13" t="inlineStr">
        <is>
          <t>기능</t>
        </is>
      </c>
      <c r="E1302" s="13" t="inlineStr">
        <is>
          <t>미실행</t>
        </is>
      </c>
    </row>
    <row r="1303">
      <c r="A1303" s="13" t="inlineStr">
        <is>
          <t>화면</t>
        </is>
      </c>
      <c r="B1303" s="13" t="inlineStr">
        <is>
          <t>2-7</t>
        </is>
      </c>
      <c r="C1303" s="13" t="inlineStr">
        <is>
          <t>TC-2-7-08</t>
        </is>
      </c>
      <c r="D1303" s="13" t="inlineStr">
        <is>
          <t>접근성</t>
        </is>
      </c>
      <c r="E1303" s="13" t="inlineStr">
        <is>
          <t>미실행</t>
        </is>
      </c>
    </row>
    <row r="1304">
      <c r="A1304" s="13" t="inlineStr">
        <is>
          <t>요건</t>
        </is>
      </c>
      <c r="B1304" s="13" t="inlineStr">
        <is>
          <t>NFR-04</t>
        </is>
      </c>
      <c r="C1304" s="13" t="inlineStr">
        <is>
          <t>TC-2-7-08</t>
        </is>
      </c>
      <c r="D1304" s="13" t="inlineStr">
        <is>
          <t>접근성</t>
        </is>
      </c>
      <c r="E1304" s="13" t="inlineStr">
        <is>
          <t>미실행</t>
        </is>
      </c>
    </row>
    <row r="1305">
      <c r="A1305" s="13" t="inlineStr">
        <is>
          <t>요건</t>
        </is>
      </c>
      <c r="B1305" s="13" t="inlineStr">
        <is>
          <t>AC-05</t>
        </is>
      </c>
      <c r="C1305" s="13" t="inlineStr">
        <is>
          <t>TC-2-7-08</t>
        </is>
      </c>
      <c r="D1305" s="13" t="inlineStr">
        <is>
          <t>접근성</t>
        </is>
      </c>
      <c r="E1305" s="13" t="inlineStr">
        <is>
          <t>미실행</t>
        </is>
      </c>
    </row>
    <row r="1306">
      <c r="A1306" s="13" t="inlineStr">
        <is>
          <t>화면</t>
        </is>
      </c>
      <c r="B1306" s="13" t="inlineStr">
        <is>
          <t>2-7</t>
        </is>
      </c>
      <c r="C1306" s="13" t="inlineStr">
        <is>
          <t>TC-2-7-09</t>
        </is>
      </c>
      <c r="D1306" s="13" t="inlineStr">
        <is>
          <t>접근성</t>
        </is>
      </c>
      <c r="E1306" s="13" t="inlineStr">
        <is>
          <t>미실행</t>
        </is>
      </c>
    </row>
    <row r="1307">
      <c r="A1307" s="13" t="inlineStr">
        <is>
          <t>요건</t>
        </is>
      </c>
      <c r="B1307" s="13" t="inlineStr">
        <is>
          <t>NFR-02</t>
        </is>
      </c>
      <c r="C1307" s="13" t="inlineStr">
        <is>
          <t>TC-2-7-09</t>
        </is>
      </c>
      <c r="D1307" s="13" t="inlineStr">
        <is>
          <t>접근성</t>
        </is>
      </c>
      <c r="E1307" s="13" t="inlineStr">
        <is>
          <t>미실행</t>
        </is>
      </c>
    </row>
    <row r="1308">
      <c r="A1308" s="13" t="inlineStr">
        <is>
          <t>화면</t>
        </is>
      </c>
      <c r="B1308" s="13" t="inlineStr">
        <is>
          <t>2-7</t>
        </is>
      </c>
      <c r="C1308" s="13" t="inlineStr">
        <is>
          <t>TC-2-7-10</t>
        </is>
      </c>
      <c r="D1308" s="13" t="inlineStr">
        <is>
          <t>비기능</t>
        </is>
      </c>
      <c r="E1308" s="13" t="inlineStr">
        <is>
          <t>미실행</t>
        </is>
      </c>
    </row>
    <row r="1309">
      <c r="A1309" s="13" t="inlineStr">
        <is>
          <t>요건</t>
        </is>
      </c>
      <c r="B1309" s="13" t="inlineStr">
        <is>
          <t>SS-2</t>
        </is>
      </c>
      <c r="C1309" s="13" t="inlineStr">
        <is>
          <t>TC-2-7-10</t>
        </is>
      </c>
      <c r="D1309" s="13" t="inlineStr">
        <is>
          <t>비기능</t>
        </is>
      </c>
      <c r="E1309" s="13" t="inlineStr">
        <is>
          <t>미실행</t>
        </is>
      </c>
    </row>
    <row r="1310">
      <c r="A1310" s="13" t="inlineStr">
        <is>
          <t>화면</t>
        </is>
      </c>
      <c r="B1310" s="13" t="inlineStr">
        <is>
          <t>S2-2</t>
        </is>
      </c>
      <c r="C1310" s="13" t="inlineStr">
        <is>
          <t>TC-S2-2-01</t>
        </is>
      </c>
      <c r="D1310" s="13" t="inlineStr">
        <is>
          <t>접근성</t>
        </is>
      </c>
      <c r="E1310" s="13" t="inlineStr">
        <is>
          <t>미실행</t>
        </is>
      </c>
    </row>
    <row r="1311">
      <c r="A1311" s="13" t="inlineStr">
        <is>
          <t>요건</t>
        </is>
      </c>
      <c r="B1311" s="13" t="inlineStr">
        <is>
          <t>FR-A4</t>
        </is>
      </c>
      <c r="C1311" s="13" t="inlineStr">
        <is>
          <t>TC-S2-2-01</t>
        </is>
      </c>
      <c r="D1311" s="13" t="inlineStr">
        <is>
          <t>접근성</t>
        </is>
      </c>
      <c r="E1311" s="13" t="inlineStr">
        <is>
          <t>미실행</t>
        </is>
      </c>
    </row>
    <row r="1312">
      <c r="A1312" s="13" t="inlineStr">
        <is>
          <t>요건</t>
        </is>
      </c>
      <c r="B1312" s="13" t="inlineStr">
        <is>
          <t>AC-05</t>
        </is>
      </c>
      <c r="C1312" s="13" t="inlineStr">
        <is>
          <t>TC-S2-2-01</t>
        </is>
      </c>
      <c r="D1312" s="13" t="inlineStr">
        <is>
          <t>접근성</t>
        </is>
      </c>
      <c r="E1312" s="13" t="inlineStr">
        <is>
          <t>미실행</t>
        </is>
      </c>
    </row>
    <row r="1313">
      <c r="A1313" s="13" t="inlineStr">
        <is>
          <t>화면</t>
        </is>
      </c>
      <c r="B1313" s="13" t="inlineStr">
        <is>
          <t>S2-2</t>
        </is>
      </c>
      <c r="C1313" s="13" t="inlineStr">
        <is>
          <t>TC-S2-2-02</t>
        </is>
      </c>
      <c r="D1313" s="13" t="inlineStr">
        <is>
          <t>기능</t>
        </is>
      </c>
      <c r="E1313" s="13" t="inlineStr">
        <is>
          <t>미실행</t>
        </is>
      </c>
    </row>
    <row r="1314">
      <c r="A1314" s="13" t="inlineStr">
        <is>
          <t>요건</t>
        </is>
      </c>
      <c r="B1314" s="13" t="inlineStr">
        <is>
          <t>FR-A4</t>
        </is>
      </c>
      <c r="C1314" s="13" t="inlineStr">
        <is>
          <t>TC-S2-2-02</t>
        </is>
      </c>
      <c r="D1314" s="13" t="inlineStr">
        <is>
          <t>기능</t>
        </is>
      </c>
      <c r="E1314" s="13" t="inlineStr">
        <is>
          <t>미실행</t>
        </is>
      </c>
    </row>
    <row r="1315">
      <c r="A1315" s="13" t="inlineStr">
        <is>
          <t>요건</t>
        </is>
      </c>
      <c r="B1315" s="13" t="inlineStr">
        <is>
          <t>NFR-04</t>
        </is>
      </c>
      <c r="C1315" s="13" t="inlineStr">
        <is>
          <t>TC-S2-2-02</t>
        </is>
      </c>
      <c r="D1315" s="13" t="inlineStr">
        <is>
          <t>기능</t>
        </is>
      </c>
      <c r="E1315" s="13" t="inlineStr">
        <is>
          <t>미실행</t>
        </is>
      </c>
    </row>
    <row r="1316">
      <c r="A1316" s="13" t="inlineStr">
        <is>
          <t>화면</t>
        </is>
      </c>
      <c r="B1316" s="13" t="inlineStr">
        <is>
          <t>S2-2</t>
        </is>
      </c>
      <c r="C1316" s="13" t="inlineStr">
        <is>
          <t>TC-S2-2-03</t>
        </is>
      </c>
      <c r="D1316" s="13" t="inlineStr">
        <is>
          <t>접근성</t>
        </is>
      </c>
      <c r="E1316" s="13" t="inlineStr">
        <is>
          <t>미실행</t>
        </is>
      </c>
    </row>
    <row r="1317">
      <c r="A1317" s="13" t="inlineStr">
        <is>
          <t>요건</t>
        </is>
      </c>
      <c r="B1317" s="13" t="inlineStr">
        <is>
          <t>V-1</t>
        </is>
      </c>
      <c r="C1317" s="13" t="inlineStr">
        <is>
          <t>TC-S2-2-03</t>
        </is>
      </c>
      <c r="D1317" s="13" t="inlineStr">
        <is>
          <t>접근성</t>
        </is>
      </c>
      <c r="E1317" s="13" t="inlineStr">
        <is>
          <t>미실행</t>
        </is>
      </c>
    </row>
    <row r="1318">
      <c r="A1318" s="13" t="inlineStr">
        <is>
          <t>화면</t>
        </is>
      </c>
      <c r="B1318" s="13" t="inlineStr">
        <is>
          <t>S2-2</t>
        </is>
      </c>
      <c r="C1318" s="13" t="inlineStr">
        <is>
          <t>TC-S2-2-04</t>
        </is>
      </c>
      <c r="D1318" s="13" t="inlineStr">
        <is>
          <t>접근성</t>
        </is>
      </c>
      <c r="E1318" s="13" t="inlineStr">
        <is>
          <t>미실행</t>
        </is>
      </c>
    </row>
    <row r="1319">
      <c r="A1319" s="13" t="inlineStr">
        <is>
          <t>요건</t>
        </is>
      </c>
      <c r="B1319" s="13" t="inlineStr">
        <is>
          <t>V-3</t>
        </is>
      </c>
      <c r="C1319" s="13" t="inlineStr">
        <is>
          <t>TC-S2-2-04</t>
        </is>
      </c>
      <c r="D1319" s="13" t="inlineStr">
        <is>
          <t>접근성</t>
        </is>
      </c>
      <c r="E1319" s="13" t="inlineStr">
        <is>
          <t>미실행</t>
        </is>
      </c>
    </row>
    <row r="1320">
      <c r="A1320" s="13" t="inlineStr">
        <is>
          <t>요건</t>
        </is>
      </c>
      <c r="B1320" s="13" t="inlineStr">
        <is>
          <t>NFR-05</t>
        </is>
      </c>
      <c r="C1320" s="13" t="inlineStr">
        <is>
          <t>TC-S2-2-04</t>
        </is>
      </c>
      <c r="D1320" s="13" t="inlineStr">
        <is>
          <t>접근성</t>
        </is>
      </c>
      <c r="E1320" s="13" t="inlineStr">
        <is>
          <t>미실행</t>
        </is>
      </c>
    </row>
    <row r="1321">
      <c r="A1321" s="13" t="inlineStr">
        <is>
          <t>화면</t>
        </is>
      </c>
      <c r="B1321" s="13" t="inlineStr">
        <is>
          <t>S2-2</t>
        </is>
      </c>
      <c r="C1321" s="13" t="inlineStr">
        <is>
          <t>TC-S2-2-05</t>
        </is>
      </c>
      <c r="D1321" s="13" t="inlineStr">
        <is>
          <t>접근성</t>
        </is>
      </c>
      <c r="E1321" s="13" t="inlineStr">
        <is>
          <t>미실행</t>
        </is>
      </c>
    </row>
    <row r="1322">
      <c r="A1322" s="13" t="inlineStr">
        <is>
          <t>요건</t>
        </is>
      </c>
      <c r="B1322" s="13" t="inlineStr">
        <is>
          <t>V-1</t>
        </is>
      </c>
      <c r="C1322" s="13" t="inlineStr">
        <is>
          <t>TC-S2-2-05</t>
        </is>
      </c>
      <c r="D1322" s="13" t="inlineStr">
        <is>
          <t>접근성</t>
        </is>
      </c>
      <c r="E1322" s="13" t="inlineStr">
        <is>
          <t>미실행</t>
        </is>
      </c>
    </row>
    <row r="1323">
      <c r="A1323" s="13" t="inlineStr">
        <is>
          <t>요건</t>
        </is>
      </c>
      <c r="B1323" s="13" t="inlineStr">
        <is>
          <t>AC-05</t>
        </is>
      </c>
      <c r="C1323" s="13" t="inlineStr">
        <is>
          <t>TC-S2-2-05</t>
        </is>
      </c>
      <c r="D1323" s="13" t="inlineStr">
        <is>
          <t>접근성</t>
        </is>
      </c>
      <c r="E1323" s="13" t="inlineStr">
        <is>
          <t>미실행</t>
        </is>
      </c>
    </row>
    <row r="1324">
      <c r="A1324" s="13" t="inlineStr">
        <is>
          <t>화면</t>
        </is>
      </c>
      <c r="B1324" s="13" t="inlineStr">
        <is>
          <t>S2-2</t>
        </is>
      </c>
      <c r="C1324" s="13" t="inlineStr">
        <is>
          <t>TC-S2-2-06</t>
        </is>
      </c>
      <c r="D1324" s="13" t="inlineStr">
        <is>
          <t>접근성</t>
        </is>
      </c>
      <c r="E1324" s="13" t="inlineStr">
        <is>
          <t>미실행</t>
        </is>
      </c>
    </row>
    <row r="1325">
      <c r="A1325" s="13" t="inlineStr">
        <is>
          <t>요건</t>
        </is>
      </c>
      <c r="B1325" s="13" t="inlineStr">
        <is>
          <t>NFR-04</t>
        </is>
      </c>
      <c r="C1325" s="13" t="inlineStr">
        <is>
          <t>TC-S2-2-06</t>
        </is>
      </c>
      <c r="D1325" s="13" t="inlineStr">
        <is>
          <t>접근성</t>
        </is>
      </c>
      <c r="E1325" s="13" t="inlineStr">
        <is>
          <t>미실행</t>
        </is>
      </c>
    </row>
    <row r="1326">
      <c r="A1326" s="13" t="inlineStr">
        <is>
          <t>화면</t>
        </is>
      </c>
      <c r="B1326" s="13" t="inlineStr">
        <is>
          <t>S2-2</t>
        </is>
      </c>
      <c r="C1326" s="13" t="inlineStr">
        <is>
          <t>TC-S2-2-07</t>
        </is>
      </c>
      <c r="D1326" s="13" t="inlineStr">
        <is>
          <t>기능</t>
        </is>
      </c>
      <c r="E1326" s="13" t="inlineStr">
        <is>
          <t>보류</t>
        </is>
      </c>
    </row>
    <row r="1327">
      <c r="A1327" s="13" t="inlineStr">
        <is>
          <t>요건</t>
        </is>
      </c>
      <c r="B1327" s="13" t="inlineStr">
        <is>
          <t>V-6</t>
        </is>
      </c>
      <c r="C1327" s="13" t="inlineStr">
        <is>
          <t>TC-S2-2-07</t>
        </is>
      </c>
      <c r="D1327" s="13" t="inlineStr">
        <is>
          <t>기능</t>
        </is>
      </c>
      <c r="E1327" s="13" t="inlineStr">
        <is>
          <t>보류</t>
        </is>
      </c>
    </row>
    <row r="1328">
      <c r="A1328" s="13" t="inlineStr">
        <is>
          <t>요건</t>
        </is>
      </c>
      <c r="B1328" s="13" t="inlineStr">
        <is>
          <t>NFR-08</t>
        </is>
      </c>
      <c r="C1328" s="13" t="inlineStr">
        <is>
          <t>TC-S2-2-07</t>
        </is>
      </c>
      <c r="D1328" s="13" t="inlineStr">
        <is>
          <t>기능</t>
        </is>
      </c>
      <c r="E1328" s="13" t="inlineStr">
        <is>
          <t>보류</t>
        </is>
      </c>
    </row>
    <row r="1329">
      <c r="A1329" s="13" t="inlineStr">
        <is>
          <t>화면</t>
        </is>
      </c>
      <c r="B1329" s="13" t="inlineStr">
        <is>
          <t>S2-2</t>
        </is>
      </c>
      <c r="C1329" s="13" t="inlineStr">
        <is>
          <t>TC-S2-2-08</t>
        </is>
      </c>
      <c r="D1329" s="13" t="inlineStr">
        <is>
          <t>기능</t>
        </is>
      </c>
      <c r="E1329" s="13" t="inlineStr">
        <is>
          <t>보류</t>
        </is>
      </c>
    </row>
    <row r="1330">
      <c r="A1330" s="13" t="inlineStr">
        <is>
          <t>요건</t>
        </is>
      </c>
      <c r="B1330" s="13" t="inlineStr">
        <is>
          <t>V-6</t>
        </is>
      </c>
      <c r="C1330" s="13" t="inlineStr">
        <is>
          <t>TC-S2-2-08</t>
        </is>
      </c>
      <c r="D1330" s="13" t="inlineStr">
        <is>
          <t>기능</t>
        </is>
      </c>
      <c r="E1330" s="13" t="inlineStr">
        <is>
          <t>보류</t>
        </is>
      </c>
    </row>
    <row r="1331">
      <c r="A1331" s="13" t="inlineStr">
        <is>
          <t>요건</t>
        </is>
      </c>
      <c r="B1331" s="13" t="inlineStr">
        <is>
          <t>NFR-08</t>
        </is>
      </c>
      <c r="C1331" s="13" t="inlineStr">
        <is>
          <t>TC-S2-2-08</t>
        </is>
      </c>
      <c r="D1331" s="13" t="inlineStr">
        <is>
          <t>기능</t>
        </is>
      </c>
      <c r="E1331" s="13" t="inlineStr">
        <is>
          <t>보류</t>
        </is>
      </c>
    </row>
    <row r="1332">
      <c r="A1332" s="13" t="inlineStr">
        <is>
          <t>화면</t>
        </is>
      </c>
      <c r="B1332" s="13" t="inlineStr">
        <is>
          <t>S2-2</t>
        </is>
      </c>
      <c r="C1332" s="13" t="inlineStr">
        <is>
          <t>TC-S2-2-09</t>
        </is>
      </c>
      <c r="D1332" s="13" t="inlineStr">
        <is>
          <t>기능</t>
        </is>
      </c>
      <c r="E1332" s="13" t="inlineStr">
        <is>
          <t>미실행</t>
        </is>
      </c>
    </row>
    <row r="1333">
      <c r="A1333" s="13" t="inlineStr">
        <is>
          <t>요건</t>
        </is>
      </c>
      <c r="B1333" s="13" t="inlineStr">
        <is>
          <t>V-6</t>
        </is>
      </c>
      <c r="C1333" s="13" t="inlineStr">
        <is>
          <t>TC-S2-2-09</t>
        </is>
      </c>
      <c r="D1333" s="13" t="inlineStr">
        <is>
          <t>기능</t>
        </is>
      </c>
      <c r="E1333" s="13" t="inlineStr">
        <is>
          <t>미실행</t>
        </is>
      </c>
    </row>
    <row r="1334">
      <c r="A1334" s="13" t="inlineStr">
        <is>
          <t>화면</t>
        </is>
      </c>
      <c r="B1334" s="13" t="inlineStr">
        <is>
          <t>S2-2</t>
        </is>
      </c>
      <c r="C1334" s="13" t="inlineStr">
        <is>
          <t>TC-S2-2-10</t>
        </is>
      </c>
      <c r="D1334" s="13" t="inlineStr">
        <is>
          <t>기능</t>
        </is>
      </c>
      <c r="E1334" s="13" t="inlineStr">
        <is>
          <t>미실행</t>
        </is>
      </c>
    </row>
    <row r="1335">
      <c r="A1335" s="13" t="inlineStr">
        <is>
          <t>요건</t>
        </is>
      </c>
      <c r="B1335" s="13" t="inlineStr">
        <is>
          <t>V-6</t>
        </is>
      </c>
      <c r="C1335" s="13" t="inlineStr">
        <is>
          <t>TC-S2-2-10</t>
        </is>
      </c>
      <c r="D1335" s="13" t="inlineStr">
        <is>
          <t>기능</t>
        </is>
      </c>
      <c r="E1335" s="13" t="inlineStr">
        <is>
          <t>미실행</t>
        </is>
      </c>
    </row>
    <row r="1336">
      <c r="A1336" s="13" t="inlineStr">
        <is>
          <t>화면</t>
        </is>
      </c>
      <c r="B1336" s="13" t="inlineStr">
        <is>
          <t>S2-2</t>
        </is>
      </c>
      <c r="C1336" s="13" t="inlineStr">
        <is>
          <t>TC-S2-2-11</t>
        </is>
      </c>
      <c r="D1336" s="13" t="inlineStr">
        <is>
          <t>비기능</t>
        </is>
      </c>
      <c r="E1336" s="13" t="inlineStr">
        <is>
          <t>미실행</t>
        </is>
      </c>
    </row>
    <row r="1337">
      <c r="A1337" s="13" t="inlineStr">
        <is>
          <t>요건</t>
        </is>
      </c>
      <c r="B1337" s="13" t="inlineStr">
        <is>
          <t>NFR-07</t>
        </is>
      </c>
      <c r="C1337" s="13" t="inlineStr">
        <is>
          <t>TC-S2-2-11</t>
        </is>
      </c>
      <c r="D1337" s="13" t="inlineStr">
        <is>
          <t>비기능</t>
        </is>
      </c>
      <c r="E1337" s="13" t="inlineStr">
        <is>
          <t>미실행</t>
        </is>
      </c>
    </row>
    <row r="1338">
      <c r="A1338" s="13" t="inlineStr">
        <is>
          <t>화면</t>
        </is>
      </c>
      <c r="B1338" s="13" t="inlineStr">
        <is>
          <t>S2-2</t>
        </is>
      </c>
      <c r="C1338" s="13" t="inlineStr">
        <is>
          <t>TC-S2-2-12</t>
        </is>
      </c>
      <c r="D1338" s="13" t="inlineStr">
        <is>
          <t>기능</t>
        </is>
      </c>
      <c r="E1338" s="13" t="inlineStr">
        <is>
          <t>미실행</t>
        </is>
      </c>
    </row>
    <row r="1339">
      <c r="A1339" s="13" t="inlineStr">
        <is>
          <t>요건</t>
        </is>
      </c>
      <c r="B1339" s="13" t="inlineStr">
        <is>
          <t>V-9</t>
        </is>
      </c>
      <c r="C1339" s="13" t="inlineStr">
        <is>
          <t>TC-S2-2-12</t>
        </is>
      </c>
      <c r="D1339" s="13" t="inlineStr">
        <is>
          <t>기능</t>
        </is>
      </c>
      <c r="E1339" s="13" t="inlineStr">
        <is>
          <t>미실행</t>
        </is>
      </c>
    </row>
    <row r="1340">
      <c r="A1340" s="13" t="inlineStr">
        <is>
          <t>화면</t>
        </is>
      </c>
      <c r="B1340" s="13" t="inlineStr">
        <is>
          <t>S2-2</t>
        </is>
      </c>
      <c r="C1340" s="13" t="inlineStr">
        <is>
          <t>TC-S2-2-13</t>
        </is>
      </c>
      <c r="D1340" s="13" t="inlineStr">
        <is>
          <t>기능</t>
        </is>
      </c>
      <c r="E1340" s="13" t="inlineStr">
        <is>
          <t>미실행</t>
        </is>
      </c>
    </row>
    <row r="1341">
      <c r="A1341" s="13" t="inlineStr">
        <is>
          <t>요건</t>
        </is>
      </c>
      <c r="B1341" s="13" t="inlineStr">
        <is>
          <t>FR-A4</t>
        </is>
      </c>
      <c r="C1341" s="13" t="inlineStr">
        <is>
          <t>TC-S2-2-13</t>
        </is>
      </c>
      <c r="D1341" s="13" t="inlineStr">
        <is>
          <t>기능</t>
        </is>
      </c>
      <c r="E1341" s="13" t="inlineStr">
        <is>
          <t>미실행</t>
        </is>
      </c>
    </row>
    <row r="1342">
      <c r="A1342" s="13" t="inlineStr">
        <is>
          <t>화면</t>
        </is>
      </c>
      <c r="B1342" s="13" t="inlineStr">
        <is>
          <t>S2-2</t>
        </is>
      </c>
      <c r="C1342" s="13" t="inlineStr">
        <is>
          <t>TC-S2-2-14</t>
        </is>
      </c>
      <c r="D1342" s="13" t="inlineStr">
        <is>
          <t>접근성</t>
        </is>
      </c>
      <c r="E1342" s="13" t="inlineStr">
        <is>
          <t>미실행</t>
        </is>
      </c>
    </row>
    <row r="1343">
      <c r="A1343" s="13" t="inlineStr">
        <is>
          <t>요건</t>
        </is>
      </c>
      <c r="B1343" s="13" t="inlineStr">
        <is>
          <t>AC-05</t>
        </is>
      </c>
      <c r="C1343" s="13" t="inlineStr">
        <is>
          <t>TC-S2-2-14</t>
        </is>
      </c>
      <c r="D1343" s="13" t="inlineStr">
        <is>
          <t>접근성</t>
        </is>
      </c>
      <c r="E1343" s="13" t="inlineStr">
        <is>
          <t>미실행</t>
        </is>
      </c>
    </row>
    <row r="1344">
      <c r="A1344" s="13" t="inlineStr">
        <is>
          <t>요건</t>
        </is>
      </c>
      <c r="B1344" s="13" t="inlineStr">
        <is>
          <t>V-4</t>
        </is>
      </c>
      <c r="C1344" s="13" t="inlineStr">
        <is>
          <t>TC-S2-2-14</t>
        </is>
      </c>
      <c r="D1344" s="13" t="inlineStr">
        <is>
          <t>접근성</t>
        </is>
      </c>
      <c r="E1344" s="13" t="inlineStr">
        <is>
          <t>미실행</t>
        </is>
      </c>
    </row>
    <row r="1345">
      <c r="A1345" s="13" t="inlineStr">
        <is>
          <t>화면</t>
        </is>
      </c>
      <c r="B1345" s="13" t="inlineStr">
        <is>
          <t>S2-2</t>
        </is>
      </c>
      <c r="C1345" s="13" t="inlineStr">
        <is>
          <t>TC-S2-2-15</t>
        </is>
      </c>
      <c r="D1345" s="13" t="inlineStr">
        <is>
          <t>기능</t>
        </is>
      </c>
      <c r="E1345" s="13" t="inlineStr">
        <is>
          <t>미실행</t>
        </is>
      </c>
    </row>
    <row r="1346">
      <c r="A1346" s="13" t="inlineStr">
        <is>
          <t>요건</t>
        </is>
      </c>
      <c r="B1346" s="13" t="inlineStr">
        <is>
          <t>FR-A4</t>
        </is>
      </c>
      <c r="C1346" s="13" t="inlineStr">
        <is>
          <t>TC-S2-2-15</t>
        </is>
      </c>
      <c r="D1346" s="13" t="inlineStr">
        <is>
          <t>기능</t>
        </is>
      </c>
      <c r="E1346" s="13" t="inlineStr">
        <is>
          <t>미실행</t>
        </is>
      </c>
    </row>
    <row r="1347">
      <c r="A1347" s="13" t="inlineStr">
        <is>
          <t>화면</t>
        </is>
      </c>
      <c r="B1347" s="13" t="inlineStr">
        <is>
          <t>S2-2</t>
        </is>
      </c>
      <c r="C1347" s="13" t="inlineStr">
        <is>
          <t>TC-S2-2-16</t>
        </is>
      </c>
      <c r="D1347" s="13" t="inlineStr">
        <is>
          <t>기능</t>
        </is>
      </c>
      <c r="E1347" s="13" t="inlineStr">
        <is>
          <t>미실행</t>
        </is>
      </c>
    </row>
    <row r="1348">
      <c r="A1348" s="13" t="inlineStr">
        <is>
          <t>요건</t>
        </is>
      </c>
      <c r="B1348" s="13" t="inlineStr">
        <is>
          <t>V-6</t>
        </is>
      </c>
      <c r="C1348" s="13" t="inlineStr">
        <is>
          <t>TC-S2-2-16</t>
        </is>
      </c>
      <c r="D1348" s="13" t="inlineStr">
        <is>
          <t>기능</t>
        </is>
      </c>
      <c r="E1348" s="13" t="inlineStr">
        <is>
          <t>미실행</t>
        </is>
      </c>
    </row>
    <row r="1349">
      <c r="A1349" s="13" t="inlineStr">
        <is>
          <t>요건</t>
        </is>
      </c>
      <c r="B1349" s="13" t="inlineStr">
        <is>
          <t>V-4</t>
        </is>
      </c>
      <c r="C1349" s="13" t="inlineStr">
        <is>
          <t>TC-S2-2-16</t>
        </is>
      </c>
      <c r="D1349" s="13" t="inlineStr">
        <is>
          <t>기능</t>
        </is>
      </c>
      <c r="E1349" s="13" t="inlineStr">
        <is>
          <t>미실행</t>
        </is>
      </c>
    </row>
    <row r="1350">
      <c r="A1350" s="13" t="inlineStr">
        <is>
          <t>화면</t>
        </is>
      </c>
      <c r="B1350" s="13" t="inlineStr">
        <is>
          <t>S2-2</t>
        </is>
      </c>
      <c r="C1350" s="13" t="inlineStr">
        <is>
          <t>TC-S2-2-17</t>
        </is>
      </c>
      <c r="D1350" s="13" t="inlineStr">
        <is>
          <t>기능</t>
        </is>
      </c>
      <c r="E1350" s="13" t="inlineStr">
        <is>
          <t>보류</t>
        </is>
      </c>
    </row>
    <row r="1351">
      <c r="A1351" s="13" t="inlineStr">
        <is>
          <t>요건</t>
        </is>
      </c>
      <c r="B1351" s="13" t="inlineStr">
        <is>
          <t>V-6</t>
        </is>
      </c>
      <c r="C1351" s="13" t="inlineStr">
        <is>
          <t>TC-S2-2-17</t>
        </is>
      </c>
      <c r="D1351" s="13" t="inlineStr">
        <is>
          <t>기능</t>
        </is>
      </c>
      <c r="E1351" s="13" t="inlineStr">
        <is>
          <t>보류</t>
        </is>
      </c>
    </row>
    <row r="1352">
      <c r="A1352" s="13" t="inlineStr">
        <is>
          <t>화면</t>
        </is>
      </c>
      <c r="B1352" s="13" t="inlineStr">
        <is>
          <t>S2-2</t>
        </is>
      </c>
      <c r="C1352" s="13" t="inlineStr">
        <is>
          <t>TC-S2-2-18</t>
        </is>
      </c>
      <c r="D1352" s="13" t="inlineStr">
        <is>
          <t>비기능</t>
        </is>
      </c>
      <c r="E1352" s="13" t="inlineStr">
        <is>
          <t>미실행</t>
        </is>
      </c>
    </row>
    <row r="1353">
      <c r="A1353" s="13" t="inlineStr">
        <is>
          <t>요건</t>
        </is>
      </c>
      <c r="B1353" s="13" t="inlineStr">
        <is>
          <t>AC-10</t>
        </is>
      </c>
      <c r="C1353" s="13" t="inlineStr">
        <is>
          <t>TC-S2-2-18</t>
        </is>
      </c>
      <c r="D1353" s="13" t="inlineStr">
        <is>
          <t>비기능</t>
        </is>
      </c>
      <c r="E1353" s="13" t="inlineStr">
        <is>
          <t>미실행</t>
        </is>
      </c>
    </row>
    <row r="1354">
      <c r="A1354" s="13" t="inlineStr">
        <is>
          <t>화면</t>
        </is>
      </c>
      <c r="B1354" s="13" t="inlineStr">
        <is>
          <t>S2-2</t>
        </is>
      </c>
      <c r="C1354" s="13" t="inlineStr">
        <is>
          <t>TC-S2-2-19</t>
        </is>
      </c>
      <c r="D1354" s="13" t="inlineStr">
        <is>
          <t>대상외</t>
        </is>
      </c>
      <c r="E1354" s="13" t="inlineStr">
        <is>
          <t>미실행</t>
        </is>
      </c>
    </row>
    <row r="1355">
      <c r="A1355" s="13" t="inlineStr">
        <is>
          <t>요건</t>
        </is>
      </c>
      <c r="B1355" s="13" t="inlineStr">
        <is>
          <t>NFR-11</t>
        </is>
      </c>
      <c r="C1355" s="13" t="inlineStr">
        <is>
          <t>TC-S2-2-19</t>
        </is>
      </c>
      <c r="D1355" s="13" t="inlineStr">
        <is>
          <t>대상외</t>
        </is>
      </c>
      <c r="E1355" s="13" t="inlineStr">
        <is>
          <t>미실행</t>
        </is>
      </c>
    </row>
    <row r="1356">
      <c r="A1356" s="13" t="inlineStr">
        <is>
          <t>화면</t>
        </is>
      </c>
      <c r="B1356" s="13" t="inlineStr">
        <is>
          <t>S2-2</t>
        </is>
      </c>
      <c r="C1356" s="13" t="inlineStr">
        <is>
          <t>TC-S2-2-20</t>
        </is>
      </c>
      <c r="D1356" s="13" t="inlineStr">
        <is>
          <t>대상외</t>
        </is>
      </c>
      <c r="E1356" s="13" t="inlineStr">
        <is>
          <t>미실행</t>
        </is>
      </c>
    </row>
    <row r="1357">
      <c r="A1357" s="13" t="inlineStr">
        <is>
          <t>요건</t>
        </is>
      </c>
      <c r="B1357" s="13" t="inlineStr">
        <is>
          <t>NFR-13</t>
        </is>
      </c>
      <c r="C1357" s="13" t="inlineStr">
        <is>
          <t>TC-S2-2-20</t>
        </is>
      </c>
      <c r="D1357" s="13" t="inlineStr">
        <is>
          <t>대상외</t>
        </is>
      </c>
      <c r="E1357" s="13" t="inlineStr">
        <is>
          <t>미실행</t>
        </is>
      </c>
    </row>
    <row r="1358">
      <c r="A1358" s="13" t="inlineStr">
        <is>
          <t>화면</t>
        </is>
      </c>
      <c r="B1358" s="13" t="inlineStr">
        <is>
          <t>S2-3</t>
        </is>
      </c>
      <c r="C1358" s="13" t="inlineStr">
        <is>
          <t>TC-S2-3-01</t>
        </is>
      </c>
      <c r="D1358" s="13" t="inlineStr">
        <is>
          <t>접근성</t>
        </is>
      </c>
      <c r="E1358" s="13" t="inlineStr">
        <is>
          <t>미실행</t>
        </is>
      </c>
    </row>
    <row r="1359">
      <c r="A1359" s="13" t="inlineStr">
        <is>
          <t>요건</t>
        </is>
      </c>
      <c r="B1359" s="13" t="inlineStr">
        <is>
          <t>V-3</t>
        </is>
      </c>
      <c r="C1359" s="13" t="inlineStr">
        <is>
          <t>TC-S2-3-01</t>
        </is>
      </c>
      <c r="D1359" s="13" t="inlineStr">
        <is>
          <t>접근성</t>
        </is>
      </c>
      <c r="E1359" s="13" t="inlineStr">
        <is>
          <t>미실행</t>
        </is>
      </c>
    </row>
    <row r="1360">
      <c r="A1360" s="13" t="inlineStr">
        <is>
          <t>요건</t>
        </is>
      </c>
      <c r="B1360" s="13" t="inlineStr">
        <is>
          <t>V-1</t>
        </is>
      </c>
      <c r="C1360" s="13" t="inlineStr">
        <is>
          <t>TC-S2-3-01</t>
        </is>
      </c>
      <c r="D1360" s="13" t="inlineStr">
        <is>
          <t>접근성</t>
        </is>
      </c>
      <c r="E1360" s="13" t="inlineStr">
        <is>
          <t>미실행</t>
        </is>
      </c>
    </row>
    <row r="1361">
      <c r="A1361" s="13" t="inlineStr">
        <is>
          <t>화면</t>
        </is>
      </c>
      <c r="B1361" s="13" t="inlineStr">
        <is>
          <t>S2-3</t>
        </is>
      </c>
      <c r="C1361" s="13" t="inlineStr">
        <is>
          <t>TC-S2-3-02</t>
        </is>
      </c>
      <c r="D1361" s="13" t="inlineStr">
        <is>
          <t>접근성</t>
        </is>
      </c>
      <c r="E1361" s="13" t="inlineStr">
        <is>
          <t>미실행</t>
        </is>
      </c>
    </row>
    <row r="1362">
      <c r="A1362" s="13" t="inlineStr">
        <is>
          <t>요건</t>
        </is>
      </c>
      <c r="B1362" s="13" t="inlineStr">
        <is>
          <t>AC-05</t>
        </is>
      </c>
      <c r="C1362" s="13" t="inlineStr">
        <is>
          <t>TC-S2-3-02</t>
        </is>
      </c>
      <c r="D1362" s="13" t="inlineStr">
        <is>
          <t>접근성</t>
        </is>
      </c>
      <c r="E1362" s="13" t="inlineStr">
        <is>
          <t>미실행</t>
        </is>
      </c>
    </row>
    <row r="1363">
      <c r="A1363" s="13" t="inlineStr">
        <is>
          <t>요건</t>
        </is>
      </c>
      <c r="B1363" s="13" t="inlineStr">
        <is>
          <t>NFR-04</t>
        </is>
      </c>
      <c r="C1363" s="13" t="inlineStr">
        <is>
          <t>TC-S2-3-02</t>
        </is>
      </c>
      <c r="D1363" s="13" t="inlineStr">
        <is>
          <t>접근성</t>
        </is>
      </c>
      <c r="E1363" s="13" t="inlineStr">
        <is>
          <t>미실행</t>
        </is>
      </c>
    </row>
    <row r="1364">
      <c r="A1364" s="13" t="inlineStr">
        <is>
          <t>화면</t>
        </is>
      </c>
      <c r="B1364" s="13" t="inlineStr">
        <is>
          <t>S2-3</t>
        </is>
      </c>
      <c r="C1364" s="13" t="inlineStr">
        <is>
          <t>TC-S2-3-03</t>
        </is>
      </c>
      <c r="D1364" s="13" t="inlineStr">
        <is>
          <t>접근성</t>
        </is>
      </c>
      <c r="E1364" s="13" t="inlineStr">
        <is>
          <t>미실행</t>
        </is>
      </c>
    </row>
    <row r="1365">
      <c r="A1365" s="13" t="inlineStr">
        <is>
          <t>요건</t>
        </is>
      </c>
      <c r="B1365" s="13" t="inlineStr">
        <is>
          <t>V-3</t>
        </is>
      </c>
      <c r="C1365" s="13" t="inlineStr">
        <is>
          <t>TC-S2-3-03</t>
        </is>
      </c>
      <c r="D1365" s="13" t="inlineStr">
        <is>
          <t>접근성</t>
        </is>
      </c>
      <c r="E1365" s="13" t="inlineStr">
        <is>
          <t>미실행</t>
        </is>
      </c>
    </row>
    <row r="1366">
      <c r="A1366" s="13" t="inlineStr">
        <is>
          <t>요건</t>
        </is>
      </c>
      <c r="B1366" s="13" t="inlineStr">
        <is>
          <t>V-6</t>
        </is>
      </c>
      <c r="C1366" s="13" t="inlineStr">
        <is>
          <t>TC-S2-3-03</t>
        </is>
      </c>
      <c r="D1366" s="13" t="inlineStr">
        <is>
          <t>접근성</t>
        </is>
      </c>
      <c r="E1366" s="13" t="inlineStr">
        <is>
          <t>미실행</t>
        </is>
      </c>
    </row>
    <row r="1367">
      <c r="A1367" s="13" t="inlineStr">
        <is>
          <t>화면</t>
        </is>
      </c>
      <c r="B1367" s="13" t="inlineStr">
        <is>
          <t>S2-3</t>
        </is>
      </c>
      <c r="C1367" s="13" t="inlineStr">
        <is>
          <t>TC-S2-3-04</t>
        </is>
      </c>
      <c r="D1367" s="13" t="inlineStr">
        <is>
          <t>접근성</t>
        </is>
      </c>
      <c r="E1367" s="13" t="inlineStr">
        <is>
          <t>미실행</t>
        </is>
      </c>
    </row>
    <row r="1368">
      <c r="A1368" s="13" t="inlineStr">
        <is>
          <t>요건</t>
        </is>
      </c>
      <c r="B1368" s="13" t="inlineStr">
        <is>
          <t>NFR-04</t>
        </is>
      </c>
      <c r="C1368" s="13" t="inlineStr">
        <is>
          <t>TC-S2-3-04</t>
        </is>
      </c>
      <c r="D1368" s="13" t="inlineStr">
        <is>
          <t>접근성</t>
        </is>
      </c>
      <c r="E1368" s="13" t="inlineStr">
        <is>
          <t>미실행</t>
        </is>
      </c>
    </row>
    <row r="1369">
      <c r="A1369" s="13" t="inlineStr">
        <is>
          <t>요건</t>
        </is>
      </c>
      <c r="B1369" s="13" t="inlineStr">
        <is>
          <t>NFR-05</t>
        </is>
      </c>
      <c r="C1369" s="13" t="inlineStr">
        <is>
          <t>TC-S2-3-04</t>
        </is>
      </c>
      <c r="D1369" s="13" t="inlineStr">
        <is>
          <t>접근성</t>
        </is>
      </c>
      <c r="E1369" s="13" t="inlineStr">
        <is>
          <t>미실행</t>
        </is>
      </c>
    </row>
    <row r="1370">
      <c r="A1370" s="13" t="inlineStr">
        <is>
          <t>화면</t>
        </is>
      </c>
      <c r="B1370" s="13" t="inlineStr">
        <is>
          <t>S2-3</t>
        </is>
      </c>
      <c r="C1370" s="13" t="inlineStr">
        <is>
          <t>TC-S2-3-05</t>
        </is>
      </c>
      <c r="D1370" s="13" t="inlineStr">
        <is>
          <t>기능</t>
        </is>
      </c>
      <c r="E1370" s="13" t="inlineStr">
        <is>
          <t>미실행</t>
        </is>
      </c>
    </row>
    <row r="1371">
      <c r="A1371" s="13" t="inlineStr">
        <is>
          <t>요건</t>
        </is>
      </c>
      <c r="B1371" s="13" t="inlineStr">
        <is>
          <t>MB-2</t>
        </is>
      </c>
      <c r="C1371" s="13" t="inlineStr">
        <is>
          <t>TC-S2-3-05</t>
        </is>
      </c>
      <c r="D1371" s="13" t="inlineStr">
        <is>
          <t>기능</t>
        </is>
      </c>
      <c r="E1371" s="13" t="inlineStr">
        <is>
          <t>미실행</t>
        </is>
      </c>
    </row>
    <row r="1372">
      <c r="A1372" s="13" t="inlineStr">
        <is>
          <t>요건</t>
        </is>
      </c>
      <c r="B1372" s="13" t="inlineStr">
        <is>
          <t>V-6</t>
        </is>
      </c>
      <c r="C1372" s="13" t="inlineStr">
        <is>
          <t>TC-S2-3-05</t>
        </is>
      </c>
      <c r="D1372" s="13" t="inlineStr">
        <is>
          <t>기능</t>
        </is>
      </c>
      <c r="E1372" s="13" t="inlineStr">
        <is>
          <t>미실행</t>
        </is>
      </c>
    </row>
    <row r="1373">
      <c r="A1373" s="13" t="inlineStr">
        <is>
          <t>화면</t>
        </is>
      </c>
      <c r="B1373" s="13" t="inlineStr">
        <is>
          <t>S2-3</t>
        </is>
      </c>
      <c r="C1373" s="13" t="inlineStr">
        <is>
          <t>TC-S2-3-06</t>
        </is>
      </c>
      <c r="D1373" s="13" t="inlineStr">
        <is>
          <t>접근성</t>
        </is>
      </c>
      <c r="E1373" s="13" t="inlineStr">
        <is>
          <t>미실행</t>
        </is>
      </c>
    </row>
    <row r="1374">
      <c r="A1374" s="13" t="inlineStr">
        <is>
          <t>요건</t>
        </is>
      </c>
      <c r="B1374" s="13" t="inlineStr">
        <is>
          <t>AC-05</t>
        </is>
      </c>
      <c r="C1374" s="13" t="inlineStr">
        <is>
          <t>TC-S2-3-06</t>
        </is>
      </c>
      <c r="D1374" s="13" t="inlineStr">
        <is>
          <t>접근성</t>
        </is>
      </c>
      <c r="E1374" s="13" t="inlineStr">
        <is>
          <t>미실행</t>
        </is>
      </c>
    </row>
    <row r="1375">
      <c r="A1375" s="13" t="inlineStr">
        <is>
          <t>화면</t>
        </is>
      </c>
      <c r="B1375" s="13" t="inlineStr">
        <is>
          <t>S2-3</t>
        </is>
      </c>
      <c r="C1375" s="13" t="inlineStr">
        <is>
          <t>TC-S2-3-07</t>
        </is>
      </c>
      <c r="D1375" s="13" t="inlineStr">
        <is>
          <t>기능</t>
        </is>
      </c>
      <c r="E1375" s="13" t="inlineStr">
        <is>
          <t>미실행</t>
        </is>
      </c>
    </row>
    <row r="1376">
      <c r="A1376" s="13" t="inlineStr">
        <is>
          <t>요건</t>
        </is>
      </c>
      <c r="B1376" s="13" t="inlineStr">
        <is>
          <t>FR-A4</t>
        </is>
      </c>
      <c r="C1376" s="13" t="inlineStr">
        <is>
          <t>TC-S2-3-07</t>
        </is>
      </c>
      <c r="D1376" s="13" t="inlineStr">
        <is>
          <t>기능</t>
        </is>
      </c>
      <c r="E1376" s="13" t="inlineStr">
        <is>
          <t>미실행</t>
        </is>
      </c>
    </row>
    <row r="1377">
      <c r="A1377" s="13" t="inlineStr">
        <is>
          <t>화면</t>
        </is>
      </c>
      <c r="B1377" s="13" t="inlineStr">
        <is>
          <t>S2-3</t>
        </is>
      </c>
      <c r="C1377" s="13" t="inlineStr">
        <is>
          <t>TC-S2-3-08</t>
        </is>
      </c>
      <c r="D1377" s="13" t="inlineStr">
        <is>
          <t>기능</t>
        </is>
      </c>
      <c r="E1377" s="13" t="inlineStr">
        <is>
          <t>미실행</t>
        </is>
      </c>
    </row>
    <row r="1378">
      <c r="A1378" s="13" t="inlineStr">
        <is>
          <t>요건</t>
        </is>
      </c>
      <c r="B1378" s="13" t="inlineStr">
        <is>
          <t>FR-A4</t>
        </is>
      </c>
      <c r="C1378" s="13" t="inlineStr">
        <is>
          <t>TC-S2-3-08</t>
        </is>
      </c>
      <c r="D1378" s="13" t="inlineStr">
        <is>
          <t>기능</t>
        </is>
      </c>
      <c r="E1378" s="13" t="inlineStr">
        <is>
          <t>미실행</t>
        </is>
      </c>
    </row>
    <row r="1379">
      <c r="A1379" s="13" t="inlineStr">
        <is>
          <t>화면</t>
        </is>
      </c>
      <c r="B1379" s="13" t="inlineStr">
        <is>
          <t>S2-3</t>
        </is>
      </c>
      <c r="C1379" s="13" t="inlineStr">
        <is>
          <t>TC-S2-3-09</t>
        </is>
      </c>
      <c r="D1379" s="13" t="inlineStr">
        <is>
          <t>기능</t>
        </is>
      </c>
      <c r="E1379" s="13" t="inlineStr">
        <is>
          <t>미실행</t>
        </is>
      </c>
    </row>
    <row r="1380">
      <c r="A1380" s="13" t="inlineStr">
        <is>
          <t>요건</t>
        </is>
      </c>
      <c r="B1380" s="13" t="inlineStr">
        <is>
          <t>FR-A4</t>
        </is>
      </c>
      <c r="C1380" s="13" t="inlineStr">
        <is>
          <t>TC-S2-3-09</t>
        </is>
      </c>
      <c r="D1380" s="13" t="inlineStr">
        <is>
          <t>기능</t>
        </is>
      </c>
      <c r="E1380" s="13" t="inlineStr">
        <is>
          <t>미실행</t>
        </is>
      </c>
    </row>
    <row r="1381">
      <c r="A1381" s="13" t="inlineStr">
        <is>
          <t>화면</t>
        </is>
      </c>
      <c r="B1381" s="13" t="inlineStr">
        <is>
          <t>S2-3</t>
        </is>
      </c>
      <c r="C1381" s="13" t="inlineStr">
        <is>
          <t>TC-S2-3-10</t>
        </is>
      </c>
      <c r="D1381" s="13" t="inlineStr">
        <is>
          <t>접근성</t>
        </is>
      </c>
      <c r="E1381" s="13" t="inlineStr">
        <is>
          <t>미실행</t>
        </is>
      </c>
    </row>
    <row r="1382">
      <c r="A1382" s="13" t="inlineStr">
        <is>
          <t>요건</t>
        </is>
      </c>
      <c r="B1382" s="13" t="inlineStr">
        <is>
          <t>V-9</t>
        </is>
      </c>
      <c r="C1382" s="13" t="inlineStr">
        <is>
          <t>TC-S2-3-10</t>
        </is>
      </c>
      <c r="D1382" s="13" t="inlineStr">
        <is>
          <t>접근성</t>
        </is>
      </c>
      <c r="E1382" s="13" t="inlineStr">
        <is>
          <t>미실행</t>
        </is>
      </c>
    </row>
    <row r="1383">
      <c r="A1383" s="13" t="inlineStr">
        <is>
          <t>요건</t>
        </is>
      </c>
      <c r="B1383" s="13" t="inlineStr">
        <is>
          <t>AC-05</t>
        </is>
      </c>
      <c r="C1383" s="13" t="inlineStr">
        <is>
          <t>TC-S2-3-10</t>
        </is>
      </c>
      <c r="D1383" s="13" t="inlineStr">
        <is>
          <t>접근성</t>
        </is>
      </c>
      <c r="E1383" s="13" t="inlineStr">
        <is>
          <t>미실행</t>
        </is>
      </c>
    </row>
    <row r="1384">
      <c r="A1384" s="13" t="inlineStr">
        <is>
          <t>화면</t>
        </is>
      </c>
      <c r="B1384" s="13" t="inlineStr">
        <is>
          <t>S2-3</t>
        </is>
      </c>
      <c r="C1384" s="13" t="inlineStr">
        <is>
          <t>TC-S2-3-11</t>
        </is>
      </c>
      <c r="D1384" s="13" t="inlineStr">
        <is>
          <t>시나리오</t>
        </is>
      </c>
      <c r="E1384" s="13" t="inlineStr">
        <is>
          <t>미실행</t>
        </is>
      </c>
    </row>
    <row r="1385">
      <c r="A1385" s="13" t="inlineStr">
        <is>
          <t>요건</t>
        </is>
      </c>
      <c r="B1385" s="13" t="inlineStr">
        <is>
          <t>US-01</t>
        </is>
      </c>
      <c r="C1385" s="13" t="inlineStr">
        <is>
          <t>TC-S2-3-11</t>
        </is>
      </c>
      <c r="D1385" s="13" t="inlineStr">
        <is>
          <t>시나리오</t>
        </is>
      </c>
      <c r="E1385" s="13" t="inlineStr">
        <is>
          <t>미실행</t>
        </is>
      </c>
    </row>
    <row r="1386">
      <c r="A1386" s="13" t="inlineStr">
        <is>
          <t>화면</t>
        </is>
      </c>
      <c r="B1386" s="13" t="inlineStr">
        <is>
          <t>S2-3</t>
        </is>
      </c>
      <c r="C1386" s="13" t="inlineStr">
        <is>
          <t>TC-S2-3-12</t>
        </is>
      </c>
      <c r="D1386" s="13" t="inlineStr">
        <is>
          <t>접근성</t>
        </is>
      </c>
      <c r="E1386" s="13" t="inlineStr">
        <is>
          <t>미실행</t>
        </is>
      </c>
    </row>
    <row r="1387">
      <c r="A1387" s="13" t="inlineStr">
        <is>
          <t>요건</t>
        </is>
      </c>
      <c r="B1387" s="13" t="inlineStr">
        <is>
          <t>US-01</t>
        </is>
      </c>
      <c r="C1387" s="13" t="inlineStr">
        <is>
          <t>TC-S2-3-12</t>
        </is>
      </c>
      <c r="D1387" s="13" t="inlineStr">
        <is>
          <t>접근성</t>
        </is>
      </c>
      <c r="E1387" s="13" t="inlineStr">
        <is>
          <t>미실행</t>
        </is>
      </c>
    </row>
    <row r="1388">
      <c r="A1388" s="13" t="inlineStr">
        <is>
          <t>화면</t>
        </is>
      </c>
      <c r="B1388" s="13" t="inlineStr">
        <is>
          <t>S2-3</t>
        </is>
      </c>
      <c r="C1388" s="13" t="inlineStr">
        <is>
          <t>TC-S2-3-13</t>
        </is>
      </c>
      <c r="D1388" s="13" t="inlineStr">
        <is>
          <t>시나리오</t>
        </is>
      </c>
      <c r="E1388" s="13" t="inlineStr">
        <is>
          <t>미실행</t>
        </is>
      </c>
    </row>
    <row r="1389">
      <c r="A1389" s="13" t="inlineStr">
        <is>
          <t>요건</t>
        </is>
      </c>
      <c r="B1389" s="13" t="inlineStr">
        <is>
          <t>US-01</t>
        </is>
      </c>
      <c r="C1389" s="13" t="inlineStr">
        <is>
          <t>TC-S2-3-13</t>
        </is>
      </c>
      <c r="D1389" s="13" t="inlineStr">
        <is>
          <t>시나리오</t>
        </is>
      </c>
      <c r="E1389" s="13" t="inlineStr">
        <is>
          <t>미실행</t>
        </is>
      </c>
    </row>
    <row r="1390">
      <c r="A1390" s="13" t="inlineStr">
        <is>
          <t>요건</t>
        </is>
      </c>
      <c r="B1390" s="13" t="inlineStr">
        <is>
          <t>NFR-04</t>
        </is>
      </c>
      <c r="C1390" s="13" t="inlineStr">
        <is>
          <t>TC-S2-3-13</t>
        </is>
      </c>
      <c r="D1390" s="13" t="inlineStr">
        <is>
          <t>시나리오</t>
        </is>
      </c>
      <c r="E1390" s="13" t="inlineStr">
        <is>
          <t>미실행</t>
        </is>
      </c>
    </row>
    <row r="1391">
      <c r="A1391" s="13" t="inlineStr">
        <is>
          <t>화면</t>
        </is>
      </c>
      <c r="B1391" s="13" t="inlineStr">
        <is>
          <t>S2-3</t>
        </is>
      </c>
      <c r="C1391" s="13" t="inlineStr">
        <is>
          <t>TC-S2-3-14</t>
        </is>
      </c>
      <c r="D1391" s="13" t="inlineStr">
        <is>
          <t>시나리오</t>
        </is>
      </c>
      <c r="E1391" s="13" t="inlineStr">
        <is>
          <t>미실행</t>
        </is>
      </c>
    </row>
    <row r="1392">
      <c r="A1392" s="13" t="inlineStr">
        <is>
          <t>요건</t>
        </is>
      </c>
      <c r="B1392" s="13" t="inlineStr">
        <is>
          <t>US-01</t>
        </is>
      </c>
      <c r="C1392" s="13" t="inlineStr">
        <is>
          <t>TC-S2-3-14</t>
        </is>
      </c>
      <c r="D1392" s="13" t="inlineStr">
        <is>
          <t>시나리오</t>
        </is>
      </c>
      <c r="E1392" s="13" t="inlineStr">
        <is>
          <t>미실행</t>
        </is>
      </c>
    </row>
    <row r="1393">
      <c r="A1393" s="13" t="inlineStr">
        <is>
          <t>요건</t>
        </is>
      </c>
      <c r="B1393" s="13" t="inlineStr">
        <is>
          <t>V-6</t>
        </is>
      </c>
      <c r="C1393" s="13" t="inlineStr">
        <is>
          <t>TC-S2-3-14</t>
        </is>
      </c>
      <c r="D1393" s="13" t="inlineStr">
        <is>
          <t>시나리오</t>
        </is>
      </c>
      <c r="E1393" s="13" t="inlineStr">
        <is>
          <t>미실행</t>
        </is>
      </c>
    </row>
    <row r="1394">
      <c r="A1394" s="13" t="inlineStr">
        <is>
          <t>요건</t>
        </is>
      </c>
      <c r="B1394" s="13" t="inlineStr">
        <is>
          <t>V-4</t>
        </is>
      </c>
      <c r="C1394" s="13" t="inlineStr">
        <is>
          <t>TC-S2-3-14</t>
        </is>
      </c>
      <c r="D1394" s="13" t="inlineStr">
        <is>
          <t>시나리오</t>
        </is>
      </c>
      <c r="E1394" s="13" t="inlineStr">
        <is>
          <t>미실행</t>
        </is>
      </c>
    </row>
    <row r="1395">
      <c r="A1395" s="13" t="inlineStr">
        <is>
          <t>화면</t>
        </is>
      </c>
      <c r="B1395" s="13" t="inlineStr">
        <is>
          <t>S2-3</t>
        </is>
      </c>
      <c r="C1395" s="13" t="inlineStr">
        <is>
          <t>TC-S2-3-15</t>
        </is>
      </c>
      <c r="D1395" s="13" t="inlineStr">
        <is>
          <t>기능</t>
        </is>
      </c>
      <c r="E1395" s="13" t="inlineStr">
        <is>
          <t>미실행</t>
        </is>
      </c>
    </row>
    <row r="1396">
      <c r="A1396" s="13" t="inlineStr">
        <is>
          <t>요건</t>
        </is>
      </c>
      <c r="B1396" s="13" t="inlineStr">
        <is>
          <t>NFR-04</t>
        </is>
      </c>
      <c r="C1396" s="13" t="inlineStr">
        <is>
          <t>TC-S2-3-15</t>
        </is>
      </c>
      <c r="D1396" s="13" t="inlineStr">
        <is>
          <t>기능</t>
        </is>
      </c>
      <c r="E1396" s="13" t="inlineStr">
        <is>
          <t>미실행</t>
        </is>
      </c>
    </row>
    <row r="1397">
      <c r="A1397" s="13" t="inlineStr">
        <is>
          <t>요건</t>
        </is>
      </c>
      <c r="B1397" s="13" t="inlineStr">
        <is>
          <t>V-6</t>
        </is>
      </c>
      <c r="C1397" s="13" t="inlineStr">
        <is>
          <t>TC-S2-3-15</t>
        </is>
      </c>
      <c r="D1397" s="13" t="inlineStr">
        <is>
          <t>기능</t>
        </is>
      </c>
      <c r="E1397" s="13" t="inlineStr">
        <is>
          <t>미실행</t>
        </is>
      </c>
    </row>
    <row r="1398">
      <c r="A1398" s="13" t="inlineStr">
        <is>
          <t>화면</t>
        </is>
      </c>
      <c r="B1398" s="13" t="inlineStr">
        <is>
          <t>S2-3</t>
        </is>
      </c>
      <c r="C1398" s="13" t="inlineStr">
        <is>
          <t>TC-S2-3-16</t>
        </is>
      </c>
      <c r="D1398" s="13" t="inlineStr">
        <is>
          <t>시나리오</t>
        </is>
      </c>
      <c r="E1398" s="13" t="inlineStr">
        <is>
          <t>보류</t>
        </is>
      </c>
    </row>
    <row r="1399">
      <c r="A1399" s="13" t="inlineStr">
        <is>
          <t>요건</t>
        </is>
      </c>
      <c r="B1399" s="13" t="inlineStr">
        <is>
          <t>SC-06</t>
        </is>
      </c>
      <c r="C1399" s="13" t="inlineStr">
        <is>
          <t>TC-S2-3-16</t>
        </is>
      </c>
      <c r="D1399" s="13" t="inlineStr">
        <is>
          <t>시나리오</t>
        </is>
      </c>
      <c r="E1399" s="13" t="inlineStr">
        <is>
          <t>보류</t>
        </is>
      </c>
    </row>
    <row r="1400">
      <c r="A1400" s="13" t="inlineStr">
        <is>
          <t>요건</t>
        </is>
      </c>
      <c r="B1400" s="13" t="inlineStr">
        <is>
          <t>US-01</t>
        </is>
      </c>
      <c r="C1400" s="13" t="inlineStr">
        <is>
          <t>TC-S2-3-16</t>
        </is>
      </c>
      <c r="D1400" s="13" t="inlineStr">
        <is>
          <t>시나리오</t>
        </is>
      </c>
      <c r="E1400" s="13" t="inlineStr">
        <is>
          <t>보류</t>
        </is>
      </c>
    </row>
    <row r="1401">
      <c r="A1401" s="13" t="inlineStr">
        <is>
          <t>화면</t>
        </is>
      </c>
      <c r="B1401" s="13" t="inlineStr">
        <is>
          <t>S2-3</t>
        </is>
      </c>
      <c r="C1401" s="13" t="inlineStr">
        <is>
          <t>TC-S2-3-17</t>
        </is>
      </c>
      <c r="D1401" s="13" t="inlineStr">
        <is>
          <t>기능</t>
        </is>
      </c>
      <c r="E1401" s="13" t="inlineStr">
        <is>
          <t>미실행</t>
        </is>
      </c>
    </row>
    <row r="1402">
      <c r="A1402" s="13" t="inlineStr">
        <is>
          <t>요건</t>
        </is>
      </c>
      <c r="B1402" s="13" t="inlineStr">
        <is>
          <t>V-6</t>
        </is>
      </c>
      <c r="C1402" s="13" t="inlineStr">
        <is>
          <t>TC-S2-3-17</t>
        </is>
      </c>
      <c r="D1402" s="13" t="inlineStr">
        <is>
          <t>기능</t>
        </is>
      </c>
      <c r="E1402" s="13" t="inlineStr">
        <is>
          <t>미실행</t>
        </is>
      </c>
    </row>
    <row r="1403">
      <c r="A1403" s="13" t="inlineStr">
        <is>
          <t>화면</t>
        </is>
      </c>
      <c r="B1403" s="13" t="inlineStr">
        <is>
          <t>S2-3</t>
        </is>
      </c>
      <c r="C1403" s="13" t="inlineStr">
        <is>
          <t>TC-S2-3-18</t>
        </is>
      </c>
      <c r="D1403" s="13" t="inlineStr">
        <is>
          <t>기능</t>
        </is>
      </c>
      <c r="E1403" s="13" t="inlineStr">
        <is>
          <t>보류</t>
        </is>
      </c>
    </row>
    <row r="1404">
      <c r="A1404" s="13" t="inlineStr">
        <is>
          <t>요건</t>
        </is>
      </c>
      <c r="B1404" s="13" t="inlineStr">
        <is>
          <t>V-6</t>
        </is>
      </c>
      <c r="C1404" s="13" t="inlineStr">
        <is>
          <t>TC-S2-3-18</t>
        </is>
      </c>
      <c r="D1404" s="13" t="inlineStr">
        <is>
          <t>기능</t>
        </is>
      </c>
      <c r="E1404" s="13" t="inlineStr">
        <is>
          <t>보류</t>
        </is>
      </c>
    </row>
    <row r="1405">
      <c r="A1405" s="13" t="inlineStr">
        <is>
          <t>화면</t>
        </is>
      </c>
      <c r="B1405" s="13" t="inlineStr">
        <is>
          <t>S2-3</t>
        </is>
      </c>
      <c r="C1405" s="13" t="inlineStr">
        <is>
          <t>TC-S2-3-19</t>
        </is>
      </c>
      <c r="D1405" s="13" t="inlineStr">
        <is>
          <t>기능</t>
        </is>
      </c>
      <c r="E1405" s="13" t="inlineStr">
        <is>
          <t>미실행</t>
        </is>
      </c>
    </row>
    <row r="1406">
      <c r="A1406" s="13" t="inlineStr">
        <is>
          <t>요건</t>
        </is>
      </c>
      <c r="B1406" s="13" t="inlineStr">
        <is>
          <t>V-6</t>
        </is>
      </c>
      <c r="C1406" s="13" t="inlineStr">
        <is>
          <t>TC-S2-3-19</t>
        </is>
      </c>
      <c r="D1406" s="13" t="inlineStr">
        <is>
          <t>기능</t>
        </is>
      </c>
      <c r="E1406" s="13" t="inlineStr">
        <is>
          <t>미실행</t>
        </is>
      </c>
    </row>
    <row r="1407">
      <c r="A1407" s="13" t="inlineStr">
        <is>
          <t>요건</t>
        </is>
      </c>
      <c r="B1407" s="13" t="inlineStr">
        <is>
          <t>V-4</t>
        </is>
      </c>
      <c r="C1407" s="13" t="inlineStr">
        <is>
          <t>TC-S2-3-19</t>
        </is>
      </c>
      <c r="D1407" s="13" t="inlineStr">
        <is>
          <t>기능</t>
        </is>
      </c>
      <c r="E1407" s="13" t="inlineStr">
        <is>
          <t>미실행</t>
        </is>
      </c>
    </row>
    <row r="1408">
      <c r="A1408" s="13" t="inlineStr">
        <is>
          <t>화면</t>
        </is>
      </c>
      <c r="B1408" s="13" t="inlineStr">
        <is>
          <t>S2-3</t>
        </is>
      </c>
      <c r="C1408" s="13" t="inlineStr">
        <is>
          <t>TC-S2-3-20</t>
        </is>
      </c>
      <c r="D1408" s="13" t="inlineStr">
        <is>
          <t>기능</t>
        </is>
      </c>
      <c r="E1408" s="13" t="inlineStr">
        <is>
          <t>미실행</t>
        </is>
      </c>
    </row>
    <row r="1409">
      <c r="A1409" s="13" t="inlineStr">
        <is>
          <t>요건</t>
        </is>
      </c>
      <c r="B1409" s="13" t="inlineStr">
        <is>
          <t>V-6</t>
        </is>
      </c>
      <c r="C1409" s="13" t="inlineStr">
        <is>
          <t>TC-S2-3-20</t>
        </is>
      </c>
      <c r="D1409" s="13" t="inlineStr">
        <is>
          <t>기능</t>
        </is>
      </c>
      <c r="E1409" s="13" t="inlineStr">
        <is>
          <t>미실행</t>
        </is>
      </c>
    </row>
    <row r="1410">
      <c r="A1410" s="13" t="inlineStr">
        <is>
          <t>화면</t>
        </is>
      </c>
      <c r="B1410" s="13" t="inlineStr">
        <is>
          <t>S2-3</t>
        </is>
      </c>
      <c r="C1410" s="13" t="inlineStr">
        <is>
          <t>TC-S2-3-21</t>
        </is>
      </c>
      <c r="D1410" s="13" t="inlineStr">
        <is>
          <t>기능</t>
        </is>
      </c>
      <c r="E1410" s="13" t="inlineStr">
        <is>
          <t>보류</t>
        </is>
      </c>
    </row>
    <row r="1411">
      <c r="A1411" s="13" t="inlineStr">
        <is>
          <t>요건</t>
        </is>
      </c>
      <c r="B1411" s="13" t="inlineStr">
        <is>
          <t>V-6</t>
        </is>
      </c>
      <c r="C1411" s="13" t="inlineStr">
        <is>
          <t>TC-S2-3-21</t>
        </is>
      </c>
      <c r="D1411" s="13" t="inlineStr">
        <is>
          <t>기능</t>
        </is>
      </c>
      <c r="E1411" s="13" t="inlineStr">
        <is>
          <t>보류</t>
        </is>
      </c>
    </row>
    <row r="1412">
      <c r="A1412" s="13" t="inlineStr">
        <is>
          <t>요건</t>
        </is>
      </c>
      <c r="B1412" s="13" t="inlineStr">
        <is>
          <t>V-4</t>
        </is>
      </c>
      <c r="C1412" s="13" t="inlineStr">
        <is>
          <t>TC-S2-3-21</t>
        </is>
      </c>
      <c r="D1412" s="13" t="inlineStr">
        <is>
          <t>기능</t>
        </is>
      </c>
      <c r="E1412" s="13" t="inlineStr">
        <is>
          <t>보류</t>
        </is>
      </c>
    </row>
    <row r="1413">
      <c r="A1413" s="13" t="inlineStr">
        <is>
          <t>화면</t>
        </is>
      </c>
      <c r="B1413" s="13" t="inlineStr">
        <is>
          <t>S2-3</t>
        </is>
      </c>
      <c r="C1413" s="13" t="inlineStr">
        <is>
          <t>TC-S2-3-22</t>
        </is>
      </c>
      <c r="D1413" s="13" t="inlineStr">
        <is>
          <t>기능</t>
        </is>
      </c>
      <c r="E1413" s="13" t="inlineStr">
        <is>
          <t>미실행</t>
        </is>
      </c>
    </row>
    <row r="1414">
      <c r="A1414" s="13" t="inlineStr">
        <is>
          <t>요건</t>
        </is>
      </c>
      <c r="B1414" s="13" t="inlineStr">
        <is>
          <t>V-6</t>
        </is>
      </c>
      <c r="C1414" s="13" t="inlineStr">
        <is>
          <t>TC-S2-3-22</t>
        </is>
      </c>
      <c r="D1414" s="13" t="inlineStr">
        <is>
          <t>기능</t>
        </is>
      </c>
      <c r="E1414" s="13" t="inlineStr">
        <is>
          <t>미실행</t>
        </is>
      </c>
    </row>
    <row r="1415">
      <c r="A1415" s="13" t="inlineStr">
        <is>
          <t>요건</t>
        </is>
      </c>
      <c r="B1415" s="13" t="inlineStr">
        <is>
          <t>V-4</t>
        </is>
      </c>
      <c r="C1415" s="13" t="inlineStr">
        <is>
          <t>TC-S2-3-22</t>
        </is>
      </c>
      <c r="D1415" s="13" t="inlineStr">
        <is>
          <t>기능</t>
        </is>
      </c>
      <c r="E1415" s="13" t="inlineStr">
        <is>
          <t>미실행</t>
        </is>
      </c>
    </row>
    <row r="1416">
      <c r="A1416" s="13" t="inlineStr">
        <is>
          <t>화면</t>
        </is>
      </c>
      <c r="B1416" s="13" t="inlineStr">
        <is>
          <t>S2-3</t>
        </is>
      </c>
      <c r="C1416" s="13" t="inlineStr">
        <is>
          <t>TC-S2-3-23</t>
        </is>
      </c>
      <c r="D1416" s="13" t="inlineStr">
        <is>
          <t>기능</t>
        </is>
      </c>
      <c r="E1416" s="13" t="inlineStr">
        <is>
          <t>미실행</t>
        </is>
      </c>
    </row>
    <row r="1417">
      <c r="A1417" s="13" t="inlineStr">
        <is>
          <t>요건</t>
        </is>
      </c>
      <c r="B1417" s="13" t="inlineStr">
        <is>
          <t>L-4</t>
        </is>
      </c>
      <c r="C1417" s="13" t="inlineStr">
        <is>
          <t>TC-S2-3-23</t>
        </is>
      </c>
      <c r="D1417" s="13" t="inlineStr">
        <is>
          <t>기능</t>
        </is>
      </c>
      <c r="E1417" s="13" t="inlineStr">
        <is>
          <t>미실행</t>
        </is>
      </c>
    </row>
    <row r="1418">
      <c r="A1418" s="13" t="inlineStr">
        <is>
          <t>화면</t>
        </is>
      </c>
      <c r="B1418" s="13" t="inlineStr">
        <is>
          <t>S2-3</t>
        </is>
      </c>
      <c r="C1418" s="13" t="inlineStr">
        <is>
          <t>TC-S2-3-24</t>
        </is>
      </c>
      <c r="D1418" s="13" t="inlineStr">
        <is>
          <t>접근성</t>
        </is>
      </c>
      <c r="E1418" s="13" t="inlineStr">
        <is>
          <t>미실행</t>
        </is>
      </c>
    </row>
    <row r="1419">
      <c r="A1419" s="13" t="inlineStr">
        <is>
          <t>요건</t>
        </is>
      </c>
      <c r="B1419" s="13" t="inlineStr">
        <is>
          <t>NFR-02</t>
        </is>
      </c>
      <c r="C1419" s="13" t="inlineStr">
        <is>
          <t>TC-S2-3-24</t>
        </is>
      </c>
      <c r="D1419" s="13" t="inlineStr">
        <is>
          <t>접근성</t>
        </is>
      </c>
      <c r="E1419" s="13" t="inlineStr">
        <is>
          <t>미실행</t>
        </is>
      </c>
    </row>
    <row r="1420">
      <c r="A1420" s="13" t="inlineStr">
        <is>
          <t>요건</t>
        </is>
      </c>
      <c r="B1420" s="13" t="inlineStr">
        <is>
          <t>NFR-08</t>
        </is>
      </c>
      <c r="C1420" s="13" t="inlineStr">
        <is>
          <t>TC-S2-3-24</t>
        </is>
      </c>
      <c r="D1420" s="13" t="inlineStr">
        <is>
          <t>접근성</t>
        </is>
      </c>
      <c r="E1420" s="13" t="inlineStr">
        <is>
          <t>미실행</t>
        </is>
      </c>
    </row>
    <row r="1421">
      <c r="A1421" s="13" t="inlineStr">
        <is>
          <t>화면</t>
        </is>
      </c>
      <c r="B1421" s="13" t="inlineStr">
        <is>
          <t>S2-4</t>
        </is>
      </c>
      <c r="C1421" s="13" t="inlineStr">
        <is>
          <t>TC-S2-4-01</t>
        </is>
      </c>
      <c r="D1421" s="13" t="inlineStr">
        <is>
          <t>기능</t>
        </is>
      </c>
      <c r="E1421" s="13" t="inlineStr">
        <is>
          <t>미실행</t>
        </is>
      </c>
    </row>
    <row r="1422">
      <c r="A1422" s="13" t="inlineStr">
        <is>
          <t>요건</t>
        </is>
      </c>
      <c r="B1422" s="13" t="inlineStr">
        <is>
          <t>G-1</t>
        </is>
      </c>
      <c r="C1422" s="13" t="inlineStr">
        <is>
          <t>TC-S2-4-01</t>
        </is>
      </c>
      <c r="D1422" s="13" t="inlineStr">
        <is>
          <t>기능</t>
        </is>
      </c>
      <c r="E1422" s="13" t="inlineStr">
        <is>
          <t>미실행</t>
        </is>
      </c>
    </row>
    <row r="1423">
      <c r="A1423" s="13" t="inlineStr">
        <is>
          <t>요건</t>
        </is>
      </c>
      <c r="B1423" s="13" t="inlineStr">
        <is>
          <t>MB-2</t>
        </is>
      </c>
      <c r="C1423" s="13" t="inlineStr">
        <is>
          <t>TC-S2-4-01</t>
        </is>
      </c>
      <c r="D1423" s="13" t="inlineStr">
        <is>
          <t>기능</t>
        </is>
      </c>
      <c r="E1423" s="13" t="inlineStr">
        <is>
          <t>미실행</t>
        </is>
      </c>
    </row>
    <row r="1424">
      <c r="A1424" s="13" t="inlineStr">
        <is>
          <t>요건</t>
        </is>
      </c>
      <c r="B1424" s="13" t="inlineStr">
        <is>
          <t>FR-R9</t>
        </is>
      </c>
      <c r="C1424" s="13" t="inlineStr">
        <is>
          <t>TC-S2-4-01</t>
        </is>
      </c>
      <c r="D1424" s="13" t="inlineStr">
        <is>
          <t>기능</t>
        </is>
      </c>
      <c r="E1424" s="13" t="inlineStr">
        <is>
          <t>미실행</t>
        </is>
      </c>
    </row>
    <row r="1425">
      <c r="A1425" s="13" t="inlineStr">
        <is>
          <t>화면</t>
        </is>
      </c>
      <c r="B1425" s="13" t="inlineStr">
        <is>
          <t>S2-4</t>
        </is>
      </c>
      <c r="C1425" s="13" t="inlineStr">
        <is>
          <t>TC-S2-4-02</t>
        </is>
      </c>
      <c r="D1425" s="13" t="inlineStr">
        <is>
          <t>기능</t>
        </is>
      </c>
      <c r="E1425" s="13" t="inlineStr">
        <is>
          <t>미실행</t>
        </is>
      </c>
    </row>
    <row r="1426">
      <c r="A1426" s="13" t="inlineStr">
        <is>
          <t>요건</t>
        </is>
      </c>
      <c r="B1426" s="13" t="inlineStr">
        <is>
          <t>FR-R9</t>
        </is>
      </c>
      <c r="C1426" s="13" t="inlineStr">
        <is>
          <t>TC-S2-4-02</t>
        </is>
      </c>
      <c r="D1426" s="13" t="inlineStr">
        <is>
          <t>기능</t>
        </is>
      </c>
      <c r="E1426" s="13" t="inlineStr">
        <is>
          <t>미실행</t>
        </is>
      </c>
    </row>
    <row r="1427">
      <c r="A1427" s="13" t="inlineStr">
        <is>
          <t>요건</t>
        </is>
      </c>
      <c r="B1427" s="13" t="inlineStr">
        <is>
          <t>G-1</t>
        </is>
      </c>
      <c r="C1427" s="13" t="inlineStr">
        <is>
          <t>TC-S2-4-02</t>
        </is>
      </c>
      <c r="D1427" s="13" t="inlineStr">
        <is>
          <t>기능</t>
        </is>
      </c>
      <c r="E1427" s="13" t="inlineStr">
        <is>
          <t>미실행</t>
        </is>
      </c>
    </row>
    <row r="1428">
      <c r="A1428" s="13" t="inlineStr">
        <is>
          <t>화면</t>
        </is>
      </c>
      <c r="B1428" s="13" t="inlineStr">
        <is>
          <t>S2-4</t>
        </is>
      </c>
      <c r="C1428" s="13" t="inlineStr">
        <is>
          <t>TC-S2-4-03</t>
        </is>
      </c>
      <c r="D1428" s="13" t="inlineStr">
        <is>
          <t>기능</t>
        </is>
      </c>
      <c r="E1428" s="13" t="inlineStr">
        <is>
          <t>미실행</t>
        </is>
      </c>
    </row>
    <row r="1429">
      <c r="A1429" s="13" t="inlineStr">
        <is>
          <t>요건</t>
        </is>
      </c>
      <c r="B1429" s="13" t="inlineStr">
        <is>
          <t>G-3</t>
        </is>
      </c>
      <c r="C1429" s="13" t="inlineStr">
        <is>
          <t>TC-S2-4-03</t>
        </is>
      </c>
      <c r="D1429" s="13" t="inlineStr">
        <is>
          <t>기능</t>
        </is>
      </c>
      <c r="E1429" s="13" t="inlineStr">
        <is>
          <t>미실행</t>
        </is>
      </c>
    </row>
    <row r="1430">
      <c r="A1430" s="13" t="inlineStr">
        <is>
          <t>요건</t>
        </is>
      </c>
      <c r="B1430" s="13" t="inlineStr">
        <is>
          <t>MB-2</t>
        </is>
      </c>
      <c r="C1430" s="13" t="inlineStr">
        <is>
          <t>TC-S2-4-03</t>
        </is>
      </c>
      <c r="D1430" s="13" t="inlineStr">
        <is>
          <t>기능</t>
        </is>
      </c>
      <c r="E1430" s="13" t="inlineStr">
        <is>
          <t>미실행</t>
        </is>
      </c>
    </row>
    <row r="1431">
      <c r="A1431" s="13" t="inlineStr">
        <is>
          <t>화면</t>
        </is>
      </c>
      <c r="B1431" s="13" t="inlineStr">
        <is>
          <t>S2-4</t>
        </is>
      </c>
      <c r="C1431" s="13" t="inlineStr">
        <is>
          <t>TC-S2-4-04</t>
        </is>
      </c>
      <c r="D1431" s="13" t="inlineStr">
        <is>
          <t>기능</t>
        </is>
      </c>
      <c r="E1431" s="13" t="inlineStr">
        <is>
          <t>미실행</t>
        </is>
      </c>
    </row>
    <row r="1432">
      <c r="A1432" s="13" t="inlineStr">
        <is>
          <t>요건</t>
        </is>
      </c>
      <c r="B1432" s="13" t="inlineStr">
        <is>
          <t>G-3</t>
        </is>
      </c>
      <c r="C1432" s="13" t="inlineStr">
        <is>
          <t>TC-S2-4-04</t>
        </is>
      </c>
      <c r="D1432" s="13" t="inlineStr">
        <is>
          <t>기능</t>
        </is>
      </c>
      <c r="E1432" s="13" t="inlineStr">
        <is>
          <t>미실행</t>
        </is>
      </c>
    </row>
    <row r="1433">
      <c r="A1433" s="13" t="inlineStr">
        <is>
          <t>요건</t>
        </is>
      </c>
      <c r="B1433" s="13" t="inlineStr">
        <is>
          <t>MB-2</t>
        </is>
      </c>
      <c r="C1433" s="13" t="inlineStr">
        <is>
          <t>TC-S2-4-04</t>
        </is>
      </c>
      <c r="D1433" s="13" t="inlineStr">
        <is>
          <t>기능</t>
        </is>
      </c>
      <c r="E1433" s="13" t="inlineStr">
        <is>
          <t>미실행</t>
        </is>
      </c>
    </row>
    <row r="1434">
      <c r="A1434" s="13" t="inlineStr">
        <is>
          <t>화면</t>
        </is>
      </c>
      <c r="B1434" s="13" t="inlineStr">
        <is>
          <t>S2-4</t>
        </is>
      </c>
      <c r="C1434" s="13" t="inlineStr">
        <is>
          <t>TC-S2-4-05</t>
        </is>
      </c>
      <c r="D1434" s="13" t="inlineStr">
        <is>
          <t>접근성</t>
        </is>
      </c>
      <c r="E1434" s="13" t="inlineStr">
        <is>
          <t>미실행</t>
        </is>
      </c>
    </row>
    <row r="1435">
      <c r="A1435" s="13" t="inlineStr">
        <is>
          <t>요건</t>
        </is>
      </c>
      <c r="B1435" s="13" t="inlineStr">
        <is>
          <t>V-3</t>
        </is>
      </c>
      <c r="C1435" s="13" t="inlineStr">
        <is>
          <t>TC-S2-4-05</t>
        </is>
      </c>
      <c r="D1435" s="13" t="inlineStr">
        <is>
          <t>접근성</t>
        </is>
      </c>
      <c r="E1435" s="13" t="inlineStr">
        <is>
          <t>미실행</t>
        </is>
      </c>
    </row>
    <row r="1436">
      <c r="A1436" s="13" t="inlineStr">
        <is>
          <t>요건</t>
        </is>
      </c>
      <c r="B1436" s="13" t="inlineStr">
        <is>
          <t>G-3</t>
        </is>
      </c>
      <c r="C1436" s="13" t="inlineStr">
        <is>
          <t>TC-S2-4-05</t>
        </is>
      </c>
      <c r="D1436" s="13" t="inlineStr">
        <is>
          <t>접근성</t>
        </is>
      </c>
      <c r="E1436" s="13" t="inlineStr">
        <is>
          <t>미실행</t>
        </is>
      </c>
    </row>
    <row r="1437">
      <c r="A1437" s="13" t="inlineStr">
        <is>
          <t>화면</t>
        </is>
      </c>
      <c r="B1437" s="13" t="inlineStr">
        <is>
          <t>S2-4</t>
        </is>
      </c>
      <c r="C1437" s="13" t="inlineStr">
        <is>
          <t>TC-S2-4-06</t>
        </is>
      </c>
      <c r="D1437" s="13" t="inlineStr">
        <is>
          <t>접근성</t>
        </is>
      </c>
      <c r="E1437" s="13" t="inlineStr">
        <is>
          <t>미실행</t>
        </is>
      </c>
    </row>
    <row r="1438">
      <c r="A1438" s="13" t="inlineStr">
        <is>
          <t>요건</t>
        </is>
      </c>
      <c r="B1438" s="13" t="inlineStr">
        <is>
          <t>NFR-04</t>
        </is>
      </c>
      <c r="C1438" s="13" t="inlineStr">
        <is>
          <t>TC-S2-4-06</t>
        </is>
      </c>
      <c r="D1438" s="13" t="inlineStr">
        <is>
          <t>접근성</t>
        </is>
      </c>
      <c r="E1438" s="13" t="inlineStr">
        <is>
          <t>미실행</t>
        </is>
      </c>
    </row>
    <row r="1439">
      <c r="A1439" s="13" t="inlineStr">
        <is>
          <t>요건</t>
        </is>
      </c>
      <c r="B1439" s="13" t="inlineStr">
        <is>
          <t>AC-05</t>
        </is>
      </c>
      <c r="C1439" s="13" t="inlineStr">
        <is>
          <t>TC-S2-4-06</t>
        </is>
      </c>
      <c r="D1439" s="13" t="inlineStr">
        <is>
          <t>접근성</t>
        </is>
      </c>
      <c r="E1439" s="13" t="inlineStr">
        <is>
          <t>미실행</t>
        </is>
      </c>
    </row>
    <row r="1440">
      <c r="A1440" s="13" t="inlineStr">
        <is>
          <t>화면</t>
        </is>
      </c>
      <c r="B1440" s="13" t="inlineStr">
        <is>
          <t>S2-4</t>
        </is>
      </c>
      <c r="C1440" s="13" t="inlineStr">
        <is>
          <t>TC-S2-4-07</t>
        </is>
      </c>
      <c r="D1440" s="13" t="inlineStr">
        <is>
          <t>기능</t>
        </is>
      </c>
      <c r="E1440" s="13" t="inlineStr">
        <is>
          <t>미실행</t>
        </is>
      </c>
    </row>
    <row r="1441">
      <c r="A1441" s="13" t="inlineStr">
        <is>
          <t>요건</t>
        </is>
      </c>
      <c r="B1441" s="13" t="inlineStr">
        <is>
          <t>G-4</t>
        </is>
      </c>
      <c r="C1441" s="13" t="inlineStr">
        <is>
          <t>TC-S2-4-07</t>
        </is>
      </c>
      <c r="D1441" s="13" t="inlineStr">
        <is>
          <t>기능</t>
        </is>
      </c>
      <c r="E1441" s="13" t="inlineStr">
        <is>
          <t>미실행</t>
        </is>
      </c>
    </row>
    <row r="1442">
      <c r="A1442" s="13" t="inlineStr">
        <is>
          <t>화면</t>
        </is>
      </c>
      <c r="B1442" s="13" t="inlineStr">
        <is>
          <t>S2-4</t>
        </is>
      </c>
      <c r="C1442" s="13" t="inlineStr">
        <is>
          <t>TC-S2-4-08</t>
        </is>
      </c>
      <c r="D1442" s="13" t="inlineStr">
        <is>
          <t>접근성</t>
        </is>
      </c>
      <c r="E1442" s="13" t="inlineStr">
        <is>
          <t>미실행</t>
        </is>
      </c>
    </row>
    <row r="1443">
      <c r="A1443" s="13" t="inlineStr">
        <is>
          <t>요건</t>
        </is>
      </c>
      <c r="B1443" s="13" t="inlineStr">
        <is>
          <t>G-4</t>
        </is>
      </c>
      <c r="C1443" s="13" t="inlineStr">
        <is>
          <t>TC-S2-4-08</t>
        </is>
      </c>
      <c r="D1443" s="13" t="inlineStr">
        <is>
          <t>접근성</t>
        </is>
      </c>
      <c r="E1443" s="13" t="inlineStr">
        <is>
          <t>미실행</t>
        </is>
      </c>
    </row>
    <row r="1444">
      <c r="A1444" s="13" t="inlineStr">
        <is>
          <t>요건</t>
        </is>
      </c>
      <c r="B1444" s="13" t="inlineStr">
        <is>
          <t>NFR-06</t>
        </is>
      </c>
      <c r="C1444" s="13" t="inlineStr">
        <is>
          <t>TC-S2-4-08</t>
        </is>
      </c>
      <c r="D1444" s="13" t="inlineStr">
        <is>
          <t>접근성</t>
        </is>
      </c>
      <c r="E1444" s="13" t="inlineStr">
        <is>
          <t>미실행</t>
        </is>
      </c>
    </row>
    <row r="1445">
      <c r="A1445" s="13" t="inlineStr">
        <is>
          <t>화면</t>
        </is>
      </c>
      <c r="B1445" s="13" t="inlineStr">
        <is>
          <t>S2-4</t>
        </is>
      </c>
      <c r="C1445" s="13" t="inlineStr">
        <is>
          <t>TC-S2-4-09</t>
        </is>
      </c>
      <c r="D1445" s="13" t="inlineStr">
        <is>
          <t>기능</t>
        </is>
      </c>
      <c r="E1445" s="13" t="inlineStr">
        <is>
          <t>미실행</t>
        </is>
      </c>
    </row>
    <row r="1446">
      <c r="A1446" s="13" t="inlineStr">
        <is>
          <t>요건</t>
        </is>
      </c>
      <c r="B1446" s="13" t="inlineStr">
        <is>
          <t>G-4</t>
        </is>
      </c>
      <c r="C1446" s="13" t="inlineStr">
        <is>
          <t>TC-S2-4-09</t>
        </is>
      </c>
      <c r="D1446" s="13" t="inlineStr">
        <is>
          <t>기능</t>
        </is>
      </c>
      <c r="E1446" s="13" t="inlineStr">
        <is>
          <t>미실행</t>
        </is>
      </c>
    </row>
    <row r="1447">
      <c r="A1447" s="13" t="inlineStr">
        <is>
          <t>화면</t>
        </is>
      </c>
      <c r="B1447" s="13" t="inlineStr">
        <is>
          <t>S2-4</t>
        </is>
      </c>
      <c r="C1447" s="13" t="inlineStr">
        <is>
          <t>TC-S2-4-10</t>
        </is>
      </c>
      <c r="D1447" s="13" t="inlineStr">
        <is>
          <t>기능</t>
        </is>
      </c>
      <c r="E1447" s="13" t="inlineStr">
        <is>
          <t>미실행</t>
        </is>
      </c>
    </row>
    <row r="1448">
      <c r="A1448" s="13" t="inlineStr">
        <is>
          <t>요건</t>
        </is>
      </c>
      <c r="B1448" s="13" t="inlineStr">
        <is>
          <t>G-2</t>
        </is>
      </c>
      <c r="C1448" s="13" t="inlineStr">
        <is>
          <t>TC-S2-4-10</t>
        </is>
      </c>
      <c r="D1448" s="13" t="inlineStr">
        <is>
          <t>기능</t>
        </is>
      </c>
      <c r="E1448" s="13" t="inlineStr">
        <is>
          <t>미실행</t>
        </is>
      </c>
    </row>
    <row r="1449">
      <c r="A1449" s="13" t="inlineStr">
        <is>
          <t>화면</t>
        </is>
      </c>
      <c r="B1449" s="13" t="inlineStr">
        <is>
          <t>S2-4</t>
        </is>
      </c>
      <c r="C1449" s="13" t="inlineStr">
        <is>
          <t>TC-S2-4-11</t>
        </is>
      </c>
      <c r="D1449" s="13" t="inlineStr">
        <is>
          <t>기능</t>
        </is>
      </c>
      <c r="E1449" s="13" t="inlineStr">
        <is>
          <t>미실행</t>
        </is>
      </c>
    </row>
    <row r="1450">
      <c r="A1450" s="13" t="inlineStr">
        <is>
          <t>요건</t>
        </is>
      </c>
      <c r="B1450" s="13" t="inlineStr">
        <is>
          <t>G-2</t>
        </is>
      </c>
      <c r="C1450" s="13" t="inlineStr">
        <is>
          <t>TC-S2-4-11</t>
        </is>
      </c>
      <c r="D1450" s="13" t="inlineStr">
        <is>
          <t>기능</t>
        </is>
      </c>
      <c r="E1450" s="13" t="inlineStr">
        <is>
          <t>미실행</t>
        </is>
      </c>
    </row>
    <row r="1451">
      <c r="A1451" s="13" t="inlineStr">
        <is>
          <t>화면</t>
        </is>
      </c>
      <c r="B1451" s="13" t="inlineStr">
        <is>
          <t>S2-4</t>
        </is>
      </c>
      <c r="C1451" s="13" t="inlineStr">
        <is>
          <t>TC-S2-4-12</t>
        </is>
      </c>
      <c r="D1451" s="13" t="inlineStr">
        <is>
          <t>기능</t>
        </is>
      </c>
      <c r="E1451" s="13" t="inlineStr">
        <is>
          <t>보류</t>
        </is>
      </c>
    </row>
    <row r="1452">
      <c r="A1452" s="13" t="inlineStr">
        <is>
          <t>요건</t>
        </is>
      </c>
      <c r="B1452" s="13" t="inlineStr">
        <is>
          <t>G-2</t>
        </is>
      </c>
      <c r="C1452" s="13" t="inlineStr">
        <is>
          <t>TC-S2-4-12</t>
        </is>
      </c>
      <c r="D1452" s="13" t="inlineStr">
        <is>
          <t>기능</t>
        </is>
      </c>
      <c r="E1452" s="13" t="inlineStr">
        <is>
          <t>보류</t>
        </is>
      </c>
    </row>
    <row r="1453">
      <c r="A1453" s="13" t="inlineStr">
        <is>
          <t>화면</t>
        </is>
      </c>
      <c r="B1453" s="13" t="inlineStr">
        <is>
          <t>S2-4</t>
        </is>
      </c>
      <c r="C1453" s="13" t="inlineStr">
        <is>
          <t>TC-S2-4-13</t>
        </is>
      </c>
      <c r="D1453" s="13" t="inlineStr">
        <is>
          <t>기능</t>
        </is>
      </c>
      <c r="E1453" s="13" t="inlineStr">
        <is>
          <t>미실행</t>
        </is>
      </c>
    </row>
    <row r="1454">
      <c r="A1454" s="13" t="inlineStr">
        <is>
          <t>요건</t>
        </is>
      </c>
      <c r="B1454" s="13" t="inlineStr">
        <is>
          <t>FR-R9</t>
        </is>
      </c>
      <c r="C1454" s="13" t="inlineStr">
        <is>
          <t>TC-S2-4-13</t>
        </is>
      </c>
      <c r="D1454" s="13" t="inlineStr">
        <is>
          <t>기능</t>
        </is>
      </c>
      <c r="E1454" s="13" t="inlineStr">
        <is>
          <t>미실행</t>
        </is>
      </c>
    </row>
    <row r="1455">
      <c r="A1455" s="13" t="inlineStr">
        <is>
          <t>요건</t>
        </is>
      </c>
      <c r="B1455" s="13" t="inlineStr">
        <is>
          <t>G-1</t>
        </is>
      </c>
      <c r="C1455" s="13" t="inlineStr">
        <is>
          <t>TC-S2-4-13</t>
        </is>
      </c>
      <c r="D1455" s="13" t="inlineStr">
        <is>
          <t>기능</t>
        </is>
      </c>
      <c r="E1455" s="13" t="inlineStr">
        <is>
          <t>미실행</t>
        </is>
      </c>
    </row>
    <row r="1456">
      <c r="A1456" s="13" t="inlineStr">
        <is>
          <t>화면</t>
        </is>
      </c>
      <c r="B1456" s="13" t="inlineStr">
        <is>
          <t>S2-4</t>
        </is>
      </c>
      <c r="C1456" s="13" t="inlineStr">
        <is>
          <t>TC-S2-4-14</t>
        </is>
      </c>
      <c r="D1456" s="13" t="inlineStr">
        <is>
          <t>기능</t>
        </is>
      </c>
      <c r="E1456" s="13" t="inlineStr">
        <is>
          <t>보류</t>
        </is>
      </c>
    </row>
    <row r="1457">
      <c r="A1457" s="13" t="inlineStr">
        <is>
          <t>요건</t>
        </is>
      </c>
      <c r="B1457" s="13" t="inlineStr">
        <is>
          <t>G-3</t>
        </is>
      </c>
      <c r="C1457" s="13" t="inlineStr">
        <is>
          <t>TC-S2-4-14</t>
        </is>
      </c>
      <c r="D1457" s="13" t="inlineStr">
        <is>
          <t>기능</t>
        </is>
      </c>
      <c r="E1457" s="13" t="inlineStr">
        <is>
          <t>보류</t>
        </is>
      </c>
    </row>
    <row r="1458">
      <c r="A1458" s="13" t="inlineStr">
        <is>
          <t>요건</t>
        </is>
      </c>
      <c r="B1458" s="13" t="inlineStr">
        <is>
          <t>K-1</t>
        </is>
      </c>
      <c r="C1458" s="13" t="inlineStr">
        <is>
          <t>TC-K-1-00</t>
        </is>
      </c>
      <c r="D1458" s="13" t="inlineStr">
        <is>
          <t>비기능</t>
        </is>
      </c>
      <c r="E1458" s="13" t="inlineStr">
        <is>
          <t>미실행</t>
        </is>
      </c>
    </row>
    <row r="1459">
      <c r="A1459" s="13" t="inlineStr">
        <is>
          <t>요건</t>
        </is>
      </c>
      <c r="B1459" s="13" t="inlineStr">
        <is>
          <t>K-2</t>
        </is>
      </c>
      <c r="C1459" s="13" t="inlineStr">
        <is>
          <t>TC-K-2-00</t>
        </is>
      </c>
      <c r="D1459" s="13" t="inlineStr">
        <is>
          <t>비기능</t>
        </is>
      </c>
      <c r="E1459" s="13" t="inlineStr">
        <is>
          <t>미실행</t>
        </is>
      </c>
    </row>
    <row r="1460">
      <c r="A1460" s="13" t="inlineStr">
        <is>
          <t>요건</t>
        </is>
      </c>
      <c r="B1460" s="13" t="inlineStr">
        <is>
          <t>V-6</t>
        </is>
      </c>
      <c r="C1460" s="13" t="inlineStr">
        <is>
          <t>TC-K-2-00</t>
        </is>
      </c>
      <c r="D1460" s="13" t="inlineStr">
        <is>
          <t>비기능</t>
        </is>
      </c>
      <c r="E1460" s="13" t="inlineStr">
        <is>
          <t>미실행</t>
        </is>
      </c>
    </row>
    <row r="1461">
      <c r="A1461" s="13" t="inlineStr">
        <is>
          <t>요건</t>
        </is>
      </c>
      <c r="B1461" s="13" t="inlineStr">
        <is>
          <t>K-3</t>
        </is>
      </c>
      <c r="C1461" s="13" t="inlineStr">
        <is>
          <t>TC-K-3-00</t>
        </is>
      </c>
      <c r="D1461" s="13" t="inlineStr">
        <is>
          <t>비기능</t>
        </is>
      </c>
      <c r="E1461" s="13" t="inlineStr">
        <is>
          <t>미실행</t>
        </is>
      </c>
    </row>
    <row r="1462">
      <c r="A1462" s="13" t="inlineStr">
        <is>
          <t>요건</t>
        </is>
      </c>
      <c r="B1462" s="13" t="inlineStr">
        <is>
          <t>K-4</t>
        </is>
      </c>
      <c r="C1462" s="13" t="inlineStr">
        <is>
          <t>TC-K-4-00</t>
        </is>
      </c>
      <c r="D1462" s="13" t="inlineStr">
        <is>
          <t>비기능</t>
        </is>
      </c>
      <c r="E1462" s="13" t="inlineStr">
        <is>
          <t>보류</t>
        </is>
      </c>
    </row>
    <row r="1463">
      <c r="A1463" s="13" t="inlineStr">
        <is>
          <t>요건</t>
        </is>
      </c>
      <c r="B1463" s="13" t="inlineStr">
        <is>
          <t>K-5</t>
        </is>
      </c>
      <c r="C1463" s="13" t="inlineStr">
        <is>
          <t>TC-K-5-00</t>
        </is>
      </c>
      <c r="D1463" s="13" t="inlineStr">
        <is>
          <t>비기능</t>
        </is>
      </c>
      <c r="E1463" s="13" t="inlineStr">
        <is>
          <t>미실행</t>
        </is>
      </c>
    </row>
    <row r="1464">
      <c r="A1464" s="13" t="inlineStr">
        <is>
          <t>요건</t>
        </is>
      </c>
      <c r="B1464" s="13" t="inlineStr">
        <is>
          <t>MB-4</t>
        </is>
      </c>
      <c r="C1464" s="13" t="inlineStr">
        <is>
          <t>TC-MB-4-00</t>
        </is>
      </c>
      <c r="D1464" s="13" t="inlineStr">
        <is>
          <t>비기능</t>
        </is>
      </c>
      <c r="E1464" s="13" t="inlineStr">
        <is>
          <t>미실행</t>
        </is>
      </c>
    </row>
    <row r="1465">
      <c r="A1465" s="13" t="inlineStr">
        <is>
          <t>요건</t>
        </is>
      </c>
      <c r="B1465" s="13" t="inlineStr">
        <is>
          <t>L-1</t>
        </is>
      </c>
      <c r="C1465" s="13" t="inlineStr">
        <is>
          <t>TC-MB-4-00</t>
        </is>
      </c>
      <c r="D1465" s="13" t="inlineStr">
        <is>
          <t>비기능</t>
        </is>
      </c>
      <c r="E1465" s="13" t="inlineStr">
        <is>
          <t>미실행</t>
        </is>
      </c>
    </row>
    <row r="1466">
      <c r="A1466" s="13" t="inlineStr">
        <is>
          <t>요건</t>
        </is>
      </c>
      <c r="B1466" s="13" t="inlineStr">
        <is>
          <t>L-2</t>
        </is>
      </c>
      <c r="C1466" s="13" t="inlineStr">
        <is>
          <t>TC-L-2-00</t>
        </is>
      </c>
      <c r="D1466" s="13" t="inlineStr">
        <is>
          <t>비기능</t>
        </is>
      </c>
      <c r="E1466" s="13" t="inlineStr">
        <is>
          <t>미실행</t>
        </is>
      </c>
    </row>
    <row r="1467">
      <c r="A1467" s="13" t="inlineStr">
        <is>
          <t>요건</t>
        </is>
      </c>
      <c r="B1467" s="13" t="inlineStr">
        <is>
          <t>L-3</t>
        </is>
      </c>
      <c r="C1467" s="13" t="inlineStr">
        <is>
          <t>TC-L-3-00</t>
        </is>
      </c>
      <c r="D1467" s="13" t="inlineStr">
        <is>
          <t>비기능</t>
        </is>
      </c>
      <c r="E1467" s="13" t="inlineStr">
        <is>
          <t>미실행</t>
        </is>
      </c>
    </row>
    <row r="1468">
      <c r="A1468" s="13" t="inlineStr">
        <is>
          <t>요건</t>
        </is>
      </c>
      <c r="B1468" s="13" t="inlineStr">
        <is>
          <t>AC-06</t>
        </is>
      </c>
      <c r="C1468" s="13" t="inlineStr">
        <is>
          <t>TC-L-3-00</t>
        </is>
      </c>
      <c r="D1468" s="13" t="inlineStr">
        <is>
          <t>비기능</t>
        </is>
      </c>
      <c r="E1468" s="13" t="inlineStr">
        <is>
          <t>미실행</t>
        </is>
      </c>
    </row>
    <row r="1469">
      <c r="A1469" s="13" t="inlineStr">
        <is>
          <t>요건</t>
        </is>
      </c>
      <c r="B1469" s="13" t="inlineStr">
        <is>
          <t>T-4</t>
        </is>
      </c>
      <c r="C1469" s="13" t="inlineStr">
        <is>
          <t>TC-L-3-00</t>
        </is>
      </c>
      <c r="D1469" s="13" t="inlineStr">
        <is>
          <t>비기능</t>
        </is>
      </c>
      <c r="E1469" s="13" t="inlineStr">
        <is>
          <t>미실행</t>
        </is>
      </c>
    </row>
    <row r="1470">
      <c r="A1470" s="13" t="inlineStr">
        <is>
          <t>요건</t>
        </is>
      </c>
      <c r="B1470" s="13" t="inlineStr">
        <is>
          <t>T-6</t>
        </is>
      </c>
      <c r="C1470" s="13" t="inlineStr">
        <is>
          <t>TC-L-3-00</t>
        </is>
      </c>
      <c r="D1470" s="13" t="inlineStr">
        <is>
          <t>비기능</t>
        </is>
      </c>
      <c r="E1470" s="13" t="inlineStr">
        <is>
          <t>미실행</t>
        </is>
      </c>
    </row>
    <row r="1471">
      <c r="A1471" s="13" t="inlineStr">
        <is>
          <t>요건</t>
        </is>
      </c>
      <c r="B1471" s="13" t="inlineStr">
        <is>
          <t>L-6</t>
        </is>
      </c>
      <c r="C1471" s="13" t="inlineStr">
        <is>
          <t>TC-L-6-00</t>
        </is>
      </c>
      <c r="D1471" s="13" t="inlineStr">
        <is>
          <t>비기능</t>
        </is>
      </c>
      <c r="E1471" s="13" t="inlineStr">
        <is>
          <t>미실행</t>
        </is>
      </c>
    </row>
    <row r="1472">
      <c r="A1472" s="13" t="inlineStr">
        <is>
          <t>요건</t>
        </is>
      </c>
      <c r="B1472" s="13" t="inlineStr">
        <is>
          <t>L-7</t>
        </is>
      </c>
      <c r="C1472" s="13" t="inlineStr">
        <is>
          <t>TC-L-7-00</t>
        </is>
      </c>
      <c r="D1472" s="13" t="inlineStr">
        <is>
          <t>비기능</t>
        </is>
      </c>
      <c r="E1472" s="13" t="inlineStr">
        <is>
          <t>미실행</t>
        </is>
      </c>
    </row>
    <row r="1473">
      <c r="A1473" s="13" t="inlineStr">
        <is>
          <t>요건</t>
        </is>
      </c>
      <c r="B1473" s="13" t="inlineStr">
        <is>
          <t>C-5</t>
        </is>
      </c>
      <c r="C1473" s="13" t="inlineStr">
        <is>
          <t>TC-C-5-00</t>
        </is>
      </c>
      <c r="D1473" s="13" t="inlineStr">
        <is>
          <t>비기능</t>
        </is>
      </c>
      <c r="E1473" s="13" t="inlineStr">
        <is>
          <t>미실행</t>
        </is>
      </c>
    </row>
    <row r="1474">
      <c r="A1474" s="13" t="inlineStr">
        <is>
          <t>요건</t>
        </is>
      </c>
      <c r="B1474" s="13" t="inlineStr">
        <is>
          <t>T-5</t>
        </is>
      </c>
      <c r="C1474" s="13" t="inlineStr">
        <is>
          <t>TC-C-5-00</t>
        </is>
      </c>
      <c r="D1474" s="13" t="inlineStr">
        <is>
          <t>비기능</t>
        </is>
      </c>
      <c r="E1474" s="13" t="inlineStr">
        <is>
          <t>미실행</t>
        </is>
      </c>
    </row>
    <row r="1475">
      <c r="A1475" s="13" t="inlineStr">
        <is>
          <t>요건</t>
        </is>
      </c>
      <c r="B1475" s="13" t="inlineStr">
        <is>
          <t>S-5</t>
        </is>
      </c>
      <c r="C1475" s="13" t="inlineStr">
        <is>
          <t>TC-S-5-00</t>
        </is>
      </c>
      <c r="D1475" s="13" t="inlineStr">
        <is>
          <t>비기능</t>
        </is>
      </c>
      <c r="E1475" s="13" t="inlineStr">
        <is>
          <t>미실행</t>
        </is>
      </c>
    </row>
    <row r="1476">
      <c r="A1476" s="13" t="inlineStr">
        <is>
          <t>요건</t>
        </is>
      </c>
      <c r="B1476" s="13" t="inlineStr">
        <is>
          <t>S-6</t>
        </is>
      </c>
      <c r="C1476" s="13" t="inlineStr">
        <is>
          <t>TC-S-5-00</t>
        </is>
      </c>
      <c r="D1476" s="13" t="inlineStr">
        <is>
          <t>비기능</t>
        </is>
      </c>
      <c r="E1476" s="13" t="inlineStr">
        <is>
          <t>미실행</t>
        </is>
      </c>
    </row>
    <row r="1477">
      <c r="A1477" s="13" t="inlineStr">
        <is>
          <t>요건</t>
        </is>
      </c>
      <c r="B1477" s="13" t="inlineStr">
        <is>
          <t>V-2</t>
        </is>
      </c>
      <c r="C1477" s="13" t="inlineStr">
        <is>
          <t>TC-V-2-00</t>
        </is>
      </c>
      <c r="D1477" s="13" t="inlineStr">
        <is>
          <t>비기능</t>
        </is>
      </c>
      <c r="E1477" s="13" t="inlineStr">
        <is>
          <t>미실행</t>
        </is>
      </c>
    </row>
    <row r="1478">
      <c r="A1478" s="13" t="inlineStr">
        <is>
          <t>요건</t>
        </is>
      </c>
      <c r="B1478" s="13" t="inlineStr">
        <is>
          <t>V-7</t>
        </is>
      </c>
      <c r="C1478" s="13" t="inlineStr">
        <is>
          <t>TC-V-7-00</t>
        </is>
      </c>
      <c r="D1478" s="13" t="inlineStr">
        <is>
          <t>비기능</t>
        </is>
      </c>
      <c r="E1478" s="13" t="inlineStr">
        <is>
          <t>미실행</t>
        </is>
      </c>
    </row>
    <row r="1479">
      <c r="A1479" s="13" t="inlineStr">
        <is>
          <t>요건</t>
        </is>
      </c>
      <c r="B1479" s="13" t="inlineStr">
        <is>
          <t>V-8</t>
        </is>
      </c>
      <c r="C1479" s="13" t="inlineStr">
        <is>
          <t>TC-V-8-00</t>
        </is>
      </c>
      <c r="D1479" s="13" t="inlineStr">
        <is>
          <t>비기능</t>
        </is>
      </c>
      <c r="E1479" s="13" t="inlineStr">
        <is>
          <t>미실행</t>
        </is>
      </c>
    </row>
    <row r="1480">
      <c r="A1480" s="13" t="inlineStr">
        <is>
          <t>요건</t>
        </is>
      </c>
      <c r="B1480" s="13" t="inlineStr">
        <is>
          <t>AC-01</t>
        </is>
      </c>
      <c r="C1480" s="13" t="inlineStr">
        <is>
          <t>TC-AC-01-00</t>
        </is>
      </c>
      <c r="D1480" s="13" t="inlineStr">
        <is>
          <t>대상외</t>
        </is>
      </c>
      <c r="E1480" s="13" t="inlineStr">
        <is>
          <t>보류</t>
        </is>
      </c>
    </row>
    <row r="1481">
      <c r="A1481" s="13" t="inlineStr">
        <is>
          <t>요건</t>
        </is>
      </c>
      <c r="B1481" s="13" t="inlineStr">
        <is>
          <t>AC-02</t>
        </is>
      </c>
      <c r="C1481" s="13" t="inlineStr">
        <is>
          <t>TC-AC-02-00</t>
        </is>
      </c>
      <c r="D1481" s="13" t="inlineStr">
        <is>
          <t>접근성</t>
        </is>
      </c>
      <c r="E1481" s="13" t="inlineStr">
        <is>
          <t>보류</t>
        </is>
      </c>
    </row>
    <row r="1482">
      <c r="A1482" s="13" t="inlineStr">
        <is>
          <t>요건</t>
        </is>
      </c>
      <c r="B1482" s="13" t="inlineStr">
        <is>
          <t>NFR-14</t>
        </is>
      </c>
      <c r="C1482" s="13" t="inlineStr">
        <is>
          <t>TC-AC-02-00</t>
        </is>
      </c>
      <c r="D1482" s="13" t="inlineStr">
        <is>
          <t>접근성</t>
        </is>
      </c>
      <c r="E1482" s="13" t="inlineStr">
        <is>
          <t>보류</t>
        </is>
      </c>
    </row>
    <row r="1483">
      <c r="A1483" s="13" t="inlineStr">
        <is>
          <t>요건</t>
        </is>
      </c>
      <c r="B1483" s="13" t="inlineStr">
        <is>
          <t>AC-08</t>
        </is>
      </c>
      <c r="C1483" s="13" t="inlineStr">
        <is>
          <t>TC-AC-08-00</t>
        </is>
      </c>
      <c r="D1483" s="13" t="inlineStr">
        <is>
          <t>대상외</t>
        </is>
      </c>
      <c r="E1483" s="13" t="inlineStr">
        <is>
          <t>보류</t>
        </is>
      </c>
    </row>
    <row r="1484">
      <c r="A1484" s="13" t="inlineStr">
        <is>
          <t>요건</t>
        </is>
      </c>
      <c r="B1484" s="13" t="inlineStr">
        <is>
          <t>AC-11</t>
        </is>
      </c>
      <c r="C1484" s="13" t="inlineStr">
        <is>
          <t>TC-AC-11-00</t>
        </is>
      </c>
      <c r="D1484" s="13" t="inlineStr">
        <is>
          <t>비기능</t>
        </is>
      </c>
      <c r="E1484" s="13" t="inlineStr">
        <is>
          <t>미실행</t>
        </is>
      </c>
    </row>
    <row r="1485">
      <c r="A1485" s="13" t="inlineStr">
        <is>
          <t>요건</t>
        </is>
      </c>
      <c r="B1485" s="13" t="inlineStr">
        <is>
          <t>NFR-15</t>
        </is>
      </c>
      <c r="C1485" s="13" t="inlineStr">
        <is>
          <t>TC-AC-11-00</t>
        </is>
      </c>
      <c r="D1485" s="13" t="inlineStr">
        <is>
          <t>비기능</t>
        </is>
      </c>
      <c r="E1485" s="13" t="inlineStr">
        <is>
          <t>미실행</t>
        </is>
      </c>
    </row>
    <row r="1486">
      <c r="A1486" s="13" t="inlineStr">
        <is>
          <t>요건</t>
        </is>
      </c>
      <c r="B1486" s="13" t="inlineStr">
        <is>
          <t>AC-12</t>
        </is>
      </c>
      <c r="C1486" s="13" t="inlineStr">
        <is>
          <t>TC-AC-12-00</t>
        </is>
      </c>
      <c r="D1486" s="13" t="inlineStr">
        <is>
          <t>대상외</t>
        </is>
      </c>
      <c r="E1486" s="13" t="inlineStr">
        <is>
          <t>보류</t>
        </is>
      </c>
    </row>
    <row r="1487">
      <c r="A1487" s="13" t="inlineStr">
        <is>
          <t>요건</t>
        </is>
      </c>
      <c r="B1487" s="13" t="inlineStr">
        <is>
          <t>NFR-13</t>
        </is>
      </c>
      <c r="C1487" s="13" t="inlineStr">
        <is>
          <t>TC-NFR-13-00</t>
        </is>
      </c>
      <c r="D1487" s="13" t="inlineStr">
        <is>
          <t>대상외</t>
        </is>
      </c>
      <c r="E1487" s="13" t="inlineStr">
        <is>
          <t>보류</t>
        </is>
      </c>
    </row>
    <row r="1488">
      <c r="A1488" s="13" t="inlineStr">
        <is>
          <t>요건</t>
        </is>
      </c>
      <c r="B1488" s="13" t="inlineStr">
        <is>
          <t>C-2</t>
        </is>
      </c>
      <c r="C1488" s="13" t="inlineStr">
        <is>
          <t>TC-C-2-00</t>
        </is>
      </c>
      <c r="D1488" s="13" t="inlineStr">
        <is>
          <t>비기능</t>
        </is>
      </c>
      <c r="E1488" s="13" t="inlineStr">
        <is>
          <t>미실행</t>
        </is>
      </c>
    </row>
    <row r="1489">
      <c r="A1489" s="13" t="inlineStr">
        <is>
          <t>요건</t>
        </is>
      </c>
      <c r="B1489" s="13" t="inlineStr">
        <is>
          <t>NFR-01</t>
        </is>
      </c>
      <c r="C1489" s="13" t="inlineStr">
        <is>
          <t>TC-C-2-00</t>
        </is>
      </c>
      <c r="D1489" s="13" t="inlineStr">
        <is>
          <t>비기능</t>
        </is>
      </c>
      <c r="E1489" s="13" t="inlineStr">
        <is>
          <t>미실행</t>
        </is>
      </c>
    </row>
    <row r="1490">
      <c r="A1490" s="13" t="inlineStr">
        <is>
          <t>요건</t>
        </is>
      </c>
      <c r="B1490" s="13" t="inlineStr">
        <is>
          <t>T-3</t>
        </is>
      </c>
      <c r="C1490" s="13" t="inlineStr">
        <is>
          <t>TC-T-3-00</t>
        </is>
      </c>
      <c r="D1490" s="13" t="inlineStr">
        <is>
          <t>비기능</t>
        </is>
      </c>
      <c r="E1490" s="13" t="inlineStr">
        <is>
          <t>미실행</t>
        </is>
      </c>
    </row>
    <row r="1491">
      <c r="A1491" s="13" t="inlineStr">
        <is>
          <t>요건</t>
        </is>
      </c>
      <c r="B1491" s="13" t="inlineStr">
        <is>
          <t>NFR-03</t>
        </is>
      </c>
      <c r="C1491" s="13" t="inlineStr">
        <is>
          <t>TC-T-3-00</t>
        </is>
      </c>
      <c r="D1491" s="13" t="inlineStr">
        <is>
          <t>비기능</t>
        </is>
      </c>
      <c r="E1491" s="13" t="inlineStr">
        <is>
          <t>미실행</t>
        </is>
      </c>
    </row>
    <row r="1492">
      <c r="A1492" s="13" t="inlineStr">
        <is>
          <t>요건</t>
        </is>
      </c>
      <c r="B1492" s="13" t="inlineStr">
        <is>
          <t>S-3</t>
        </is>
      </c>
      <c r="C1492" s="13" t="inlineStr">
        <is>
          <t>TC-S-3-00</t>
        </is>
      </c>
      <c r="D1492" s="13" t="inlineStr">
        <is>
          <t>접근성</t>
        </is>
      </c>
      <c r="E1492" s="13" t="inlineStr">
        <is>
          <t>미실행</t>
        </is>
      </c>
    </row>
    <row r="1493">
      <c r="A1493" s="13" t="inlineStr">
        <is>
          <t>요건</t>
        </is>
      </c>
      <c r="B1493" s="13" t="inlineStr">
        <is>
          <t>NFR-04</t>
        </is>
      </c>
      <c r="C1493" s="13" t="inlineStr">
        <is>
          <t>TC-S-3-00</t>
        </is>
      </c>
      <c r="D1493" s="13" t="inlineStr">
        <is>
          <t>접근성</t>
        </is>
      </c>
      <c r="E1493" s="13" t="inlineStr">
        <is>
          <t>미실행</t>
        </is>
      </c>
    </row>
    <row r="1494">
      <c r="A1494" s="13" t="inlineStr">
        <is>
          <t>요건</t>
        </is>
      </c>
      <c r="B1494" s="13" t="inlineStr">
        <is>
          <t>AC-05</t>
        </is>
      </c>
      <c r="C1494" s="13" t="inlineStr">
        <is>
          <t>TC-S-3-00</t>
        </is>
      </c>
      <c r="D1494" s="13" t="inlineStr">
        <is>
          <t>접근성</t>
        </is>
      </c>
      <c r="E1494" s="13" t="inlineStr">
        <is>
          <t>미실행</t>
        </is>
      </c>
    </row>
    <row r="1495">
      <c r="A1495" s="13" t="inlineStr">
        <is>
          <t>요건</t>
        </is>
      </c>
      <c r="B1495" s="13" t="inlineStr">
        <is>
          <t>FR-R3</t>
        </is>
      </c>
      <c r="C1495" s="13" t="inlineStr">
        <is>
          <t>TC-FR-R3-00</t>
        </is>
      </c>
      <c r="D1495" s="13" t="inlineStr">
        <is>
          <t>기능</t>
        </is>
      </c>
      <c r="E1495" s="13" t="inlineStr">
        <is>
          <t>미실행</t>
        </is>
      </c>
    </row>
    <row r="1496">
      <c r="A1496" s="13" t="inlineStr">
        <is>
          <t>요건</t>
        </is>
      </c>
      <c r="B1496" s="13" t="inlineStr">
        <is>
          <t>L-1</t>
        </is>
      </c>
      <c r="C1496" s="13" t="inlineStr">
        <is>
          <t>TC-FR-R3-00</t>
        </is>
      </c>
      <c r="D1496" s="13" t="inlineStr">
        <is>
          <t>기능</t>
        </is>
      </c>
      <c r="E1496" s="13" t="inlineStr">
        <is>
          <t>미실행</t>
        </is>
      </c>
    </row>
    <row r="1497">
      <c r="A1497" s="13" t="inlineStr">
        <is>
          <t>요건</t>
        </is>
      </c>
      <c r="B1497" s="13" t="inlineStr">
        <is>
          <t>L-4</t>
        </is>
      </c>
      <c r="C1497" s="13" t="inlineStr">
        <is>
          <t>TC-FR-R3-00</t>
        </is>
      </c>
      <c r="D1497" s="13" t="inlineStr">
        <is>
          <t>기능</t>
        </is>
      </c>
      <c r="E1497" s="13" t="inlineStr">
        <is>
          <t>미실행</t>
        </is>
      </c>
    </row>
    <row r="1498">
      <c r="A1498" s="13" t="inlineStr">
        <is>
          <t>요건</t>
        </is>
      </c>
      <c r="B1498" s="13" t="inlineStr">
        <is>
          <t>L-8</t>
        </is>
      </c>
      <c r="C1498" s="13" t="inlineStr">
        <is>
          <t>TC-FR-R3-00</t>
        </is>
      </c>
      <c r="D1498" s="13" t="inlineStr">
        <is>
          <t>기능</t>
        </is>
      </c>
      <c r="E1498" s="13" t="inlineStr">
        <is>
          <t>미실행</t>
        </is>
      </c>
    </row>
  </sheetData>
  <autoFilter ref="A1:E14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9" t="inlineStr">
        <is>
          <t>화면 키</t>
        </is>
      </c>
      <c r="B1" s="9" t="inlineStr">
        <is>
          <t>TC 건수</t>
        </is>
      </c>
      <c r="C1" s="9" t="inlineStr">
        <is>
          <t>미실행</t>
        </is>
      </c>
      <c r="D1" s="9" t="inlineStr">
        <is>
          <t>보류</t>
        </is>
      </c>
    </row>
    <row r="2">
      <c r="A2" s="13" t="inlineStr">
        <is>
          <t>1-2</t>
        </is>
      </c>
      <c r="B2" s="5">
        <f>COUNTIFS(매핑!$A$2:$A$1498,"화면",매핑!$B$2:$B$1498,$A2)</f>
        <v>11</v>
      </c>
      <c r="C2" s="5">
        <f>COUNTIFS(매핑!$A$2:$A$1498,"화면",매핑!$B$2:$B$1498,$A2,매핑!$E$2:$E$1498,"미실행")</f>
        <v>10</v>
      </c>
      <c r="D2" s="5">
        <f>COUNTIFS(매핑!$A$2:$A$1498,"화면",매핑!$B$2:$B$1498,$A2,매핑!$E$2:$E$1498,"보류")</f>
        <v>1</v>
      </c>
    </row>
    <row r="3">
      <c r="A3" s="13" t="inlineStr">
        <is>
          <t>1-2-2</t>
        </is>
      </c>
      <c r="B3" s="5">
        <f>COUNTIFS(매핑!$A$2:$A$1498,"화면",매핑!$B$2:$B$1498,$A3)</f>
        <v>14</v>
      </c>
      <c r="C3" s="5">
        <f>COUNTIFS(매핑!$A$2:$A$1498,"화면",매핑!$B$2:$B$1498,$A3,매핑!$E$2:$E$1498,"미실행")</f>
        <v>13</v>
      </c>
      <c r="D3" s="5">
        <f>COUNTIFS(매핑!$A$2:$A$1498,"화면",매핑!$B$2:$B$1498,$A3,매핑!$E$2:$E$1498,"보류")</f>
        <v>1</v>
      </c>
    </row>
    <row r="4">
      <c r="A4" s="13" t="inlineStr">
        <is>
          <t>1-2-3</t>
        </is>
      </c>
      <c r="B4" s="5">
        <f>COUNTIFS(매핑!$A$2:$A$1498,"화면",매핑!$B$2:$B$1498,$A4)</f>
        <v>14</v>
      </c>
      <c r="C4" s="5">
        <f>COUNTIFS(매핑!$A$2:$A$1498,"화면",매핑!$B$2:$B$1498,$A4,매핑!$E$2:$E$1498,"미실행")</f>
        <v>13</v>
      </c>
      <c r="D4" s="5">
        <f>COUNTIFS(매핑!$A$2:$A$1498,"화면",매핑!$B$2:$B$1498,$A4,매핑!$E$2:$E$1498,"보류")</f>
        <v>1</v>
      </c>
    </row>
    <row r="5">
      <c r="A5" s="13" t="inlineStr">
        <is>
          <t>1-2-4</t>
        </is>
      </c>
      <c r="B5" s="5">
        <f>COUNTIFS(매핑!$A$2:$A$1498,"화면",매핑!$B$2:$B$1498,$A5)</f>
        <v>14</v>
      </c>
      <c r="C5" s="5">
        <f>COUNTIFS(매핑!$A$2:$A$1498,"화면",매핑!$B$2:$B$1498,$A5,매핑!$E$2:$E$1498,"미실행")</f>
        <v>13</v>
      </c>
      <c r="D5" s="5">
        <f>COUNTIFS(매핑!$A$2:$A$1498,"화면",매핑!$B$2:$B$1498,$A5,매핑!$E$2:$E$1498,"보류")</f>
        <v>1</v>
      </c>
    </row>
    <row r="6">
      <c r="A6" s="13" t="inlineStr">
        <is>
          <t>1-2-6</t>
        </is>
      </c>
      <c r="B6" s="5">
        <f>COUNTIFS(매핑!$A$2:$A$1498,"화면",매핑!$B$2:$B$1498,$A6)</f>
        <v>14</v>
      </c>
      <c r="C6" s="5">
        <f>COUNTIFS(매핑!$A$2:$A$1498,"화면",매핑!$B$2:$B$1498,$A6,매핑!$E$2:$E$1498,"미실행")</f>
        <v>13</v>
      </c>
      <c r="D6" s="5">
        <f>COUNTIFS(매핑!$A$2:$A$1498,"화면",매핑!$B$2:$B$1498,$A6,매핑!$E$2:$E$1498,"보류")</f>
        <v>1</v>
      </c>
    </row>
    <row r="7">
      <c r="A7" s="13" t="inlineStr">
        <is>
          <t>1-3</t>
        </is>
      </c>
      <c r="B7" s="5">
        <f>COUNTIFS(매핑!$A$2:$A$1498,"화면",매핑!$B$2:$B$1498,$A7)</f>
        <v>10</v>
      </c>
      <c r="C7" s="5">
        <f>COUNTIFS(매핑!$A$2:$A$1498,"화면",매핑!$B$2:$B$1498,$A7,매핑!$E$2:$E$1498,"미실행")</f>
        <v>10</v>
      </c>
      <c r="D7" s="5">
        <f>COUNTIFS(매핑!$A$2:$A$1498,"화면",매핑!$B$2:$B$1498,$A7,매핑!$E$2:$E$1498,"보류")</f>
        <v>0</v>
      </c>
    </row>
    <row r="8">
      <c r="A8" s="13" t="inlineStr">
        <is>
          <t>1-5</t>
        </is>
      </c>
      <c r="B8" s="5">
        <f>COUNTIFS(매핑!$A$2:$A$1498,"화면",매핑!$B$2:$B$1498,$A8)</f>
        <v>16</v>
      </c>
      <c r="C8" s="5">
        <f>COUNTIFS(매핑!$A$2:$A$1498,"화면",매핑!$B$2:$B$1498,$A8,매핑!$E$2:$E$1498,"미실행")</f>
        <v>15</v>
      </c>
      <c r="D8" s="5">
        <f>COUNTIFS(매핑!$A$2:$A$1498,"화면",매핑!$B$2:$B$1498,$A8,매핑!$E$2:$E$1498,"보류")</f>
        <v>1</v>
      </c>
    </row>
    <row r="9">
      <c r="A9" s="13" t="inlineStr">
        <is>
          <t>1-6</t>
        </is>
      </c>
      <c r="B9" s="5">
        <f>COUNTIFS(매핑!$A$2:$A$1498,"화면",매핑!$B$2:$B$1498,$A9)</f>
        <v>7</v>
      </c>
      <c r="C9" s="5">
        <f>COUNTIFS(매핑!$A$2:$A$1498,"화면",매핑!$B$2:$B$1498,$A9,매핑!$E$2:$E$1498,"미실행")</f>
        <v>6</v>
      </c>
      <c r="D9" s="5">
        <f>COUNTIFS(매핑!$A$2:$A$1498,"화면",매핑!$B$2:$B$1498,$A9,매핑!$E$2:$E$1498,"보류")</f>
        <v>1</v>
      </c>
    </row>
    <row r="10">
      <c r="A10" s="13" t="inlineStr">
        <is>
          <t>2-5-1</t>
        </is>
      </c>
      <c r="B10" s="5">
        <f>COUNTIFS(매핑!$A$2:$A$1498,"화면",매핑!$B$2:$B$1498,$A10)</f>
        <v>7</v>
      </c>
      <c r="C10" s="5">
        <f>COUNTIFS(매핑!$A$2:$A$1498,"화면",매핑!$B$2:$B$1498,$A10,매핑!$E$2:$E$1498,"미실행")</f>
        <v>6</v>
      </c>
      <c r="D10" s="5">
        <f>COUNTIFS(매핑!$A$2:$A$1498,"화면",매핑!$B$2:$B$1498,$A10,매핑!$E$2:$E$1498,"보류")</f>
        <v>1</v>
      </c>
    </row>
    <row r="11">
      <c r="A11" s="13" t="inlineStr">
        <is>
          <t>2-7</t>
        </is>
      </c>
      <c r="B11" s="5">
        <f>COUNTIFS(매핑!$A$2:$A$1498,"화면",매핑!$B$2:$B$1498,$A11)</f>
        <v>10</v>
      </c>
      <c r="C11" s="5">
        <f>COUNTIFS(매핑!$A$2:$A$1498,"화면",매핑!$B$2:$B$1498,$A11,매핑!$E$2:$E$1498,"미실행")</f>
        <v>10</v>
      </c>
      <c r="D11" s="5">
        <f>COUNTIFS(매핑!$A$2:$A$1498,"화면",매핑!$B$2:$B$1498,$A11,매핑!$E$2:$E$1498,"보류")</f>
        <v>0</v>
      </c>
    </row>
    <row r="12">
      <c r="A12" s="13" t="inlineStr">
        <is>
          <t>AUTH-01</t>
        </is>
      </c>
      <c r="B12" s="5">
        <f>COUNTIFS(매핑!$A$2:$A$1498,"화면",매핑!$B$2:$B$1498,$A12)</f>
        <v>13</v>
      </c>
      <c r="C12" s="5">
        <f>COUNTIFS(매핑!$A$2:$A$1498,"화면",매핑!$B$2:$B$1498,$A12,매핑!$E$2:$E$1498,"미실행")</f>
        <v>13</v>
      </c>
      <c r="D12" s="5">
        <f>COUNTIFS(매핑!$A$2:$A$1498,"화면",매핑!$B$2:$B$1498,$A12,매핑!$E$2:$E$1498,"보류")</f>
        <v>0</v>
      </c>
    </row>
    <row r="13">
      <c r="A13" s="13" t="inlineStr">
        <is>
          <t>AUTH-03</t>
        </is>
      </c>
      <c r="B13" s="5">
        <f>COUNTIFS(매핑!$A$2:$A$1498,"화면",매핑!$B$2:$B$1498,$A13)</f>
        <v>22</v>
      </c>
      <c r="C13" s="5">
        <f>COUNTIFS(매핑!$A$2:$A$1498,"화면",매핑!$B$2:$B$1498,$A13,매핑!$E$2:$E$1498,"미실행")</f>
        <v>15</v>
      </c>
      <c r="D13" s="5">
        <f>COUNTIFS(매핑!$A$2:$A$1498,"화면",매핑!$B$2:$B$1498,$A13,매핑!$E$2:$E$1498,"보류")</f>
        <v>7</v>
      </c>
    </row>
    <row r="14">
      <c r="A14" s="13" t="inlineStr">
        <is>
          <t>AUTH-04</t>
        </is>
      </c>
      <c r="B14" s="5">
        <f>COUNTIFS(매핑!$A$2:$A$1498,"화면",매핑!$B$2:$B$1498,$A14)</f>
        <v>32</v>
      </c>
      <c r="C14" s="5">
        <f>COUNTIFS(매핑!$A$2:$A$1498,"화면",매핑!$B$2:$B$1498,$A14,매핑!$E$2:$E$1498,"미실행")</f>
        <v>28</v>
      </c>
      <c r="D14" s="5">
        <f>COUNTIFS(매핑!$A$2:$A$1498,"화면",매핑!$B$2:$B$1498,$A14,매핑!$E$2:$E$1498,"보류")</f>
        <v>4</v>
      </c>
    </row>
    <row r="15">
      <c r="A15" s="13" t="inlineStr">
        <is>
          <t>BUS-01</t>
        </is>
      </c>
      <c r="B15" s="5">
        <f>COUNTIFS(매핑!$A$2:$A$1498,"화면",매핑!$B$2:$B$1498,$A15)</f>
        <v>24</v>
      </c>
      <c r="C15" s="5">
        <f>COUNTIFS(매핑!$A$2:$A$1498,"화면",매핑!$B$2:$B$1498,$A15,매핑!$E$2:$E$1498,"미실행")</f>
        <v>16</v>
      </c>
      <c r="D15" s="5">
        <f>COUNTIFS(매핑!$A$2:$A$1498,"화면",매핑!$B$2:$B$1498,$A15,매핑!$E$2:$E$1498,"보류")</f>
        <v>8</v>
      </c>
    </row>
    <row r="16">
      <c r="A16" s="13" t="inlineStr">
        <is>
          <t>BUS-03</t>
        </is>
      </c>
      <c r="B16" s="5">
        <f>COUNTIFS(매핑!$A$2:$A$1498,"화면",매핑!$B$2:$B$1498,$A16)</f>
        <v>15</v>
      </c>
      <c r="C16" s="5">
        <f>COUNTIFS(매핑!$A$2:$A$1498,"화면",매핑!$B$2:$B$1498,$A16,매핑!$E$2:$E$1498,"미실행")</f>
        <v>13</v>
      </c>
      <c r="D16" s="5">
        <f>COUNTIFS(매핑!$A$2:$A$1498,"화면",매핑!$B$2:$B$1498,$A16,매핑!$E$2:$E$1498,"보류")</f>
        <v>2</v>
      </c>
    </row>
    <row r="17">
      <c r="A17" s="13" t="inlineStr">
        <is>
          <t>FAV-01</t>
        </is>
      </c>
      <c r="B17" s="5">
        <f>COUNTIFS(매핑!$A$2:$A$1498,"화면",매핑!$B$2:$B$1498,$A17)</f>
        <v>20</v>
      </c>
      <c r="C17" s="5">
        <f>COUNTIFS(매핑!$A$2:$A$1498,"화면",매핑!$B$2:$B$1498,$A17,매핑!$E$2:$E$1498,"미실행")</f>
        <v>17</v>
      </c>
      <c r="D17" s="5">
        <f>COUNTIFS(매핑!$A$2:$A$1498,"화면",매핑!$B$2:$B$1498,$A17,매핑!$E$2:$E$1498,"보류")</f>
        <v>3</v>
      </c>
    </row>
    <row r="18">
      <c r="A18" s="13" t="inlineStr">
        <is>
          <t>HOME-01</t>
        </is>
      </c>
      <c r="B18" s="5">
        <f>COUNTIFS(매핑!$A$2:$A$1498,"화면",매핑!$B$2:$B$1498,$A18)</f>
        <v>18</v>
      </c>
      <c r="C18" s="5">
        <f>COUNTIFS(매핑!$A$2:$A$1498,"화면",매핑!$B$2:$B$1498,$A18,매핑!$E$2:$E$1498,"미실행")</f>
        <v>15</v>
      </c>
      <c r="D18" s="5">
        <f>COUNTIFS(매핑!$A$2:$A$1498,"화면",매핑!$B$2:$B$1498,$A18,매핑!$E$2:$E$1498,"보류")</f>
        <v>3</v>
      </c>
    </row>
    <row r="19">
      <c r="A19" s="13" t="inlineStr">
        <is>
          <t>HOME-04</t>
        </is>
      </c>
      <c r="B19" s="5">
        <f>COUNTIFS(매핑!$A$2:$A$1498,"화면",매핑!$B$2:$B$1498,$A19)</f>
        <v>9</v>
      </c>
      <c r="C19" s="5">
        <f>COUNTIFS(매핑!$A$2:$A$1498,"화면",매핑!$B$2:$B$1498,$A19,매핑!$E$2:$E$1498,"미실행")</f>
        <v>7</v>
      </c>
      <c r="D19" s="5">
        <f>COUNTIFS(매핑!$A$2:$A$1498,"화면",매핑!$B$2:$B$1498,$A19,매핑!$E$2:$E$1498,"보류")</f>
        <v>2</v>
      </c>
    </row>
    <row r="20">
      <c r="A20" s="13" t="inlineStr">
        <is>
          <t>INAV-01</t>
        </is>
      </c>
      <c r="B20" s="5">
        <f>COUNTIFS(매핑!$A$2:$A$1498,"화면",매핑!$B$2:$B$1498,$A20)</f>
        <v>30</v>
      </c>
      <c r="C20" s="5">
        <f>COUNTIFS(매핑!$A$2:$A$1498,"화면",매핑!$B$2:$B$1498,$A20,매핑!$E$2:$E$1498,"미실행")</f>
        <v>25</v>
      </c>
      <c r="D20" s="5">
        <f>COUNTIFS(매핑!$A$2:$A$1498,"화면",매핑!$B$2:$B$1498,$A20,매핑!$E$2:$E$1498,"보류")</f>
        <v>5</v>
      </c>
    </row>
    <row r="21">
      <c r="A21" s="13" t="inlineStr">
        <is>
          <t>MY-01</t>
        </is>
      </c>
      <c r="B21" s="5">
        <f>COUNTIFS(매핑!$A$2:$A$1498,"화면",매핑!$B$2:$B$1498,$A21)</f>
        <v>20</v>
      </c>
      <c r="C21" s="5">
        <f>COUNTIFS(매핑!$A$2:$A$1498,"화면",매핑!$B$2:$B$1498,$A21,매핑!$E$2:$E$1498,"미실행")</f>
        <v>17</v>
      </c>
      <c r="D21" s="5">
        <f>COUNTIFS(매핑!$A$2:$A$1498,"화면",매핑!$B$2:$B$1498,$A21,매핑!$E$2:$E$1498,"보류")</f>
        <v>3</v>
      </c>
    </row>
    <row r="22">
      <c r="A22" s="13" t="inlineStr">
        <is>
          <t>MY-05</t>
        </is>
      </c>
      <c r="B22" s="5">
        <f>COUNTIFS(매핑!$A$2:$A$1498,"화면",매핑!$B$2:$B$1498,$A22)</f>
        <v>8</v>
      </c>
      <c r="C22" s="5">
        <f>COUNTIFS(매핑!$A$2:$A$1498,"화면",매핑!$B$2:$B$1498,$A22,매핑!$E$2:$E$1498,"미실행")</f>
        <v>6</v>
      </c>
      <c r="D22" s="5">
        <f>COUNTIFS(매핑!$A$2:$A$1498,"화면",매핑!$B$2:$B$1498,$A22,매핑!$E$2:$E$1498,"보류")</f>
        <v>2</v>
      </c>
    </row>
    <row r="23">
      <c r="A23" s="13" t="inlineStr">
        <is>
          <t>MY-06</t>
        </is>
      </c>
      <c r="B23" s="5">
        <f>COUNTIFS(매핑!$A$2:$A$1498,"화면",매핑!$B$2:$B$1498,$A23)</f>
        <v>8</v>
      </c>
      <c r="C23" s="5">
        <f>COUNTIFS(매핑!$A$2:$A$1498,"화면",매핑!$B$2:$B$1498,$A23,매핑!$E$2:$E$1498,"미실행")</f>
        <v>6</v>
      </c>
      <c r="D23" s="5">
        <f>COUNTIFS(매핑!$A$2:$A$1498,"화면",매핑!$B$2:$B$1498,$A23,매핑!$E$2:$E$1498,"보류")</f>
        <v>2</v>
      </c>
    </row>
    <row r="24">
      <c r="A24" s="13" t="inlineStr">
        <is>
          <t>MY-07</t>
        </is>
      </c>
      <c r="B24" s="5">
        <f>COUNTIFS(매핑!$A$2:$A$1498,"화면",매핑!$B$2:$B$1498,$A24)</f>
        <v>8</v>
      </c>
      <c r="C24" s="5">
        <f>COUNTIFS(매핑!$A$2:$A$1498,"화면",매핑!$B$2:$B$1498,$A24,매핑!$E$2:$E$1498,"미실행")</f>
        <v>6</v>
      </c>
      <c r="D24" s="5">
        <f>COUNTIFS(매핑!$A$2:$A$1498,"화면",매핑!$B$2:$B$1498,$A24,매핑!$E$2:$E$1498,"보류")</f>
        <v>2</v>
      </c>
    </row>
    <row r="25">
      <c r="A25" s="13" t="inlineStr">
        <is>
          <t>MY-08</t>
        </is>
      </c>
      <c r="B25" s="5">
        <f>COUNTIFS(매핑!$A$2:$A$1498,"화면",매핑!$B$2:$B$1498,$A25)</f>
        <v>8</v>
      </c>
      <c r="C25" s="5">
        <f>COUNTIFS(매핑!$A$2:$A$1498,"화면",매핑!$B$2:$B$1498,$A25,매핑!$E$2:$E$1498,"미실행")</f>
        <v>6</v>
      </c>
      <c r="D25" s="5">
        <f>COUNTIFS(매핑!$A$2:$A$1498,"화면",매핑!$B$2:$B$1498,$A25,매핑!$E$2:$E$1498,"보류")</f>
        <v>2</v>
      </c>
    </row>
    <row r="26">
      <c r="A26" s="13" t="inlineStr">
        <is>
          <t>MY-11</t>
        </is>
      </c>
      <c r="B26" s="5">
        <f>COUNTIFS(매핑!$A$2:$A$1498,"화면",매핑!$B$2:$B$1498,$A26)</f>
        <v>6</v>
      </c>
      <c r="C26" s="5">
        <f>COUNTIFS(매핑!$A$2:$A$1498,"화면",매핑!$B$2:$B$1498,$A26,매핑!$E$2:$E$1498,"미실행")</f>
        <v>5</v>
      </c>
      <c r="D26" s="5">
        <f>COUNTIFS(매핑!$A$2:$A$1498,"화면",매핑!$B$2:$B$1498,$A26,매핑!$E$2:$E$1498,"보류")</f>
        <v>1</v>
      </c>
    </row>
    <row r="27">
      <c r="A27" s="13" t="inlineStr">
        <is>
          <t>ONAV-01</t>
        </is>
      </c>
      <c r="B27" s="5">
        <f>COUNTIFS(매핑!$A$2:$A$1498,"화면",매핑!$B$2:$B$1498,$A27)</f>
        <v>28</v>
      </c>
      <c r="C27" s="5">
        <f>COUNTIFS(매핑!$A$2:$A$1498,"화면",매핑!$B$2:$B$1498,$A27,매핑!$E$2:$E$1498,"미실행")</f>
        <v>23</v>
      </c>
      <c r="D27" s="5">
        <f>COUNTIFS(매핑!$A$2:$A$1498,"화면",매핑!$B$2:$B$1498,$A27,매핑!$E$2:$E$1498,"보류")</f>
        <v>5</v>
      </c>
    </row>
    <row r="28">
      <c r="A28" s="13" t="inlineStr">
        <is>
          <t>REPORT-01</t>
        </is>
      </c>
      <c r="B28" s="5">
        <f>COUNTIFS(매핑!$A$2:$A$1498,"화면",매핑!$B$2:$B$1498,$A28)</f>
        <v>19</v>
      </c>
      <c r="C28" s="5">
        <f>COUNTIFS(매핑!$A$2:$A$1498,"화면",매핑!$B$2:$B$1498,$A28,매핑!$E$2:$E$1498,"미실행")</f>
        <v>16</v>
      </c>
      <c r="D28" s="5">
        <f>COUNTIFS(매핑!$A$2:$A$1498,"화면",매핑!$B$2:$B$1498,$A28,매핑!$E$2:$E$1498,"보류")</f>
        <v>3</v>
      </c>
    </row>
    <row r="29">
      <c r="A29" s="13" t="inlineStr">
        <is>
          <t>REPORT-02</t>
        </is>
      </c>
      <c r="B29" s="5">
        <f>COUNTIFS(매핑!$A$2:$A$1498,"화면",매핑!$B$2:$B$1498,$A29)</f>
        <v>12</v>
      </c>
      <c r="C29" s="5">
        <f>COUNTIFS(매핑!$A$2:$A$1498,"화면",매핑!$B$2:$B$1498,$A29,매핑!$E$2:$E$1498,"미실행")</f>
        <v>8</v>
      </c>
      <c r="D29" s="5">
        <f>COUNTIFS(매핑!$A$2:$A$1498,"화면",매핑!$B$2:$B$1498,$A29,매핑!$E$2:$E$1498,"보류")</f>
        <v>4</v>
      </c>
    </row>
    <row r="30">
      <c r="A30" s="13" t="inlineStr">
        <is>
          <t>REPORT-03</t>
        </is>
      </c>
      <c r="B30" s="5">
        <f>COUNTIFS(매핑!$A$2:$A$1498,"화면",매핑!$B$2:$B$1498,$A30)</f>
        <v>7</v>
      </c>
      <c r="C30" s="5">
        <f>COUNTIFS(매핑!$A$2:$A$1498,"화면",매핑!$B$2:$B$1498,$A30,매핑!$E$2:$E$1498,"미실행")</f>
        <v>5</v>
      </c>
      <c r="D30" s="5">
        <f>COUNTIFS(매핑!$A$2:$A$1498,"화면",매핑!$B$2:$B$1498,$A30,매핑!$E$2:$E$1498,"보류")</f>
        <v>2</v>
      </c>
    </row>
    <row r="31">
      <c r="A31" s="13" t="inlineStr">
        <is>
          <t>ROUTE-01</t>
        </is>
      </c>
      <c r="B31" s="5">
        <f>COUNTIFS(매핑!$A$2:$A$1498,"화면",매핑!$B$2:$B$1498,$A31)</f>
        <v>19</v>
      </c>
      <c r="C31" s="5">
        <f>COUNTIFS(매핑!$A$2:$A$1498,"화면",매핑!$B$2:$B$1498,$A31,매핑!$E$2:$E$1498,"미실행")</f>
        <v>18</v>
      </c>
      <c r="D31" s="5">
        <f>COUNTIFS(매핑!$A$2:$A$1498,"화면",매핑!$B$2:$B$1498,$A31,매핑!$E$2:$E$1498,"보류")</f>
        <v>1</v>
      </c>
    </row>
    <row r="32">
      <c r="A32" s="13" t="inlineStr">
        <is>
          <t>ROUTE-02</t>
        </is>
      </c>
      <c r="B32" s="5">
        <f>COUNTIFS(매핑!$A$2:$A$1498,"화면",매핑!$B$2:$B$1498,$A32)</f>
        <v>14</v>
      </c>
      <c r="C32" s="5">
        <f>COUNTIFS(매핑!$A$2:$A$1498,"화면",매핑!$B$2:$B$1498,$A32,매핑!$E$2:$E$1498,"미실행")</f>
        <v>10</v>
      </c>
      <c r="D32" s="5">
        <f>COUNTIFS(매핑!$A$2:$A$1498,"화면",매핑!$B$2:$B$1498,$A32,매핑!$E$2:$E$1498,"보류")</f>
        <v>4</v>
      </c>
    </row>
    <row r="33">
      <c r="A33" s="13" t="inlineStr">
        <is>
          <t>ROUTE-03</t>
        </is>
      </c>
      <c r="B33" s="5">
        <f>COUNTIFS(매핑!$A$2:$A$1498,"화면",매핑!$B$2:$B$1498,$A33)</f>
        <v>11</v>
      </c>
      <c r="C33" s="5">
        <f>COUNTIFS(매핑!$A$2:$A$1498,"화면",매핑!$B$2:$B$1498,$A33,매핑!$E$2:$E$1498,"미실행")</f>
        <v>7</v>
      </c>
      <c r="D33" s="5">
        <f>COUNTIFS(매핑!$A$2:$A$1498,"화면",매핑!$B$2:$B$1498,$A33,매핑!$E$2:$E$1498,"보류")</f>
        <v>4</v>
      </c>
    </row>
    <row r="34">
      <c r="A34" s="13" t="inlineStr">
        <is>
          <t>S2-2</t>
        </is>
      </c>
      <c r="B34" s="5">
        <f>COUNTIFS(매핑!$A$2:$A$1498,"화면",매핑!$B$2:$B$1498,$A34)</f>
        <v>21</v>
      </c>
      <c r="C34" s="5">
        <f>COUNTIFS(매핑!$A$2:$A$1498,"화면",매핑!$B$2:$B$1498,$A34,매핑!$E$2:$E$1498,"미실행")</f>
        <v>18</v>
      </c>
      <c r="D34" s="5">
        <f>COUNTIFS(매핑!$A$2:$A$1498,"화면",매핑!$B$2:$B$1498,$A34,매핑!$E$2:$E$1498,"보류")</f>
        <v>3</v>
      </c>
    </row>
    <row r="35">
      <c r="A35" s="13" t="inlineStr">
        <is>
          <t>S2-3</t>
        </is>
      </c>
      <c r="B35" s="5">
        <f>COUNTIFS(매핑!$A$2:$A$1498,"화면",매핑!$B$2:$B$1498,$A35)</f>
        <v>24</v>
      </c>
      <c r="C35" s="5">
        <f>COUNTIFS(매핑!$A$2:$A$1498,"화면",매핑!$B$2:$B$1498,$A35,매핑!$E$2:$E$1498,"미실행")</f>
        <v>21</v>
      </c>
      <c r="D35" s="5">
        <f>COUNTIFS(매핑!$A$2:$A$1498,"화면",매핑!$B$2:$B$1498,$A35,매핑!$E$2:$E$1498,"보류")</f>
        <v>3</v>
      </c>
    </row>
    <row r="36">
      <c r="A36" s="13" t="inlineStr">
        <is>
          <t>S2-4</t>
        </is>
      </c>
      <c r="B36" s="5">
        <f>COUNTIFS(매핑!$A$2:$A$1498,"화면",매핑!$B$2:$B$1498,$A36)</f>
        <v>14</v>
      </c>
      <c r="C36" s="5">
        <f>COUNTIFS(매핑!$A$2:$A$1498,"화면",매핑!$B$2:$B$1498,$A36,매핑!$E$2:$E$1498,"미실행")</f>
        <v>12</v>
      </c>
      <c r="D36" s="5">
        <f>COUNTIFS(매핑!$A$2:$A$1498,"화면",매핑!$B$2:$B$1498,$A36,매핑!$E$2:$E$1498,"보류")</f>
        <v>2</v>
      </c>
    </row>
    <row r="37">
      <c r="A37" s="13" t="inlineStr">
        <is>
          <t>SEARCH-01</t>
        </is>
      </c>
      <c r="B37" s="5">
        <f>COUNTIFS(매핑!$A$2:$A$1498,"화면",매핑!$B$2:$B$1498,$A37)</f>
        <v>13</v>
      </c>
      <c r="C37" s="5">
        <f>COUNTIFS(매핑!$A$2:$A$1498,"화면",매핑!$B$2:$B$1498,$A37,매핑!$E$2:$E$1498,"미실행")</f>
        <v>12</v>
      </c>
      <c r="D37" s="5">
        <f>COUNTIFS(매핑!$A$2:$A$1498,"화면",매핑!$B$2:$B$1498,$A37,매핑!$E$2:$E$1498,"보류")</f>
        <v>1</v>
      </c>
    </row>
    <row r="38">
      <c r="A38" s="13" t="inlineStr">
        <is>
          <t>SEARCH-02</t>
        </is>
      </c>
      <c r="B38" s="5">
        <f>COUNTIFS(매핑!$A$2:$A$1498,"화면",매핑!$B$2:$B$1498,$A38)</f>
        <v>13</v>
      </c>
      <c r="C38" s="5">
        <f>COUNTIFS(매핑!$A$2:$A$1498,"화면",매핑!$B$2:$B$1498,$A38,매핑!$E$2:$E$1498,"미실행")</f>
        <v>12</v>
      </c>
      <c r="D38" s="5">
        <f>COUNTIFS(매핑!$A$2:$A$1498,"화면",매핑!$B$2:$B$1498,$A38,매핑!$E$2:$E$1498,"보류")</f>
        <v>1</v>
      </c>
    </row>
    <row r="39">
      <c r="A39" s="13" t="inlineStr">
        <is>
          <t>SVC-04</t>
        </is>
      </c>
      <c r="B39" s="5">
        <f>COUNTIFS(매핑!$A$2:$A$1498,"화면",매핑!$B$2:$B$1498,$A39)</f>
        <v>16</v>
      </c>
      <c r="C39" s="5">
        <f>COUNTIFS(매핑!$A$2:$A$1498,"화면",매핑!$B$2:$B$1498,$A39,매핑!$E$2:$E$1498,"미실행")</f>
        <v>14</v>
      </c>
      <c r="D39" s="5">
        <f>COUNTIFS(매핑!$A$2:$A$1498,"화면",매핑!$B$2:$B$1498,$A39,매핑!$E$2:$E$1498,"보류")</f>
        <v>2</v>
      </c>
    </row>
    <row r="40">
      <c r="A40" s="13" t="inlineStr">
        <is>
          <t>SVC-05</t>
        </is>
      </c>
      <c r="B40" s="5">
        <f>COUNTIFS(매핑!$A$2:$A$1498,"화면",매핑!$B$2:$B$1498,$A40)</f>
        <v>19</v>
      </c>
      <c r="C40" s="5">
        <f>COUNTIFS(매핑!$A$2:$A$1498,"화면",매핑!$B$2:$B$1498,$A40,매핑!$E$2:$E$1498,"미실행")</f>
        <v>17</v>
      </c>
      <c r="D40" s="5">
        <f>COUNTIFS(매핑!$A$2:$A$1498,"화면",매핑!$B$2:$B$1498,$A40,매핑!$E$2:$E$1498,"보류")</f>
        <v>2</v>
      </c>
    </row>
    <row r="41">
      <c r="A41" s="13" t="inlineStr">
        <is>
          <t>SVC-06</t>
        </is>
      </c>
      <c r="B41" s="5">
        <f>COUNTIFS(매핑!$A$2:$A$1498,"화면",매핑!$B$2:$B$1498,$A41)</f>
        <v>14</v>
      </c>
      <c r="C41" s="5">
        <f>COUNTIFS(매핑!$A$2:$A$1498,"화면",매핑!$B$2:$B$1498,$A41,매핑!$E$2:$E$1498,"미실행")</f>
        <v>13</v>
      </c>
      <c r="D41" s="5">
        <f>COUNTIFS(매핑!$A$2:$A$1498,"화면",매핑!$B$2:$B$1498,$A41,매핑!$E$2:$E$1498,"보류")</f>
        <v>1</v>
      </c>
    </row>
    <row r="42">
      <c r="A42" s="13" t="inlineStr">
        <is>
          <t>SVC-08</t>
        </is>
      </c>
      <c r="B42" s="5">
        <f>COUNTIFS(매핑!$A$2:$A$1498,"화면",매핑!$B$2:$B$1498,$A42)</f>
        <v>12</v>
      </c>
      <c r="C42" s="5">
        <f>COUNTIFS(매핑!$A$2:$A$1498,"화면",매핑!$B$2:$B$1498,$A42,매핑!$E$2:$E$1498,"미실행")</f>
        <v>11</v>
      </c>
      <c r="D42" s="5">
        <f>COUNTIFS(매핑!$A$2:$A$1498,"화면",매핑!$B$2:$B$1498,$A42,매핑!$E$2:$E$1498,"보류")</f>
        <v>1</v>
      </c>
    </row>
  </sheetData>
  <autoFilter ref="A1:D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90" customWidth="1" min="4" max="4"/>
  </cols>
  <sheetData>
    <row r="1">
      <c r="A1" s="9" t="inlineStr">
        <is>
          <t>요건 ID</t>
        </is>
      </c>
      <c r="B1" s="9" t="inlineStr">
        <is>
          <t>정의 절</t>
        </is>
      </c>
      <c r="C1" s="9" t="inlineStr">
        <is>
          <t>TC 건수</t>
        </is>
      </c>
      <c r="D1" s="9" t="inlineStr">
        <is>
          <t>TC ID</t>
        </is>
      </c>
    </row>
    <row r="2">
      <c r="A2" s="10" t="inlineStr">
        <is>
          <t>AC-01</t>
        </is>
      </c>
      <c r="B2" s="10" t="inlineStr">
        <is>
          <t>2.3 수용 기준 (Acceptance Criteria)</t>
        </is>
      </c>
      <c r="C2" s="5">
        <f>COUNTIFS(매핑!$A$2:$A$1498,"요건",매핑!$B$2:$B$1498,$A2)</f>
        <v>2</v>
      </c>
      <c r="D2" s="10" t="inlineStr">
        <is>
          <t>TC-INAV-01-15 · TC-AC-01-00</t>
        </is>
      </c>
    </row>
    <row r="3">
      <c r="A3" s="10" t="inlineStr">
        <is>
          <t>AC-02</t>
        </is>
      </c>
      <c r="B3" s="10" t="inlineStr">
        <is>
          <t>2.3 수용 기준 (Acceptance Criteria)</t>
        </is>
      </c>
      <c r="C3" s="5">
        <f>COUNTIFS(매핑!$A$2:$A$1498,"요건",매핑!$B$2:$B$1498,$A3)</f>
        <v>1</v>
      </c>
      <c r="D3" s="10" t="inlineStr">
        <is>
          <t>TC-AC-02-00</t>
        </is>
      </c>
    </row>
    <row r="4">
      <c r="A4" s="10" t="inlineStr">
        <is>
          <t>AC-03</t>
        </is>
      </c>
      <c r="B4" s="10" t="inlineStr">
        <is>
          <t>2.3 수용 기준 (Acceptance Criteria)</t>
        </is>
      </c>
      <c r="C4" s="5">
        <f>COUNTIFS(매핑!$A$2:$A$1498,"요건",매핑!$B$2:$B$1498,$A4)</f>
        <v>1</v>
      </c>
      <c r="D4" s="10" t="inlineStr">
        <is>
          <t>TC-ONAV-01-07</t>
        </is>
      </c>
    </row>
    <row r="5">
      <c r="A5" s="10" t="inlineStr">
        <is>
          <t>AC-04</t>
        </is>
      </c>
      <c r="B5" s="10" t="inlineStr">
        <is>
          <t>2.3 수용 기준 (Acceptance Criteria)</t>
        </is>
      </c>
      <c r="C5" s="5">
        <f>COUNTIFS(매핑!$A$2:$A$1498,"요건",매핑!$B$2:$B$1498,$A5)</f>
        <v>1</v>
      </c>
      <c r="D5" s="10" t="inlineStr">
        <is>
          <t>TC-INAV-01-28</t>
        </is>
      </c>
    </row>
    <row r="6">
      <c r="A6" s="10" t="inlineStr">
        <is>
          <t>AC-05</t>
        </is>
      </c>
      <c r="B6" s="10" t="inlineStr">
        <is>
          <t>2.3 수용 기준 (Acceptance Criteria)</t>
        </is>
      </c>
      <c r="C6" s="5">
        <f>COUNTIFS(매핑!$A$2:$A$1498,"요건",매핑!$B$2:$B$1498,$A6)</f>
        <v>98</v>
      </c>
      <c r="D6" s="10" t="inlineStr">
        <is>
          <t>TC-AUTH-01-04 · TC-AUTH-04-04 · TC-AUTH-04-06 · TC-AUTH-04-07 · TC-AUTH-04-16 · TC-AUTH-04-21 · TC-AUTH-03-07 · TC-AUTH-03-13 · TC-AUTH-03-15 · TC-AUTH-03-20 · TC-HOME-01-08 · TC-HOME-01-10 · TC-HOME-01-13 · TC-ROUTE-01-05 · TC-ROUTE-01-11 · TC-ROUTE-01-13 · TC-ROUTE-01-14 · TC-ROUTE-02-10 · TC-ROUTE-02-11 · TC-ROUTE-02-13 · TC-SEARCH-01-08 · TC-SEARCH-01-09 · TC-SEARCH-01-11 · TC-SEARCH-02-03 · TC-SEARCH-02-05 · TC-SEARCH-02-09 · TC-ROUTE-03-11 · TC-ONAV-01-06 · TC-ONAV-01-19 · TC-ONAV-01-20 · TC-ONAV-01-22 · TC-ONAV-01-23 · TC-INAV-01-20 · TC-INAV-01-22 · TC-INAV-01-23 · TC-INAV-01-26 · TC-1-3-02 · TC-1-3-07 · TC-1-3-08 · TC-BUS-03-02 · TC-BUS-03-08 · TC-2-5-1-02 · TC-2-5-1-04 · TC-BUS-01-03 · TC-BUS-01-10 · TC-BUS-01-12 · TC-SVC-08-04 · TC-SVC-08-09 · TC-SVC-08-11 · TC-1-2-08 · TC-SVC-05-12 · TC-SVC-06-01 · TC-SVC-06-02 · TC-SVC-06-03 · TC-SVC-06-04 · TC-SVC-06-06 · TC-1-5-07 · TC-1-5-08 · TC-1-5-09 · TC-1-5-14 · TC-1-5-15 · TC-1-6-06 · TC-1-6-07 · TC-REPORT-01-14 · TC-REPORT-01-17 · TC-REPORT-01-18 · TC-REPORT-02-03 · TC-REPORT-02-06 · TC-MY-01-05 · TC-MY-01-09 · TC-MY-01-11 · TC-MY-01-12 · TC-MY-01-14 · TC-AUTH-04-55 · TC-AUTH-04-56 · TC-AUTH-04-57 · TC-REPORT-03-02 · TC-REPORT-03-04 · TC-MY-11-03 · TC-MY-11-04 · TC-FAV-01-12 · TC-FAV-01-13 · TC-FAV-01-14 · TC-FAV-01-15 · TC-FAV-01-20 · TC-HOME-04-03 · TC-MY-06-01 · TC-MY-06-04 · TC-2-7-02 · TC-2-7-08 · TC-S2-2-01 · TC-S2-2-05 · TC-S2-2-14 · TC-S2-3-02 · TC-S2-3-06 · TC-S2-3-10 · TC-S2-4-06 · TC-S-3-00</t>
        </is>
      </c>
    </row>
    <row r="7">
      <c r="A7" s="10" t="inlineStr">
        <is>
          <t>AC-06</t>
        </is>
      </c>
      <c r="B7" s="10" t="inlineStr">
        <is>
          <t>2.3 수용 기준 (Acceptance Criteria)</t>
        </is>
      </c>
      <c r="C7" s="5">
        <f>COUNTIFS(매핑!$A$2:$A$1498,"요건",매핑!$B$2:$B$1498,$A7)</f>
        <v>19</v>
      </c>
      <c r="D7" s="10" t="inlineStr">
        <is>
          <t>TC-AUTH-04-10 · TC-AUTH-04-22 · TC-AUTH-03-19 · TC-HOME-01-12 · TC-ROUTE-01-16 · TC-SEARCH-01-13 · TC-ONAV-01-26 · TC-INAV-01-25 · TC-BUS-01-22 · TC-SVC-08-06 · TC-SVC-05-10 · TC-1-5-13 · TC-REPORT-01-19 · TC-REPORT-02-12 · TC-MY-01-04 · TC-MY-01-19 · TC-FAV-01-18 · TC-MY-06-03 · TC-L-3-00</t>
        </is>
      </c>
    </row>
    <row r="8">
      <c r="A8" s="10" t="inlineStr">
        <is>
          <t>AC-07</t>
        </is>
      </c>
      <c r="B8" s="10" t="inlineStr">
        <is>
          <t>2.3 수용 기준 (Acceptance Criteria)</t>
        </is>
      </c>
      <c r="C8" s="5">
        <f>COUNTIFS(매핑!$A$2:$A$1498,"요건",매핑!$B$2:$B$1498,$A8)</f>
        <v>1</v>
      </c>
      <c r="D8" s="10" t="inlineStr">
        <is>
          <t>TC-ROUTE-02-05</t>
        </is>
      </c>
    </row>
    <row r="9">
      <c r="A9" s="10" t="inlineStr">
        <is>
          <t>AC-08</t>
        </is>
      </c>
      <c r="B9" s="10" t="inlineStr">
        <is>
          <t>2.3 수용 기준 (Acceptance Criteria)</t>
        </is>
      </c>
      <c r="C9" s="5">
        <f>COUNTIFS(매핑!$A$2:$A$1498,"요건",매핑!$B$2:$B$1498,$A9)</f>
        <v>1</v>
      </c>
      <c r="D9" s="10" t="inlineStr">
        <is>
          <t>TC-AC-08-00</t>
        </is>
      </c>
    </row>
    <row r="10">
      <c r="A10" s="10" t="inlineStr">
        <is>
          <t>AC-09</t>
        </is>
      </c>
      <c r="B10" s="10" t="inlineStr">
        <is>
          <t>2.3 수용 기준 (Acceptance Criteria)</t>
        </is>
      </c>
      <c r="C10" s="5">
        <f>COUNTIFS(매핑!$A$2:$A$1498,"요건",매핑!$B$2:$B$1498,$A10)</f>
        <v>1</v>
      </c>
      <c r="D10" s="10" t="inlineStr">
        <is>
          <t>TC-INAV-01-29</t>
        </is>
      </c>
    </row>
    <row r="11">
      <c r="A11" s="10" t="inlineStr">
        <is>
          <t>AC-10</t>
        </is>
      </c>
      <c r="B11" s="10" t="inlineStr">
        <is>
          <t>2.3 수용 기준 (Acceptance Criteria)</t>
        </is>
      </c>
      <c r="C11" s="5">
        <f>COUNTIFS(매핑!$A$2:$A$1498,"요건",매핑!$B$2:$B$1498,$A11)</f>
        <v>1</v>
      </c>
      <c r="D11" s="10" t="inlineStr">
        <is>
          <t>TC-S2-2-18</t>
        </is>
      </c>
    </row>
    <row r="12">
      <c r="A12" s="10" t="inlineStr">
        <is>
          <t>AC-11</t>
        </is>
      </c>
      <c r="B12" s="10" t="inlineStr">
        <is>
          <t>2.3 수용 기준 (Acceptance Criteria)</t>
        </is>
      </c>
      <c r="C12" s="5">
        <f>COUNTIFS(매핑!$A$2:$A$1498,"요건",매핑!$B$2:$B$1498,$A12)</f>
        <v>1</v>
      </c>
      <c r="D12" s="10" t="inlineStr">
        <is>
          <t>TC-AC-11-00</t>
        </is>
      </c>
    </row>
    <row r="13">
      <c r="A13" s="10" t="inlineStr">
        <is>
          <t>AC-12</t>
        </is>
      </c>
      <c r="B13" s="10" t="inlineStr">
        <is>
          <t>2.3 수용 기준 (Acceptance Criteria)</t>
        </is>
      </c>
      <c r="C13" s="5">
        <f>COUNTIFS(매핑!$A$2:$A$1498,"요건",매핑!$B$2:$B$1498,$A13)</f>
        <v>1</v>
      </c>
      <c r="D13" s="10" t="inlineStr">
        <is>
          <t>TC-AC-12-00</t>
        </is>
      </c>
    </row>
    <row r="14">
      <c r="A14" s="10" t="inlineStr">
        <is>
          <t>C-1</t>
        </is>
      </c>
      <c r="B14" s="10" t="inlineStr">
        <is>
          <t>7.2 컬러 토큰 ✅</t>
        </is>
      </c>
      <c r="C14" s="5">
        <f>COUNTIFS(매핑!$A$2:$A$1498,"요건",매핑!$B$2:$B$1498,$A14)</f>
        <v>1</v>
      </c>
      <c r="D14" s="10" t="inlineStr">
        <is>
          <t>TC-SVC-08-07</t>
        </is>
      </c>
    </row>
    <row r="15">
      <c r="A15" s="10" t="inlineStr">
        <is>
          <t>C-2</t>
        </is>
      </c>
      <c r="B15" s="10" t="inlineStr">
        <is>
          <t>7.2 컬러 토큰 ✅</t>
        </is>
      </c>
      <c r="C15" s="5">
        <f>COUNTIFS(매핑!$A$2:$A$1498,"요건",매핑!$B$2:$B$1498,$A15)</f>
        <v>1</v>
      </c>
      <c r="D15" s="10" t="inlineStr">
        <is>
          <t>TC-C-2-00</t>
        </is>
      </c>
    </row>
    <row r="16">
      <c r="A16" s="10" t="inlineStr">
        <is>
          <t>C-3</t>
        </is>
      </c>
      <c r="B16" s="10" t="inlineStr">
        <is>
          <t>7.2 컬러 토큰 ✅</t>
        </is>
      </c>
      <c r="C16" s="5">
        <f>COUNTIFS(매핑!$A$2:$A$1498,"요건",매핑!$B$2:$B$1498,$A16)</f>
        <v>3</v>
      </c>
      <c r="D16" s="10" t="inlineStr">
        <is>
          <t>TC-2-5-1-06 · TC-BUS-01-02 · TC-SVC-08-05</t>
        </is>
      </c>
    </row>
    <row r="17">
      <c r="A17" s="10" t="inlineStr">
        <is>
          <t>C-4</t>
        </is>
      </c>
      <c r="B17" s="10" t="inlineStr">
        <is>
          <t>7.2 컬러 토큰 ✅</t>
        </is>
      </c>
      <c r="C17" s="5">
        <f>COUNTIFS(매핑!$A$2:$A$1498,"요건",매핑!$B$2:$B$1498,$A17)</f>
        <v>2</v>
      </c>
      <c r="D17" s="10" t="inlineStr">
        <is>
          <t>TC-ROUTE-01-09 · TC-SEARCH-02-10</t>
        </is>
      </c>
    </row>
    <row r="18">
      <c r="A18" s="10" t="inlineStr">
        <is>
          <t>C-5</t>
        </is>
      </c>
      <c r="B18" s="10" t="inlineStr">
        <is>
          <t>7.2 컬러 토큰 ✅</t>
        </is>
      </c>
      <c r="C18" s="5">
        <f>COUNTIFS(매핑!$A$2:$A$1498,"요건",매핑!$B$2:$B$1498,$A18)</f>
        <v>1</v>
      </c>
      <c r="D18" s="10" t="inlineStr">
        <is>
          <t>TC-C-5-00</t>
        </is>
      </c>
    </row>
    <row r="19">
      <c r="A19" s="10" t="inlineStr">
        <is>
          <t>C-6</t>
        </is>
      </c>
      <c r="B19" s="10" t="inlineStr">
        <is>
          <t>7.2 컬러 토큰 ✅</t>
        </is>
      </c>
      <c r="C19" s="5">
        <f>COUNTIFS(매핑!$A$2:$A$1498,"요건",매핑!$B$2:$B$1498,$A19)</f>
        <v>3</v>
      </c>
      <c r="D19" s="10" t="inlineStr">
        <is>
          <t>TC-2-5-1-06 · TC-BUS-01-03 · TC-SVC-08-11</t>
        </is>
      </c>
    </row>
    <row r="20">
      <c r="A20" s="10" t="inlineStr">
        <is>
          <t>E-1</t>
        </is>
      </c>
      <c r="B20" s="10" t="inlineStr">
        <is>
          <t>4.6 예약 · 신고 · 마일리지</t>
        </is>
      </c>
      <c r="C20" s="5">
        <f>COUNTIFS(매핑!$A$2:$A$1498,"요건",매핑!$B$2:$B$1498,$A20)</f>
        <v>2</v>
      </c>
      <c r="D20" s="10" t="inlineStr">
        <is>
          <t>TC-BUS-01-04 · TC-BUS-01-15</t>
        </is>
      </c>
    </row>
    <row r="21">
      <c r="A21" s="10" t="inlineStr">
        <is>
          <t>E-2</t>
        </is>
      </c>
      <c r="B21" s="10" t="inlineStr">
        <is>
          <t>4.6 예약 · 신고 · 마일리지</t>
        </is>
      </c>
      <c r="C21" s="5">
        <f>COUNTIFS(매핑!$A$2:$A$1498,"요건",매핑!$B$2:$B$1498,$A21)</f>
        <v>4</v>
      </c>
      <c r="D21" s="10" t="inlineStr">
        <is>
          <t>TC-BUS-03-07 · TC-BUS-01-05 · TC-BUS-01-12 · TC-BUS-01-17</t>
        </is>
      </c>
    </row>
    <row r="22">
      <c r="A22" s="10" t="inlineStr">
        <is>
          <t>E-3</t>
        </is>
      </c>
      <c r="B22" s="10" t="inlineStr">
        <is>
          <t>4.6 예약 · 신고 · 마일리지</t>
        </is>
      </c>
      <c r="C22" s="5">
        <f>COUNTIFS(매핑!$A$2:$A$1498,"요건",매핑!$B$2:$B$1498,$A22)</f>
        <v>2</v>
      </c>
      <c r="D22" s="10" t="inlineStr">
        <is>
          <t>TC-REPORT-02-04 · TC-REPORT-02-05</t>
        </is>
      </c>
    </row>
    <row r="23">
      <c r="A23" s="10" t="inlineStr">
        <is>
          <t>E-4</t>
        </is>
      </c>
      <c r="B23" s="10" t="inlineStr">
        <is>
          <t>4.6 예약 · 신고 · 마일리지</t>
        </is>
      </c>
      <c r="C23" s="5">
        <f>COUNTIFS(매핑!$A$2:$A$1498,"요건",매핑!$B$2:$B$1498,$A23)</f>
        <v>3</v>
      </c>
      <c r="D23" s="10" t="inlineStr">
        <is>
          <t>TC-REPORT-02-10 · TC-REPORT-03-06 · TC-MY-11-06</t>
        </is>
      </c>
    </row>
    <row r="24">
      <c r="A24" s="10" t="inlineStr">
        <is>
          <t>E-5</t>
        </is>
      </c>
      <c r="B24" s="10" t="inlineStr">
        <is>
          <t>4.6 예약 · 신고 · 마일리지</t>
        </is>
      </c>
      <c r="C24" s="5">
        <f>COUNTIFS(매핑!$A$2:$A$1498,"요건",매핑!$B$2:$B$1498,$A24)</f>
        <v>3</v>
      </c>
      <c r="D24" s="10" t="inlineStr">
        <is>
          <t>TC-BUS-01-08 · TC-1-5-10 · TC-REPORT-03-06</t>
        </is>
      </c>
    </row>
    <row r="25">
      <c r="A25" s="10" t="inlineStr">
        <is>
          <t>FR-A1</t>
        </is>
      </c>
      <c r="B25" s="10" t="inlineStr">
        <is>
          <t>1.5 신규 기능 요구 (착수보고·기술협상서 반영) ★ v0.2 추가</t>
        </is>
      </c>
      <c r="C25" s="5">
        <f>COUNTIFS(매핑!$A$2:$A$1498,"요건",매핑!$B$2:$B$1498,$A25)</f>
        <v>1</v>
      </c>
      <c r="D25" s="10" t="inlineStr">
        <is>
          <t>TC-BUS-01-19</t>
        </is>
      </c>
    </row>
    <row r="26">
      <c r="A26" s="10" t="inlineStr">
        <is>
          <t>FR-A2</t>
        </is>
      </c>
      <c r="B26" s="10" t="inlineStr">
        <is>
          <t>1.5 신규 기능 요구 (착수보고·기술협상서 반영) ★ v0.2 추가</t>
        </is>
      </c>
      <c r="C26" s="5">
        <f>COUNTIFS(매핑!$A$2:$A$1498,"요건",매핑!$B$2:$B$1498,$A26)</f>
        <v>2</v>
      </c>
      <c r="D26" s="10" t="inlineStr">
        <is>
          <t>TC-BUS-01-20 · TC-SVC-08-10</t>
        </is>
      </c>
    </row>
    <row r="27">
      <c r="A27" s="10" t="inlineStr">
        <is>
          <t>FR-A3</t>
        </is>
      </c>
      <c r="B27" s="10" t="inlineStr">
        <is>
          <t>1.5 신규 기능 요구 (착수보고·기술협상서 반영) ★ v0.2 추가</t>
        </is>
      </c>
      <c r="C27" s="5">
        <f>COUNTIFS(매핑!$A$2:$A$1498,"요건",매핑!$B$2:$B$1498,$A27)</f>
        <v>1</v>
      </c>
      <c r="D27" s="10" t="inlineStr">
        <is>
          <t>TC-REPORT-02-10</t>
        </is>
      </c>
    </row>
    <row r="28">
      <c r="A28" s="10" t="inlineStr">
        <is>
          <t>FR-A4</t>
        </is>
      </c>
      <c r="B28" s="10" t="inlineStr">
        <is>
          <t>1.5 신규 기능 요구 (착수보고·기술협상서 반영) ★ v0.2 추가</t>
        </is>
      </c>
      <c r="C28" s="5">
        <f>COUNTIFS(매핑!$A$2:$A$1498,"요건",매핑!$B$2:$B$1498,$A28)</f>
        <v>11</v>
      </c>
      <c r="D28" s="10" t="inlineStr">
        <is>
          <t>TC-2-7-01 · TC-2-7-02 · TC-2-7-03 · TC-2-7-07 · TC-S2-2-01 · TC-S2-2-02 · TC-S2-2-13 · TC-S2-2-15 · TC-S2-3-07 · TC-S2-3-08 · TC-S2-3-09</t>
        </is>
      </c>
    </row>
    <row r="29">
      <c r="A29" s="10" t="inlineStr">
        <is>
          <t>FR-A5</t>
        </is>
      </c>
      <c r="B29" s="10" t="inlineStr">
        <is>
          <t>1.5 신규 기능 요구 (착수보고·기술협상서 반영) ★ v0.2 추가</t>
        </is>
      </c>
      <c r="C29" s="5">
        <f>COUNTIFS(매핑!$A$2:$A$1498,"요건",매핑!$B$2:$B$1498,$A29)</f>
        <v>8</v>
      </c>
      <c r="D29" s="10" t="inlineStr">
        <is>
          <t>TC-1-3-04 · TC-1-3-05 · TC-1-3-10 · TC-BUS-03-05 · TC-2-5-1-01 · TC-BUS-01-06 · TC-BUS-01-07 · TC-BUS-01-21</t>
        </is>
      </c>
    </row>
    <row r="30">
      <c r="A30" s="10" t="inlineStr">
        <is>
          <t>FR-R1</t>
        </is>
      </c>
      <c r="B30" s="10" t="inlineStr">
        <is>
          <t>1.9 RFP 기능 요구 — 아이나비 담당 범위</t>
        </is>
      </c>
      <c r="C30" s="5">
        <f>COUNTIFS(매핑!$A$2:$A$1498,"요건",매핑!$B$2:$B$1498,$A30)</f>
        <v>10</v>
      </c>
      <c r="D30" s="10" t="inlineStr">
        <is>
          <t>TC-INAV-01-03 · TC-INAV-01-04 · TC-INAV-01-07 · TC-INAV-01-08 · TC-INAV-01-12 · TC-INAV-01-14 · TC-INAV-01-18 · TC-INAV-01-19 · TC-INAV-01-27 · TC-INAV-01-28</t>
        </is>
      </c>
    </row>
    <row r="31">
      <c r="A31" s="10" t="inlineStr">
        <is>
          <t>FR-R10</t>
        </is>
      </c>
      <c r="B31" s="10" t="inlineStr">
        <is>
          <t>1.9 RFP 기능 요구 — 아이나비 담당 범위</t>
        </is>
      </c>
      <c r="C31" s="5">
        <f>COUNTIFS(매핑!$A$2:$A$1498,"요건",매핑!$B$2:$B$1498,$A31)</f>
        <v>5</v>
      </c>
      <c r="D31" s="10" t="inlineStr">
        <is>
          <t>TC-ROUTE-02-02 · TC-ROUTE-02-03 · TC-ROUTE-02-04 · TC-ROUTE-02-09 · TC-ROUTE-03-09</t>
        </is>
      </c>
    </row>
    <row r="32">
      <c r="A32" s="10" t="inlineStr">
        <is>
          <t>FR-R11</t>
        </is>
      </c>
      <c r="B32" s="10" t="inlineStr">
        <is>
          <t>1.9 RFP 기능 요구 — 아이나비 담당 범위</t>
        </is>
      </c>
      <c r="C32" s="5">
        <f>COUNTIFS(매핑!$A$2:$A$1498,"요건",매핑!$B$2:$B$1498,$A32)</f>
        <v>13</v>
      </c>
      <c r="D32" s="10" t="inlineStr">
        <is>
          <t>TC-SEARCH-01-04 · TC-SEARCH-01-05 · TC-SEARCH-02-07 · TC-FAV-01-01 · TC-FAV-01-02 · TC-FAV-01-03 · TC-FAV-01-04 · TC-FAV-01-05 · TC-FAV-01-06 · TC-FAV-01-07 · TC-FAV-01-08 · TC-FAV-01-10 · TC-FAV-01-11</t>
        </is>
      </c>
    </row>
    <row r="33">
      <c r="A33" s="10" t="inlineStr">
        <is>
          <t>FR-R2</t>
        </is>
      </c>
      <c r="B33" s="10" t="inlineStr">
        <is>
          <t>1.9 RFP 기능 요구 — 아이나비 담당 범위</t>
        </is>
      </c>
      <c r="C33" s="5">
        <f>COUNTIFS(매핑!$A$2:$A$1498,"요건",매핑!$B$2:$B$1498,$A33)</f>
        <v>2</v>
      </c>
      <c r="D33" s="10" t="inlineStr">
        <is>
          <t>TC-MY-01-03 · TC-MY-01-06</t>
        </is>
      </c>
    </row>
    <row r="34">
      <c r="A34" s="10" t="inlineStr">
        <is>
          <t>FR-R3</t>
        </is>
      </c>
      <c r="B34" s="10" t="inlineStr">
        <is>
          <t>1.9 RFP 기능 요구 — 아이나비 담당 범위</t>
        </is>
      </c>
      <c r="C34" s="5">
        <f>COUNTIFS(매핑!$A$2:$A$1498,"요건",매핑!$B$2:$B$1498,$A34)</f>
        <v>1</v>
      </c>
      <c r="D34" s="10" t="inlineStr">
        <is>
          <t>TC-FR-R3-00</t>
        </is>
      </c>
    </row>
    <row r="35">
      <c r="A35" s="10" t="inlineStr">
        <is>
          <t>FR-R4</t>
        </is>
      </c>
      <c r="B35" s="10" t="inlineStr">
        <is>
          <t>1.9 RFP 기능 요구 — 아이나비 담당 범위</t>
        </is>
      </c>
      <c r="C35" s="5">
        <f>COUNTIFS(매핑!$A$2:$A$1498,"요건",매핑!$B$2:$B$1498,$A35)</f>
        <v>5</v>
      </c>
      <c r="D35" s="10" t="inlineStr">
        <is>
          <t>TC-BUS-03-09 · TC-2-5-1-05 · TC-BUS-01-15 · TC-BUS-01-16 · TC-BUS-01-17</t>
        </is>
      </c>
    </row>
    <row r="36">
      <c r="A36" s="10" t="inlineStr">
        <is>
          <t>FR-R5</t>
        </is>
      </c>
      <c r="B36" s="10" t="inlineStr">
        <is>
          <t>1.9 RFP 기능 요구 — 아이나비 담당 범위</t>
        </is>
      </c>
      <c r="C36" s="5">
        <f>COUNTIFS(매핑!$A$2:$A$1498,"요건",매핑!$B$2:$B$1498,$A36)</f>
        <v>3</v>
      </c>
      <c r="D36" s="10" t="inlineStr">
        <is>
          <t>TC-REPORT-03-01 · TC-REPORT-03-03 · TC-REPORT-03-05</t>
        </is>
      </c>
    </row>
    <row r="37">
      <c r="A37" s="10" t="inlineStr">
        <is>
          <t>FR-R6</t>
        </is>
      </c>
      <c r="B37" s="10" t="inlineStr">
        <is>
          <t>1.9 RFP 기능 요구 — 아이나비 담당 범위</t>
        </is>
      </c>
      <c r="C37" s="5">
        <f>COUNTIFS(매핑!$A$2:$A$1498,"요건",매핑!$B$2:$B$1498,$A37)</f>
        <v>6</v>
      </c>
      <c r="D37" s="10" t="inlineStr">
        <is>
          <t>TC-1-6-03 · TC-1-6-05 · TC-REPORT-01-04 · TC-REPORT-02-01 · TC-REPORT-02-04 · TC-REPORT-02-08</t>
        </is>
      </c>
    </row>
    <row r="38">
      <c r="A38" s="10" t="inlineStr">
        <is>
          <t>FR-R7</t>
        </is>
      </c>
      <c r="B38" s="10" t="inlineStr">
        <is>
          <t>1.9 RFP 기능 요구 — 아이나비 담당 범위</t>
        </is>
      </c>
      <c r="C38" s="5">
        <f>COUNTIFS(매핑!$A$2:$A$1498,"요건",매핑!$B$2:$B$1498,$A38)</f>
        <v>2</v>
      </c>
      <c r="D38" s="10" t="inlineStr">
        <is>
          <t>TC-ONAV-01-10 · TC-ONAV-01-11</t>
        </is>
      </c>
    </row>
    <row r="39">
      <c r="A39" s="10" t="inlineStr">
        <is>
          <t>FR-R8</t>
        </is>
      </c>
      <c r="B39" s="10" t="inlineStr">
        <is>
          <t>1.9 RFP 기능 요구 — 아이나비 담당 범위</t>
        </is>
      </c>
      <c r="C39" s="5">
        <f>COUNTIFS(매핑!$A$2:$A$1498,"요건",매핑!$B$2:$B$1498,$A39)</f>
        <v>2</v>
      </c>
      <c r="D39" s="10" t="inlineStr">
        <is>
          <t>TC-ONAV-01-14 · TC-ONAV-01-16</t>
        </is>
      </c>
    </row>
    <row r="40">
      <c r="A40" s="10" t="inlineStr">
        <is>
          <t>FR-R9</t>
        </is>
      </c>
      <c r="B40" s="10" t="inlineStr">
        <is>
          <t>1.9 RFP 기능 요구 — 아이나비 담당 범위</t>
        </is>
      </c>
      <c r="C40" s="5">
        <f>COUNTIFS(매핑!$A$2:$A$1498,"요건",매핑!$B$2:$B$1498,$A40)</f>
        <v>3</v>
      </c>
      <c r="D40" s="10" t="inlineStr">
        <is>
          <t>TC-S2-4-01 · TC-S2-4-02 · TC-S2-4-13</t>
        </is>
      </c>
    </row>
    <row r="41">
      <c r="A41" s="10" t="inlineStr">
        <is>
          <t>G-1</t>
        </is>
      </c>
      <c r="B41" s="10" t="inlineStr">
        <is>
          <t>6.6 🆕 AI 음성 — NLU 명령어 리스트 미제공</t>
        </is>
      </c>
      <c r="C41" s="5">
        <f>COUNTIFS(매핑!$A$2:$A$1498,"요건",매핑!$B$2:$B$1498,$A41)</f>
        <v>3</v>
      </c>
      <c r="D41" s="10" t="inlineStr">
        <is>
          <t>TC-S2-4-01 · TC-S2-4-02 · TC-S2-4-13</t>
        </is>
      </c>
    </row>
    <row r="42">
      <c r="A42" s="10" t="inlineStr">
        <is>
          <t>G-2</t>
        </is>
      </c>
      <c r="B42" s="10" t="inlineStr">
        <is>
          <t>6.6 🆕 AI 음성 — NLU 명령어 리스트 미제공</t>
        </is>
      </c>
      <c r="C42" s="5">
        <f>COUNTIFS(매핑!$A$2:$A$1498,"요건",매핑!$B$2:$B$1498,$A42)</f>
        <v>3</v>
      </c>
      <c r="D42" s="10" t="inlineStr">
        <is>
          <t>TC-S2-4-10 · TC-S2-4-11 · TC-S2-4-12</t>
        </is>
      </c>
    </row>
    <row r="43">
      <c r="A43" s="10" t="inlineStr">
        <is>
          <t>G-3</t>
        </is>
      </c>
      <c r="B43" s="10" t="inlineStr">
        <is>
          <t>6.6 🆕 AI 음성 — NLU 명령어 리스트 미제공</t>
        </is>
      </c>
      <c r="C43" s="5">
        <f>COUNTIFS(매핑!$A$2:$A$1498,"요건",매핑!$B$2:$B$1498,$A43)</f>
        <v>4</v>
      </c>
      <c r="D43" s="10" t="inlineStr">
        <is>
          <t>TC-S2-4-03 · TC-S2-4-04 · TC-S2-4-05 · TC-S2-4-14</t>
        </is>
      </c>
    </row>
    <row r="44">
      <c r="A44" s="10" t="inlineStr">
        <is>
          <t>G-4</t>
        </is>
      </c>
      <c r="B44" s="10" t="inlineStr">
        <is>
          <t>6.6 🆕 AI 음성 — NLU 명령어 리스트 미제공</t>
        </is>
      </c>
      <c r="C44" s="5">
        <f>COUNTIFS(매핑!$A$2:$A$1498,"요건",매핑!$B$2:$B$1498,$A44)</f>
        <v>3</v>
      </c>
      <c r="D44" s="10" t="inlineStr">
        <is>
          <t>TC-S2-4-07 · TC-S2-4-08 · TC-S2-4-09</t>
        </is>
      </c>
    </row>
    <row r="45">
      <c r="A45" s="10" t="inlineStr">
        <is>
          <t>H-1</t>
        </is>
      </c>
      <c r="B45" s="10" t="inlineStr">
        <is>
          <t>6.8 진동·경고 채널 규칙</t>
        </is>
      </c>
      <c r="C45" s="5">
        <f>COUNTIFS(매핑!$A$2:$A$1498,"요건",매핑!$B$2:$B$1498,$A45)</f>
        <v>1</v>
      </c>
      <c r="D45" s="10" t="inlineStr">
        <is>
          <t>TC-ONAV-01-10</t>
        </is>
      </c>
    </row>
    <row r="46">
      <c r="A46" s="10" t="inlineStr">
        <is>
          <t>H-2</t>
        </is>
      </c>
      <c r="B46" s="10" t="inlineStr">
        <is>
          <t>6.8 진동·경고 채널 규칙</t>
        </is>
      </c>
      <c r="C46" s="5">
        <f>COUNTIFS(매핑!$A$2:$A$1498,"요건",매핑!$B$2:$B$1498,$A46)</f>
        <v>2</v>
      </c>
      <c r="D46" s="10" t="inlineStr">
        <is>
          <t>TC-ONAV-01-11 · TC-MY-01-16</t>
        </is>
      </c>
    </row>
    <row r="47">
      <c r="A47" s="10" t="inlineStr">
        <is>
          <t>H-3</t>
        </is>
      </c>
      <c r="B47" s="10" t="inlineStr">
        <is>
          <t>6.8 진동·경고 채널 규칙</t>
        </is>
      </c>
      <c r="C47" s="5">
        <f>COUNTIFS(매핑!$A$2:$A$1498,"요건",매핑!$B$2:$B$1498,$A47)</f>
        <v>1</v>
      </c>
      <c r="D47" s="10" t="inlineStr">
        <is>
          <t>TC-ONAV-01-12</t>
        </is>
      </c>
    </row>
    <row r="48">
      <c r="A48" s="10" t="inlineStr">
        <is>
          <t>H-4</t>
        </is>
      </c>
      <c r="B48" s="10" t="inlineStr">
        <is>
          <t>6.8 진동·경고 채널 규칙</t>
        </is>
      </c>
      <c r="C48" s="5">
        <f>COUNTIFS(매핑!$A$2:$A$1498,"요건",매핑!$B$2:$B$1498,$A48)</f>
        <v>1</v>
      </c>
      <c r="D48" s="10" t="inlineStr">
        <is>
          <t>TC-ONAV-01-13</t>
        </is>
      </c>
    </row>
    <row r="49">
      <c r="A49" s="10" t="inlineStr">
        <is>
          <t>H-5</t>
        </is>
      </c>
      <c r="B49" s="10" t="inlineStr">
        <is>
          <t>6.8 진동·경고 채널 규칙</t>
        </is>
      </c>
      <c r="C49" s="5">
        <f>COUNTIFS(매핑!$A$2:$A$1498,"요건",매핑!$B$2:$B$1498,$A49)</f>
        <v>1</v>
      </c>
      <c r="D49" s="10" t="inlineStr">
        <is>
          <t>TC-ONAV-01-14</t>
        </is>
      </c>
    </row>
    <row r="50">
      <c r="A50" s="10" t="inlineStr">
        <is>
          <t>H-6</t>
        </is>
      </c>
      <c r="B50" s="10" t="inlineStr">
        <is>
          <t>6.8 진동·경고 채널 규칙</t>
        </is>
      </c>
      <c r="C50" s="5">
        <f>COUNTIFS(매핑!$A$2:$A$1498,"요건",매핑!$B$2:$B$1498,$A50)</f>
        <v>1</v>
      </c>
      <c r="D50" s="10" t="inlineStr">
        <is>
          <t>TC-ONAV-01-15</t>
        </is>
      </c>
    </row>
    <row r="51">
      <c r="A51" s="10" t="inlineStr">
        <is>
          <t>H-7</t>
        </is>
      </c>
      <c r="B51" s="10" t="inlineStr">
        <is>
          <t>6.8 진동·경고 채널 규칙</t>
        </is>
      </c>
      <c r="C51" s="5">
        <f>COUNTIFS(매핑!$A$2:$A$1498,"요건",매핑!$B$2:$B$1498,$A51)</f>
        <v>1</v>
      </c>
      <c r="D51" s="10" t="inlineStr">
        <is>
          <t>TC-ONAV-01-16</t>
        </is>
      </c>
    </row>
    <row r="52">
      <c r="A52" s="10" t="inlineStr">
        <is>
          <t>K-1</t>
        </is>
      </c>
      <c r="B52" s="10" t="inlineStr">
        <is>
          <t>6.9 🆕 외부 SDK 키 관리 (지도 APPKEY)</t>
        </is>
      </c>
      <c r="C52" s="5">
        <f>COUNTIFS(매핑!$A$2:$A$1498,"요건",매핑!$B$2:$B$1498,$A52)</f>
        <v>1</v>
      </c>
      <c r="D52" s="10" t="inlineStr">
        <is>
          <t>TC-K-1-00</t>
        </is>
      </c>
    </row>
    <row r="53">
      <c r="A53" s="10" t="inlineStr">
        <is>
          <t>K-2</t>
        </is>
      </c>
      <c r="B53" s="10" t="inlineStr">
        <is>
          <t>6.9 🆕 외부 SDK 키 관리 (지도 APPKEY)</t>
        </is>
      </c>
      <c r="C53" s="5">
        <f>COUNTIFS(매핑!$A$2:$A$1498,"요건",매핑!$B$2:$B$1498,$A53)</f>
        <v>1</v>
      </c>
      <c r="D53" s="10" t="inlineStr">
        <is>
          <t>TC-K-2-00</t>
        </is>
      </c>
    </row>
    <row r="54">
      <c r="A54" s="10" t="inlineStr">
        <is>
          <t>K-3</t>
        </is>
      </c>
      <c r="B54" s="10" t="inlineStr">
        <is>
          <t>6.9 🆕 외부 SDK 키 관리 (지도 APPKEY)</t>
        </is>
      </c>
      <c r="C54" s="5">
        <f>COUNTIFS(매핑!$A$2:$A$1498,"요건",매핑!$B$2:$B$1498,$A54)</f>
        <v>1</v>
      </c>
      <c r="D54" s="10" t="inlineStr">
        <is>
          <t>TC-K-3-00</t>
        </is>
      </c>
    </row>
    <row r="55">
      <c r="A55" s="10" t="inlineStr">
        <is>
          <t>K-4</t>
        </is>
      </c>
      <c r="B55" s="10" t="inlineStr">
        <is>
          <t>6.9 🆕 외부 SDK 키 관리 (지도 APPKEY)</t>
        </is>
      </c>
      <c r="C55" s="5">
        <f>COUNTIFS(매핑!$A$2:$A$1498,"요건",매핑!$B$2:$B$1498,$A55)</f>
        <v>1</v>
      </c>
      <c r="D55" s="10" t="inlineStr">
        <is>
          <t>TC-K-4-00</t>
        </is>
      </c>
    </row>
    <row r="56">
      <c r="A56" s="10" t="inlineStr">
        <is>
          <t>K-5</t>
        </is>
      </c>
      <c r="B56" s="10" t="inlineStr">
        <is>
          <t>6.9 🆕 외부 SDK 키 관리 (지도 APPKEY)</t>
        </is>
      </c>
      <c r="C56" s="5">
        <f>COUNTIFS(매핑!$A$2:$A$1498,"요건",매핑!$B$2:$B$1498,$A56)</f>
        <v>1</v>
      </c>
      <c r="D56" s="10" t="inlineStr">
        <is>
          <t>TC-K-5-00</t>
        </is>
      </c>
    </row>
    <row r="57">
      <c r="A57" s="10" t="inlineStr">
        <is>
          <t>L-1</t>
        </is>
      </c>
      <c r="B57" s="10" t="inlineStr">
        <is>
          <t>7.9 다국어 UI 요건</t>
        </is>
      </c>
      <c r="C57" s="5">
        <f>COUNTIFS(매핑!$A$2:$A$1498,"요건",매핑!$B$2:$B$1498,$A57)</f>
        <v>2</v>
      </c>
      <c r="D57" s="10" t="inlineStr">
        <is>
          <t>TC-MB-4-00 · TC-FR-R3-00</t>
        </is>
      </c>
    </row>
    <row r="58">
      <c r="A58" s="10" t="inlineStr">
        <is>
          <t>L-2</t>
        </is>
      </c>
      <c r="B58" s="10" t="inlineStr">
        <is>
          <t>7.9 다국어 UI 요건</t>
        </is>
      </c>
      <c r="C58" s="5">
        <f>COUNTIFS(매핑!$A$2:$A$1498,"요건",매핑!$B$2:$B$1498,$A58)</f>
        <v>1</v>
      </c>
      <c r="D58" s="10" t="inlineStr">
        <is>
          <t>TC-L-2-00</t>
        </is>
      </c>
    </row>
    <row r="59">
      <c r="A59" s="10" t="inlineStr">
        <is>
          <t>L-3</t>
        </is>
      </c>
      <c r="B59" s="10" t="inlineStr">
        <is>
          <t>7.9 다국어 UI 요건</t>
        </is>
      </c>
      <c r="C59" s="5">
        <f>COUNTIFS(매핑!$A$2:$A$1498,"요건",매핑!$B$2:$B$1498,$A59)</f>
        <v>1</v>
      </c>
      <c r="D59" s="10" t="inlineStr">
        <is>
          <t>TC-L-3-00</t>
        </is>
      </c>
    </row>
    <row r="60">
      <c r="A60" s="10" t="inlineStr">
        <is>
          <t>L-4</t>
        </is>
      </c>
      <c r="B60" s="10" t="inlineStr">
        <is>
          <t>7.9 다국어 UI 요건</t>
        </is>
      </c>
      <c r="C60" s="5">
        <f>COUNTIFS(매핑!$A$2:$A$1498,"요건",매핑!$B$2:$B$1498,$A60)</f>
        <v>2</v>
      </c>
      <c r="D60" s="10" t="inlineStr">
        <is>
          <t>TC-S2-3-23 · TC-FR-R3-00</t>
        </is>
      </c>
    </row>
    <row r="61">
      <c r="A61" s="10" t="inlineStr">
        <is>
          <t>L-5</t>
        </is>
      </c>
      <c r="B61" s="10" t="inlineStr">
        <is>
          <t>7.9 다국어 UI 요건</t>
        </is>
      </c>
      <c r="C61" s="5">
        <f>COUNTIFS(매핑!$A$2:$A$1498,"요건",매핑!$B$2:$B$1498,$A61)</f>
        <v>1</v>
      </c>
      <c r="D61" s="10" t="inlineStr">
        <is>
          <t>TC-MY-01-17</t>
        </is>
      </c>
    </row>
    <row r="62">
      <c r="A62" s="10" t="inlineStr">
        <is>
          <t>L-6</t>
        </is>
      </c>
      <c r="B62" s="10" t="inlineStr">
        <is>
          <t>7.9 다국어 UI 요건</t>
        </is>
      </c>
      <c r="C62" s="5">
        <f>COUNTIFS(매핑!$A$2:$A$1498,"요건",매핑!$B$2:$B$1498,$A62)</f>
        <v>1</v>
      </c>
      <c r="D62" s="10" t="inlineStr">
        <is>
          <t>TC-L-6-00</t>
        </is>
      </c>
    </row>
    <row r="63">
      <c r="A63" s="10" t="inlineStr">
        <is>
          <t>L-7</t>
        </is>
      </c>
      <c r="B63" s="10" t="inlineStr">
        <is>
          <t>7.9 다국어 UI 요건</t>
        </is>
      </c>
      <c r="C63" s="5">
        <f>COUNTIFS(매핑!$A$2:$A$1498,"요건",매핑!$B$2:$B$1498,$A63)</f>
        <v>1</v>
      </c>
      <c r="D63" s="10" t="inlineStr">
        <is>
          <t>TC-L-7-00</t>
        </is>
      </c>
    </row>
    <row r="64">
      <c r="A64" s="10" t="inlineStr">
        <is>
          <t>L-8</t>
        </is>
      </c>
      <c r="B64" s="10" t="inlineStr">
        <is>
          <t>7.9 다국어 UI 요건</t>
        </is>
      </c>
      <c r="C64" s="5">
        <f>COUNTIFS(매핑!$A$2:$A$1498,"요건",매핑!$B$2:$B$1498,$A64)</f>
        <v>2</v>
      </c>
      <c r="D64" s="10" t="inlineStr">
        <is>
          <t>TC-MY-01-17 · TC-FR-R3-00</t>
        </is>
      </c>
    </row>
    <row r="65">
      <c r="A65" s="10" t="inlineStr">
        <is>
          <t>MB-1</t>
        </is>
      </c>
      <c r="B65" s="10" t="inlineStr">
        <is>
          <t>5. P5 — 모듈 · 책임 분리</t>
        </is>
      </c>
      <c r="C65" s="5">
        <f>COUNTIFS(매핑!$A$2:$A$1498,"요건",매핑!$B$2:$B$1498,$A65)</f>
        <v>2</v>
      </c>
      <c r="D65" s="10" t="inlineStr">
        <is>
          <t>TC-MY-01-06 · TC-MY-01-16</t>
        </is>
      </c>
    </row>
    <row r="66">
      <c r="A66" s="10" t="inlineStr">
        <is>
          <t>MB-2</t>
        </is>
      </c>
      <c r="B66" s="10" t="inlineStr">
        <is>
          <t>5. P5 — 모듈 · 책임 분리</t>
        </is>
      </c>
      <c r="C66" s="5">
        <f>COUNTIFS(매핑!$A$2:$A$1498,"요건",매핑!$B$2:$B$1498,$A66)</f>
        <v>11</v>
      </c>
      <c r="D66" s="10" t="inlineStr">
        <is>
          <t>TC-ROUTE-03-10 · TC-ONAV-01-08 · TC-ONAV-01-09 · TC-INAV-01-02 · TC-INAV-01-08 · TC-INAV-01-15 · TC-1-5-16 · TC-S2-3-05 · TC-S2-4-01 · TC-S2-4-03 · TC-S2-4-04</t>
        </is>
      </c>
    </row>
    <row r="67">
      <c r="A67" s="10" t="inlineStr">
        <is>
          <t>MB-3</t>
        </is>
      </c>
      <c r="B67" s="10" t="inlineStr">
        <is>
          <t>5. P5 — 모듈 · 책임 분리</t>
        </is>
      </c>
      <c r="C67" s="5">
        <f>COUNTIFS(매핑!$A$2:$A$1498,"요건",매핑!$B$2:$B$1498,$A67)</f>
        <v>1</v>
      </c>
      <c r="D67" s="10" t="inlineStr">
        <is>
          <t>TC-ROUTE-01-10</t>
        </is>
      </c>
    </row>
    <row r="68">
      <c r="A68" s="10" t="inlineStr">
        <is>
          <t>MB-4</t>
        </is>
      </c>
      <c r="B68" s="10" t="inlineStr">
        <is>
          <t>5. P5 — 모듈 · 책임 분리</t>
        </is>
      </c>
      <c r="C68" s="5">
        <f>COUNTIFS(매핑!$A$2:$A$1498,"요건",매핑!$B$2:$B$1498,$A68)</f>
        <v>1</v>
      </c>
      <c r="D68" s="10" t="inlineStr">
        <is>
          <t>TC-MB-4-00</t>
        </is>
      </c>
    </row>
    <row r="69">
      <c r="A69" s="10" t="inlineStr">
        <is>
          <t>MB-5</t>
        </is>
      </c>
      <c r="B69" s="10" t="inlineStr">
        <is>
          <t>5. P5 — 모듈 · 책임 분리</t>
        </is>
      </c>
      <c r="C69" s="5">
        <f>COUNTIFS(매핑!$A$2:$A$1498,"요건",매핑!$B$2:$B$1498,$A69)</f>
        <v>3</v>
      </c>
      <c r="D69" s="10" t="inlineStr">
        <is>
          <t>TC-ROUTE-03-06 · TC-ONAV-01-01 · TC-ONAV-01-27</t>
        </is>
      </c>
    </row>
    <row r="70">
      <c r="A70" s="10" t="inlineStr">
        <is>
          <t>MB-6</t>
        </is>
      </c>
      <c r="B70" s="10" t="inlineStr">
        <is>
          <t>5. P5 — 모듈 · 책임 분리</t>
        </is>
      </c>
      <c r="C70" s="5">
        <f>COUNTIFS(매핑!$A$2:$A$1498,"요건",매핑!$B$2:$B$1498,$A70)</f>
        <v>2</v>
      </c>
      <c r="D70" s="10" t="inlineStr">
        <is>
          <t>TC-INAV-01-04 · TC-INAV-01-05</t>
        </is>
      </c>
    </row>
    <row r="71">
      <c r="A71" s="10" t="inlineStr">
        <is>
          <t>MB-7</t>
        </is>
      </c>
      <c r="B71" s="10" t="inlineStr">
        <is>
          <t>5. P5 — 모듈 · 책임 분리</t>
        </is>
      </c>
      <c r="C71" s="5">
        <f>COUNTIFS(매핑!$A$2:$A$1498,"요건",매핑!$B$2:$B$1498,$A71)</f>
        <v>1</v>
      </c>
      <c r="D71" s="10" t="inlineStr">
        <is>
          <t>TC-BUS-01-21</t>
        </is>
      </c>
    </row>
    <row r="72">
      <c r="A72" s="10" t="inlineStr">
        <is>
          <t>NFR-01</t>
        </is>
      </c>
      <c r="B72" s="10" t="inlineStr">
        <is>
          <t>2.4 비기능 요구사항 ★</t>
        </is>
      </c>
      <c r="C72" s="5">
        <f>COUNTIFS(매핑!$A$2:$A$1498,"요건",매핑!$B$2:$B$1498,$A72)</f>
        <v>5</v>
      </c>
      <c r="D72" s="10" t="inlineStr">
        <is>
          <t>TC-1-3-03 · TC-BUS-03-04 · TC-SVC-08-06 · TC-SVC-08-07 · TC-C-2-00</t>
        </is>
      </c>
    </row>
    <row r="73">
      <c r="A73" s="10" t="inlineStr">
        <is>
          <t>NFR-02</t>
        </is>
      </c>
      <c r="B73" s="10" t="inlineStr">
        <is>
          <t>2.4 비기능 요구사항 ★</t>
        </is>
      </c>
      <c r="C73" s="5">
        <f>COUNTIFS(매핑!$A$2:$A$1498,"요건",매핑!$B$2:$B$1498,$A73)</f>
        <v>21</v>
      </c>
      <c r="D73" s="10" t="inlineStr">
        <is>
          <t>TC-AUTH-04-20 · TC-AUTH-03-18 · TC-HOME-01-11 · TC-ROUTE-01-15 · TC-SEARCH-01-12 · TC-ONAV-01-26 · TC-INAV-01-24 · TC-BUS-01-22 · TC-SVC-08-07 · TC-SVC-08-10 · TC-1-2-09 · TC-SVC-05-03 · TC-1-5-12 · TC-REPORT-01-07 · TC-REPORT-01-19 · TC-REPORT-02-12 · TC-MY-01-19 · TC-FAV-01-16 · TC-HOME-04-04 · TC-2-7-09 · TC-S2-3-24</t>
        </is>
      </c>
    </row>
    <row r="74">
      <c r="A74" s="10" t="inlineStr">
        <is>
          <t>NFR-03</t>
        </is>
      </c>
      <c r="B74" s="10" t="inlineStr">
        <is>
          <t>2.4 비기능 요구사항 ★</t>
        </is>
      </c>
      <c r="C74" s="5">
        <f>COUNTIFS(매핑!$A$2:$A$1498,"요건",매핑!$B$2:$B$1498,$A74)</f>
        <v>4</v>
      </c>
      <c r="D74" s="10" t="inlineStr">
        <is>
          <t>TC-SVC-05-09 · TC-FAV-01-17 · TC-MY-06-02 · TC-T-3-00</t>
        </is>
      </c>
    </row>
    <row r="75">
      <c r="A75" s="10" t="inlineStr">
        <is>
          <t>NFR-04</t>
        </is>
      </c>
      <c r="B75" s="10" t="inlineStr">
        <is>
          <t>2.4 비기능 요구사항 ★</t>
        </is>
      </c>
      <c r="C75" s="5">
        <f>COUNTIFS(매핑!$A$2:$A$1498,"요건",매핑!$B$2:$B$1498,$A75)</f>
        <v>52</v>
      </c>
      <c r="D75" s="10" t="inlineStr">
        <is>
          <t>TC-AUTH-01-02 · TC-AUTH-01-04 · TC-AUTH-04-17 · TC-AUTH-04-19 · TC-AUTH-04-21 · TC-AUTH-03-08 · TC-AUTH-03-15 · TC-HOME-01-10 · TC-HOME-01-14 · TC-ROUTE-01-02 · TC-ROUTE-01-04 · TC-ROUTE-01-14 · TC-ROUTE-02-11 · TC-SEARCH-02-05 · TC-SEARCH-02-06 · TC-ROUTE-03-07 · TC-ONAV-01-18 · TC-ONAV-01-22 · TC-INAV-01-16 · TC-INAV-01-17 · TC-1-3-08 · TC-2-5-1-02 · TC-BUS-01-22 · TC-1-2-08 · TC-SVC-05-12 · TC-SVC-06-02 · TC-SVC-06-05 · TC-1-5-14 · TC-1-6-06 · TC-REPORT-01-12 · TC-REPORT-02-11 · TC-MY-01-09 · TC-MY-01-10 · TC-MY-01-14 · TC-AUTH-04-52 · TC-AUTH-04-54 · TC-AUTH-04-57 · TC-MY-11-02 · TC-MY-11-04 · TC-FAV-01-12 · TC-HOME-04-03 · TC-MY-06-04 · TC-2-7-05 · TC-2-7-08 · TC-S2-2-02 · TC-S2-2-06 · TC-S2-3-02 · TC-S2-3-04 · TC-S2-3-13 · TC-S2-3-15 · TC-S2-4-06 · TC-S-3-00</t>
        </is>
      </c>
    </row>
    <row r="76">
      <c r="A76" s="10" t="inlineStr">
        <is>
          <t>NFR-05</t>
        </is>
      </c>
      <c r="B76" s="10" t="inlineStr">
        <is>
          <t>2.4 비기능 요구사항 ★</t>
        </is>
      </c>
      <c r="C76" s="5">
        <f>COUNTIFS(매핑!$A$2:$A$1498,"요건",매핑!$B$2:$B$1498,$A76)</f>
        <v>40</v>
      </c>
      <c r="D76" s="10" t="inlineStr">
        <is>
          <t>TC-AUTH-01-03 · TC-AUTH-01-05 · TC-AUTH-04-06 · TC-AUTH-03-05 · TC-AUTH-03-16 · TC-HOME-01-07 · TC-HOME-01-13 · TC-ROUTE-01-17 · TC-SEARCH-02-09 · TC-SEARCH-02-12 · TC-ROUTE-03-01 · TC-ROUTE-03-04 · TC-ONAV-01-13 · TC-ONAV-01-19 · TC-INAV-01-26 · TC-1-3-02 · TC-1-3-06 · TC-1-3-07 · TC-BUS-03-05 · TC-BUS-03-08 · TC-2-5-1-03 · TC-BUS-01-10 · TC-SVC-08-04 · TC-SVC-08-09 · TC-SVC-08-10 · TC-SVC-05-11 · TC-SVC-06-04 · TC-1-5-06 · TC-1-5-07 · TC-1-6-07 · TC-REPORT-01-02 · TC-REPORT-01-09 · TC-REPORT-02-02 · TC-REPORT-02-07 · TC-REPORT-03-02 · TC-MY-11-06 · TC-FAV-01-15 · TC-MY-06-01 · TC-S2-2-04 · TC-S2-3-04</t>
        </is>
      </c>
    </row>
    <row r="77">
      <c r="A77" s="10" t="inlineStr">
        <is>
          <t>NFR-06</t>
        </is>
      </c>
      <c r="B77" s="10" t="inlineStr">
        <is>
          <t>2.4 비기능 요구사항 ★</t>
        </is>
      </c>
      <c r="C77" s="5">
        <f>COUNTIFS(매핑!$A$2:$A$1498,"요건",매핑!$B$2:$B$1498,$A77)</f>
        <v>2</v>
      </c>
      <c r="D77" s="10" t="inlineStr">
        <is>
          <t>TC-HOME-04-05 · TC-S2-4-08</t>
        </is>
      </c>
    </row>
    <row r="78">
      <c r="A78" s="10" t="inlineStr">
        <is>
          <t>NFR-07</t>
        </is>
      </c>
      <c r="B78" s="10" t="inlineStr">
        <is>
          <t>2.4 비기능 요구사항 ★</t>
        </is>
      </c>
      <c r="C78" s="5">
        <f>COUNTIFS(매핑!$A$2:$A$1498,"요건",매핑!$B$2:$B$1498,$A78)</f>
        <v>2</v>
      </c>
      <c r="D78" s="10" t="inlineStr">
        <is>
          <t>TC-MY-06-06 · TC-S2-2-11</t>
        </is>
      </c>
    </row>
    <row r="79">
      <c r="A79" s="10" t="inlineStr">
        <is>
          <t>NFR-08</t>
        </is>
      </c>
      <c r="B79" s="10" t="inlineStr">
        <is>
          <t>2.4 비기능 요구사항 ★</t>
        </is>
      </c>
      <c r="C79" s="5">
        <f>COUNTIFS(매핑!$A$2:$A$1498,"요건",매핑!$B$2:$B$1498,$A79)</f>
        <v>6</v>
      </c>
      <c r="D79" s="10" t="inlineStr">
        <is>
          <t>TC-BUS-01-18 · TC-REPORT-01-16 · TC-MY-01-18 · TC-S2-2-07 · TC-S2-2-08 · TC-S2-3-24</t>
        </is>
      </c>
    </row>
    <row r="80">
      <c r="A80" s="10" t="inlineStr">
        <is>
          <t>NFR-09</t>
        </is>
      </c>
      <c r="B80" s="10" t="inlineStr">
        <is>
          <t>2.4 비기능 요구사항 ★</t>
        </is>
      </c>
      <c r="C80" s="5">
        <f>COUNTIFS(매핑!$A$2:$A$1498,"요건",매핑!$B$2:$B$1498,$A80)</f>
        <v>2</v>
      </c>
      <c r="D80" s="10" t="inlineStr">
        <is>
          <t>TC-ONAV-01-17 · TC-BUS-03-07</t>
        </is>
      </c>
    </row>
    <row r="81">
      <c r="A81" s="10" t="inlineStr">
        <is>
          <t>NFR-10</t>
        </is>
      </c>
      <c r="B81" s="10" t="inlineStr">
        <is>
          <t>2.4 비기능 요구사항 ★</t>
        </is>
      </c>
      <c r="C81" s="5">
        <f>COUNTIFS(매핑!$A$2:$A$1498,"요건",매핑!$B$2:$B$1498,$A81)</f>
        <v>1</v>
      </c>
      <c r="D81" s="10" t="inlineStr">
        <is>
          <t>TC-INAV-01-30</t>
        </is>
      </c>
    </row>
    <row r="82">
      <c r="A82" s="10" t="inlineStr">
        <is>
          <t>NFR-11</t>
        </is>
      </c>
      <c r="B82" s="10" t="inlineStr">
        <is>
          <t>2.4 비기능 요구사항 ★</t>
        </is>
      </c>
      <c r="C82" s="5">
        <f>COUNTIFS(매핑!$A$2:$A$1498,"요건",매핑!$B$2:$B$1498,$A82)</f>
        <v>1</v>
      </c>
      <c r="D82" s="10" t="inlineStr">
        <is>
          <t>TC-S2-2-19</t>
        </is>
      </c>
    </row>
    <row r="83">
      <c r="A83" s="10" t="inlineStr">
        <is>
          <t>NFR-12</t>
        </is>
      </c>
      <c r="B83" s="10" t="inlineStr">
        <is>
          <t>2.4 비기능 요구사항 ★</t>
        </is>
      </c>
      <c r="C83" s="5">
        <f>COUNTIFS(매핑!$A$2:$A$1498,"요건",매핑!$B$2:$B$1498,$A83)</f>
        <v>2</v>
      </c>
      <c r="D83" s="10" t="inlineStr">
        <is>
          <t>TC-INAV-01-09 · TC-INAV-01-10</t>
        </is>
      </c>
    </row>
    <row r="84">
      <c r="A84" s="10" t="inlineStr">
        <is>
          <t>NFR-13</t>
        </is>
      </c>
      <c r="B84" s="10" t="inlineStr">
        <is>
          <t>2.4 비기능 요구사항 ★</t>
        </is>
      </c>
      <c r="C84" s="5">
        <f>COUNTIFS(매핑!$A$2:$A$1498,"요건",매핑!$B$2:$B$1498,$A84)</f>
        <v>2</v>
      </c>
      <c r="D84" s="10" t="inlineStr">
        <is>
          <t>TC-S2-2-20 · TC-NFR-13-00</t>
        </is>
      </c>
    </row>
    <row r="85">
      <c r="A85" s="10" t="inlineStr">
        <is>
          <t>NFR-14</t>
        </is>
      </c>
      <c r="B85" s="10" t="inlineStr">
        <is>
          <t>2.4 비기능 요구사항 ★</t>
        </is>
      </c>
      <c r="C85" s="5">
        <f>COUNTIFS(매핑!$A$2:$A$1498,"요건",매핑!$B$2:$B$1498,$A85)</f>
        <v>1</v>
      </c>
      <c r="D85" s="10" t="inlineStr">
        <is>
          <t>TC-AC-02-00</t>
        </is>
      </c>
    </row>
    <row r="86">
      <c r="A86" s="10" t="inlineStr">
        <is>
          <t>NFR-15</t>
        </is>
      </c>
      <c r="B86" s="10" t="inlineStr">
        <is>
          <t>2.4 비기능 요구사항 ★</t>
        </is>
      </c>
      <c r="C86" s="5">
        <f>COUNTIFS(매핑!$A$2:$A$1498,"요건",매핑!$B$2:$B$1498,$A86)</f>
        <v>1</v>
      </c>
      <c r="D86" s="10" t="inlineStr">
        <is>
          <t>TC-AC-11-00</t>
        </is>
      </c>
    </row>
    <row r="87">
      <c r="A87" s="14" t="inlineStr">
        <is>
          <t>NFR-16</t>
        </is>
      </c>
      <c r="B87" s="10" t="inlineStr">
        <is>
          <t>2.4 비기능 요구사항 ★</t>
        </is>
      </c>
      <c r="C87" s="5">
        <f>COUNTIFS(매핑!$A$2:$A$1498,"요건",매핑!$B$2:$B$1498,$A87)</f>
        <v>0</v>
      </c>
      <c r="D87" s="10" t="inlineStr"/>
    </row>
    <row r="88">
      <c r="A88" s="10" t="inlineStr">
        <is>
          <t>S-1</t>
        </is>
      </c>
      <c r="B88" s="10" t="inlineStr">
        <is>
          <t>7.8 형태·간격 토큰 — radius · spacing</t>
        </is>
      </c>
      <c r="C88" s="5">
        <f>COUNTIFS(매핑!$A$2:$A$1498,"요건",매핑!$B$2:$B$1498,$A88)</f>
        <v>10</v>
      </c>
      <c r="D88" s="10" t="inlineStr">
        <is>
          <t>TC-AUTH-04-20 · TC-AUTH-03-18 · TC-HOME-01-11 · TC-ROUTE-01-15 · TC-1-2-09 · TC-SVC-05-03 · TC-REPORT-01-19 · TC-MY-01-19 · TC-FAV-01-16 · TC-HOME-04-04</t>
        </is>
      </c>
    </row>
    <row r="89">
      <c r="A89" s="10" t="inlineStr">
        <is>
          <t>S-2</t>
        </is>
      </c>
      <c r="B89" s="10" t="inlineStr">
        <is>
          <t>7.8 형태·간격 토큰 — radius · spacing</t>
        </is>
      </c>
      <c r="C89" s="5">
        <f>COUNTIFS(매핑!$A$2:$A$1498,"요건",매핑!$B$2:$B$1498,$A89)</f>
        <v>10</v>
      </c>
      <c r="D89" s="10" t="inlineStr">
        <is>
          <t>TC-AUTH-04-20 · TC-AUTH-03-18 · TC-HOME-01-11 · TC-ROUTE-01-15 · TC-1-2-09 · TC-SVC-05-03 · TC-REPORT-02-12 · TC-MY-01-19 · TC-FAV-01-16 · TC-HOME-04-04</t>
        </is>
      </c>
    </row>
    <row r="90">
      <c r="A90" s="10" t="inlineStr">
        <is>
          <t>S-3</t>
        </is>
      </c>
      <c r="B90" s="10" t="inlineStr">
        <is>
          <t>7.8 형태·간격 토큰 — radius · spacing</t>
        </is>
      </c>
      <c r="C90" s="5">
        <f>COUNTIFS(매핑!$A$2:$A$1498,"요건",매핑!$B$2:$B$1498,$A90)</f>
        <v>1</v>
      </c>
      <c r="D90" s="10" t="inlineStr">
        <is>
          <t>TC-S-3-00</t>
        </is>
      </c>
    </row>
    <row r="91">
      <c r="A91" s="10" t="inlineStr">
        <is>
          <t>S-4</t>
        </is>
      </c>
      <c r="B91" s="10" t="inlineStr">
        <is>
          <t>7.8 형태·간격 토큰 — radius · spacing</t>
        </is>
      </c>
      <c r="C91" s="5">
        <f>COUNTIFS(매핑!$A$2:$A$1498,"요건",매핑!$B$2:$B$1498,$A91)</f>
        <v>3</v>
      </c>
      <c r="D91" s="10" t="inlineStr">
        <is>
          <t>TC-SVC-05-10 · TC-FAV-01-18 · TC-MY-06-03</t>
        </is>
      </c>
    </row>
    <row r="92">
      <c r="A92" s="10" t="inlineStr">
        <is>
          <t>S-5</t>
        </is>
      </c>
      <c r="B92" s="10" t="inlineStr">
        <is>
          <t>7.8 형태·간격 토큰 — radius · spacing</t>
        </is>
      </c>
      <c r="C92" s="5">
        <f>COUNTIFS(매핑!$A$2:$A$1498,"요건",매핑!$B$2:$B$1498,$A92)</f>
        <v>1</v>
      </c>
      <c r="D92" s="10" t="inlineStr">
        <is>
          <t>TC-S-5-00</t>
        </is>
      </c>
    </row>
    <row r="93">
      <c r="A93" s="10" t="inlineStr">
        <is>
          <t>S-6</t>
        </is>
      </c>
      <c r="B93" s="10" t="inlineStr">
        <is>
          <t>7.8 형태·간격 토큰 — radius · spacing</t>
        </is>
      </c>
      <c r="C93" s="5">
        <f>COUNTIFS(매핑!$A$2:$A$1498,"요건",매핑!$B$2:$B$1498,$A93)</f>
        <v>1</v>
      </c>
      <c r="D93" s="10" t="inlineStr">
        <is>
          <t>TC-S-5-00</t>
        </is>
      </c>
    </row>
    <row r="94">
      <c r="A94" s="10" t="inlineStr">
        <is>
          <t>SC-01</t>
        </is>
      </c>
      <c r="B94" s="10" t="inlineStr">
        <is>
          <t>7.4 화면 정의</t>
        </is>
      </c>
      <c r="C94" s="5">
        <f>COUNTIFS(매핑!$A$2:$A$1498,"요건",매핑!$B$2:$B$1498,$A94)</f>
        <v>11</v>
      </c>
      <c r="D94" s="10" t="inlineStr">
        <is>
          <t>TC-HOME-01-01 · TC-HOME-01-02 · TC-HOME-01-03 · TC-HOME-01-04 · TC-HOME-01-05 · TC-HOME-01-06 · TC-HOME-01-07 · TC-HOME-01-09 · TC-HOME-01-15 · TC-HOME-01-16 · TC-HOME-01-17</t>
        </is>
      </c>
    </row>
    <row r="95">
      <c r="A95" s="10" t="inlineStr">
        <is>
          <t>SC-02</t>
        </is>
      </c>
      <c r="B95" s="10" t="inlineStr">
        <is>
          <t>7.4 화면 정의</t>
        </is>
      </c>
      <c r="C95" s="5">
        <f>COUNTIFS(매핑!$A$2:$A$1498,"요건",매핑!$B$2:$B$1498,$A95)</f>
        <v>12</v>
      </c>
      <c r="D95" s="10" t="inlineStr">
        <is>
          <t>TC-ROUTE-01-01 · TC-ROUTE-01-02 · TC-ROUTE-01-03 · TC-ROUTE-01-11 · TC-ROUTE-01-12 · TC-ROUTE-02-01 · TC-ROUTE-02-03 · TC-ROUTE-02-05 · TC-ROUTE-02-07 · TC-ROUTE-02-08 · TC-ROUTE-02-09 · TC-ROUTE-02-12</t>
        </is>
      </c>
    </row>
    <row r="96">
      <c r="A96" s="10" t="inlineStr">
        <is>
          <t>SC-03</t>
        </is>
      </c>
      <c r="B96" s="10" t="inlineStr">
        <is>
          <t>7.4 화면 정의</t>
        </is>
      </c>
      <c r="C96" s="5">
        <f>COUNTIFS(매핑!$A$2:$A$1498,"요건",매핑!$B$2:$B$1498,$A96)</f>
        <v>3</v>
      </c>
      <c r="D96" s="10" t="inlineStr">
        <is>
          <t>TC-SEARCH-02-01 · TC-SEARCH-02-02 · TC-SEARCH-02-04</t>
        </is>
      </c>
    </row>
    <row r="97">
      <c r="A97" s="10" t="inlineStr">
        <is>
          <t>SC-04</t>
        </is>
      </c>
      <c r="B97" s="10" t="inlineStr">
        <is>
          <t>7.4 화면 정의</t>
        </is>
      </c>
      <c r="C97" s="5">
        <f>COUNTIFS(매핑!$A$2:$A$1498,"요건",매핑!$B$2:$B$1498,$A97)</f>
        <v>8</v>
      </c>
      <c r="D97" s="10" t="inlineStr">
        <is>
          <t>TC-ROUTE-03-06 · TC-ONAV-01-01 · TC-ONAV-01-02 · TC-ONAV-01-03 · TC-ONAV-01-04 · TC-ONAV-01-05 · TC-ONAV-01-06 · TC-ONAV-01-27</t>
        </is>
      </c>
    </row>
    <row r="98">
      <c r="A98" s="10" t="inlineStr">
        <is>
          <t>SC-05</t>
        </is>
      </c>
      <c r="B98" s="10" t="inlineStr">
        <is>
          <t>7.4 화면 정의</t>
        </is>
      </c>
      <c r="C98" s="5">
        <f>COUNTIFS(매핑!$A$2:$A$1498,"요건",매핑!$B$2:$B$1498,$A98)</f>
        <v>10</v>
      </c>
      <c r="D98" s="10" t="inlineStr">
        <is>
          <t>TC-INAV-01-01 · TC-INAV-01-03 · TC-INAV-01-04 · TC-INAV-01-05 · TC-INAV-01-06 · TC-INAV-01-08 · TC-INAV-01-12 · TC-INAV-01-14 · TC-INAV-01-20 · TC-SVC-08-12</t>
        </is>
      </c>
    </row>
    <row r="99">
      <c r="A99" s="10" t="inlineStr">
        <is>
          <t>SC-06</t>
        </is>
      </c>
      <c r="B99" s="10" t="inlineStr">
        <is>
          <t>7.4 화면 정의</t>
        </is>
      </c>
      <c r="C99" s="5">
        <f>COUNTIFS(매핑!$A$2:$A$1498,"요건",매핑!$B$2:$B$1498,$A99)</f>
        <v>1</v>
      </c>
      <c r="D99" s="10" t="inlineStr">
        <is>
          <t>TC-S2-3-16</t>
        </is>
      </c>
    </row>
    <row r="100">
      <c r="A100" s="10" t="inlineStr">
        <is>
          <t>SC-07</t>
        </is>
      </c>
      <c r="B100" s="10" t="inlineStr">
        <is>
          <t>7.4 화면 정의</t>
        </is>
      </c>
      <c r="C100" s="5">
        <f>COUNTIFS(매핑!$A$2:$A$1498,"요건",매핑!$B$2:$B$1498,$A100)</f>
        <v>16</v>
      </c>
      <c r="D100" s="10" t="inlineStr">
        <is>
          <t>TC-BUS-03-09 · TC-2-5-1-05 · TC-BUS-01-01 · TC-BUS-01-02 · TC-BUS-01-04 · TC-BUS-01-06 · TC-BUS-01-07 · TC-BUS-01-09 · TC-BUS-01-11 · TC-BUS-01-13 · TC-BUS-01-14 · TC-BUS-01-15 · TC-BUS-01-16 · TC-BUS-01-17 · TC-BUS-01-18 · TC-BUS-01-19</t>
        </is>
      </c>
    </row>
    <row r="101">
      <c r="A101" s="10" t="inlineStr">
        <is>
          <t>SC-08</t>
        </is>
      </c>
      <c r="B101" s="10" t="inlineStr">
        <is>
          <t>7.4 화면 정의</t>
        </is>
      </c>
      <c r="C101" s="5">
        <f>COUNTIFS(매핑!$A$2:$A$1498,"요건",매핑!$B$2:$B$1498,$A101)</f>
        <v>15</v>
      </c>
      <c r="D101" s="10" t="inlineStr">
        <is>
          <t>TC-1-6-01 · TC-1-6-02 · TC-1-6-04 · TC-REPORT-01-01 · TC-REPORT-01-02 · TC-REPORT-01-03 · TC-REPORT-01-04 · TC-REPORT-01-05 · TC-REPORT-01-06 · TC-REPORT-01-09 · TC-REPORT-01-10 · TC-REPORT-01-11 · TC-REPORT-01-13 · TC-REPORT-01-15 · TC-REPORT-02-01</t>
        </is>
      </c>
    </row>
    <row r="102">
      <c r="A102" s="10" t="inlineStr">
        <is>
          <t>SG-1</t>
        </is>
      </c>
      <c r="B102" s="10" t="inlineStr">
        <is>
          <t>1.3 타겟 사용자 (RFP QUR-002 기준 5유형)</t>
        </is>
      </c>
      <c r="C102" s="5">
        <f>COUNTIFS(매핑!$A$2:$A$1498,"요건",매핑!$B$2:$B$1498,$A102)</f>
        <v>1</v>
      </c>
      <c r="D102" s="10" t="inlineStr">
        <is>
          <t>TC-AUTH-04-08</t>
        </is>
      </c>
    </row>
    <row r="103">
      <c r="A103" s="10" t="inlineStr">
        <is>
          <t>SG-2</t>
        </is>
      </c>
      <c r="B103" s="10" t="inlineStr">
        <is>
          <t>1.3 타겟 사용자 (RFP QUR-002 기준 5유형)</t>
        </is>
      </c>
      <c r="C103" s="5">
        <f>COUNTIFS(매핑!$A$2:$A$1498,"요건",매핑!$B$2:$B$1498,$A103)</f>
        <v>1</v>
      </c>
      <c r="D103" s="10" t="inlineStr">
        <is>
          <t>TC-AUTH-04-09</t>
        </is>
      </c>
    </row>
    <row r="104">
      <c r="A104" s="10" t="inlineStr">
        <is>
          <t>SG-3</t>
        </is>
      </c>
      <c r="B104" s="10" t="inlineStr">
        <is>
          <t>1.3 타겟 사용자 (RFP QUR-002 기준 5유형)</t>
        </is>
      </c>
      <c r="C104" s="5">
        <f>COUNTIFS(매핑!$A$2:$A$1498,"요건",매핑!$B$2:$B$1498,$A104)</f>
        <v>2</v>
      </c>
      <c r="D104" s="10" t="inlineStr">
        <is>
          <t>TC-AUTH-01-07 · TC-AUTH-04-10</t>
        </is>
      </c>
    </row>
    <row r="105">
      <c r="A105" s="10" t="inlineStr">
        <is>
          <t>SG-4</t>
        </is>
      </c>
      <c r="B105" s="10" t="inlineStr">
        <is>
          <t>1.3 타겟 사용자 (RFP QUR-002 기준 5유형)</t>
        </is>
      </c>
      <c r="C105" s="5">
        <f>COUNTIFS(매핑!$A$2:$A$1498,"요건",매핑!$B$2:$B$1498,$A105)</f>
        <v>1</v>
      </c>
      <c r="D105" s="10" t="inlineStr">
        <is>
          <t>TC-AUTH-04-11</t>
        </is>
      </c>
    </row>
    <row r="106">
      <c r="A106" s="10" t="inlineStr">
        <is>
          <t>SG-6</t>
        </is>
      </c>
      <c r="B106" s="10" t="inlineStr">
        <is>
          <t>1.3 타겟 사용자 (RFP QUR-002 기준 5유형)</t>
        </is>
      </c>
      <c r="C106" s="5">
        <f>COUNTIFS(매핑!$A$2:$A$1498,"요건",매핑!$B$2:$B$1498,$A106)</f>
        <v>1</v>
      </c>
      <c r="D106" s="10" t="inlineStr">
        <is>
          <t>TC-AUTH-04-12</t>
        </is>
      </c>
    </row>
    <row r="107">
      <c r="A107" s="10" t="inlineStr">
        <is>
          <t>SG-7</t>
        </is>
      </c>
      <c r="B107" s="10" t="inlineStr">
        <is>
          <t>1.3 타겟 사용자 (RFP QUR-002 기준 5유형)</t>
        </is>
      </c>
      <c r="C107" s="5">
        <f>COUNTIFS(매핑!$A$2:$A$1498,"요건",매핑!$B$2:$B$1498,$A107)</f>
        <v>7</v>
      </c>
      <c r="D107" s="10" t="inlineStr">
        <is>
          <t>TC-AUTH-04-13 · TC-1-2-03 · TC-1-2-04 · TC-1-2-05 · TC-1-2-06 · TC-1-2-07 · TC-1-2-11</t>
        </is>
      </c>
    </row>
    <row r="108">
      <c r="A108" s="10" t="inlineStr">
        <is>
          <t>SS-1</t>
        </is>
      </c>
      <c r="B108" s="10" t="inlineStr">
        <is>
          <t>6.10 🆕 세션 · 다중 로그인 정책</t>
        </is>
      </c>
      <c r="C108" s="5">
        <f>COUNTIFS(매핑!$A$2:$A$1498,"요건",매핑!$B$2:$B$1498,$A108)</f>
        <v>1</v>
      </c>
      <c r="D108" s="10" t="inlineStr">
        <is>
          <t>TC-AUTH-01-10</t>
        </is>
      </c>
    </row>
    <row r="109">
      <c r="A109" s="10" t="inlineStr">
        <is>
          <t>SS-2</t>
        </is>
      </c>
      <c r="B109" s="10" t="inlineStr">
        <is>
          <t>6.10 🆕 세션 · 다중 로그인 정책</t>
        </is>
      </c>
      <c r="C109" s="5">
        <f>COUNTIFS(매핑!$A$2:$A$1498,"요건",매핑!$B$2:$B$1498,$A109)</f>
        <v>2</v>
      </c>
      <c r="D109" s="10" t="inlineStr">
        <is>
          <t>TC-AUTH-01-09 · TC-2-7-10</t>
        </is>
      </c>
    </row>
    <row r="110">
      <c r="A110" s="10" t="inlineStr">
        <is>
          <t>SS-3</t>
        </is>
      </c>
      <c r="B110" s="10" t="inlineStr">
        <is>
          <t>6.10 🆕 세션 · 다중 로그인 정책</t>
        </is>
      </c>
      <c r="C110" s="5">
        <f>COUNTIFS(매핑!$A$2:$A$1498,"요건",매핑!$B$2:$B$1498,$A110)</f>
        <v>2</v>
      </c>
      <c r="D110" s="10" t="inlineStr">
        <is>
          <t>TC-AUTH-01-10 · TC-MY-01-15</t>
        </is>
      </c>
    </row>
    <row r="111">
      <c r="A111" s="10" t="inlineStr">
        <is>
          <t>SS-4</t>
        </is>
      </c>
      <c r="B111" s="10" t="inlineStr">
        <is>
          <t>6.10 🆕 세션 · 다중 로그인 정책</t>
        </is>
      </c>
      <c r="C111" s="5">
        <f>COUNTIFS(매핑!$A$2:$A$1498,"요건",매핑!$B$2:$B$1498,$A111)</f>
        <v>2</v>
      </c>
      <c r="D111" s="10" t="inlineStr">
        <is>
          <t>TC-AUTH-01-11 · TC-AUTH-01-12</t>
        </is>
      </c>
    </row>
    <row r="112">
      <c r="A112" s="10" t="inlineStr">
        <is>
          <t>SS-5</t>
        </is>
      </c>
      <c r="B112" s="10" t="inlineStr">
        <is>
          <t>6.10 🆕 세션 · 다중 로그인 정책</t>
        </is>
      </c>
      <c r="C112" s="5">
        <f>COUNTIFS(매핑!$A$2:$A$1498,"요건",매핑!$B$2:$B$1498,$A112)</f>
        <v>1</v>
      </c>
      <c r="D112" s="10" t="inlineStr">
        <is>
          <t>TC-AUTH-01-13</t>
        </is>
      </c>
    </row>
    <row r="113">
      <c r="A113" s="10" t="inlineStr">
        <is>
          <t>T-1</t>
        </is>
      </c>
      <c r="B113" s="10" t="inlineStr">
        <is>
          <t>7.3 타이포그래피 ✅</t>
        </is>
      </c>
      <c r="C113" s="5">
        <f>COUNTIFS(매핑!$A$2:$A$1498,"요건",매핑!$B$2:$B$1498,$A113)</f>
        <v>3</v>
      </c>
      <c r="D113" s="10" t="inlineStr">
        <is>
          <t>TC-SVC-05-09 · TC-FAV-01-17 · TC-MY-06-02</t>
        </is>
      </c>
    </row>
    <row r="114">
      <c r="A114" s="10" t="inlineStr">
        <is>
          <t>T-2</t>
        </is>
      </c>
      <c r="B114" s="10" t="inlineStr">
        <is>
          <t>7.3 타이포그래피 ✅</t>
        </is>
      </c>
      <c r="C114" s="5">
        <f>COUNTIFS(매핑!$A$2:$A$1498,"요건",매핑!$B$2:$B$1498,$A114)</f>
        <v>3</v>
      </c>
      <c r="D114" s="10" t="inlineStr">
        <is>
          <t>TC-SVC-05-09 · TC-FAV-01-17 · TC-MY-06-02</t>
        </is>
      </c>
    </row>
    <row r="115">
      <c r="A115" s="10" t="inlineStr">
        <is>
          <t>T-3</t>
        </is>
      </c>
      <c r="B115" s="10" t="inlineStr">
        <is>
          <t>7.3 타이포그래피 ✅</t>
        </is>
      </c>
      <c r="C115" s="5">
        <f>COUNTIFS(매핑!$A$2:$A$1498,"요건",매핑!$B$2:$B$1498,$A115)</f>
        <v>1</v>
      </c>
      <c r="D115" s="10" t="inlineStr">
        <is>
          <t>TC-T-3-00</t>
        </is>
      </c>
    </row>
    <row r="116">
      <c r="A116" s="10" t="inlineStr">
        <is>
          <t>T-4</t>
        </is>
      </c>
      <c r="B116" s="10" t="inlineStr">
        <is>
          <t>7.3 타이포그래피 ✅</t>
        </is>
      </c>
      <c r="C116" s="5">
        <f>COUNTIFS(매핑!$A$2:$A$1498,"요건",매핑!$B$2:$B$1498,$A116)</f>
        <v>19</v>
      </c>
      <c r="D116" s="10" t="inlineStr">
        <is>
          <t>TC-AUTH-04-10 · TC-AUTH-04-22 · TC-AUTH-03-19 · TC-HOME-01-12 · TC-ROUTE-01-16 · TC-SEARCH-01-13 · TC-ONAV-01-26 · TC-INAV-01-25 · TC-BUS-01-22 · TC-SVC-08-06 · TC-SVC-05-10 · TC-1-5-13 · TC-REPORT-01-19 · TC-REPORT-02-12 · TC-MY-01-04 · TC-MY-01-19 · TC-FAV-01-18 · TC-MY-06-03 · TC-L-3-00</t>
        </is>
      </c>
    </row>
    <row r="117">
      <c r="A117" s="10" t="inlineStr">
        <is>
          <t>T-5</t>
        </is>
      </c>
      <c r="B117" s="10" t="inlineStr">
        <is>
          <t>7.3 타이포그래피 ✅</t>
        </is>
      </c>
      <c r="C117" s="5">
        <f>COUNTIFS(매핑!$A$2:$A$1498,"요건",매핑!$B$2:$B$1498,$A117)</f>
        <v>1</v>
      </c>
      <c r="D117" s="10" t="inlineStr">
        <is>
          <t>TC-C-5-00</t>
        </is>
      </c>
    </row>
    <row r="118">
      <c r="A118" s="10" t="inlineStr">
        <is>
          <t>T-6</t>
        </is>
      </c>
      <c r="B118" s="10" t="inlineStr">
        <is>
          <t>7.3 타이포그래피 ✅</t>
        </is>
      </c>
      <c r="C118" s="5">
        <f>COUNTIFS(매핑!$A$2:$A$1498,"요건",매핑!$B$2:$B$1498,$A118)</f>
        <v>4</v>
      </c>
      <c r="D118" s="10" t="inlineStr">
        <is>
          <t>TC-MY-01-03 · TC-MY-01-04 · TC-MY-01-11 · TC-L-3-00</t>
        </is>
      </c>
    </row>
    <row r="119">
      <c r="A119" s="10" t="inlineStr">
        <is>
          <t>US-01</t>
        </is>
      </c>
      <c r="B119" s="10" t="inlineStr">
        <is>
          <t>US-01. 전맹 사용자의 능동 주변 탐색 ★ 시그니처</t>
        </is>
      </c>
      <c r="C119" s="5">
        <f>COUNTIFS(매핑!$A$2:$A$1498,"요건",매핑!$B$2:$B$1498,$A119)</f>
        <v>6</v>
      </c>
      <c r="D119" s="10" t="inlineStr">
        <is>
          <t>TC-HOME-01-17 · TC-S2-3-11 · TC-S2-3-12 · TC-S2-3-13 · TC-S2-3-14 · TC-S2-3-16</t>
        </is>
      </c>
    </row>
    <row r="120">
      <c r="A120" s="10" t="inlineStr">
        <is>
          <t>US-02</t>
        </is>
      </c>
      <c r="B120" s="10" t="inlineStr">
        <is>
          <t>US-02. 저시력 사용자의 경로 탐색</t>
        </is>
      </c>
      <c r="C120" s="5">
        <f>COUNTIFS(매핑!$A$2:$A$1498,"요건",매핑!$B$2:$B$1498,$A120)</f>
        <v>1</v>
      </c>
      <c r="D120" s="10" t="inlineStr">
        <is>
          <t>TC-ROUTE-03-02</t>
        </is>
      </c>
    </row>
    <row r="121">
      <c r="A121" s="10" t="inlineStr">
        <is>
          <t>US-03</t>
        </is>
      </c>
      <c r="B121" s="10" t="inlineStr">
        <is>
          <t>US-03. 실외 → 실내 연속 안내 ★ 최대 난이도</t>
        </is>
      </c>
      <c r="C121" s="5">
        <f>COUNTIFS(매핑!$A$2:$A$1498,"요건",매핑!$B$2:$B$1498,$A121)</f>
        <v>5</v>
      </c>
      <c r="D121" s="10" t="inlineStr">
        <is>
          <t>TC-INAV-01-01 · TC-INAV-01-02 · TC-INAV-01-09 · TC-INAV-01-10 · TC-INAV-01-27</t>
        </is>
      </c>
    </row>
    <row r="122">
      <c r="A122" s="10" t="inlineStr">
        <is>
          <t>US-04</t>
        </is>
      </c>
      <c r="B122" s="10" t="inlineStr">
        <is>
          <t>US-04. 저상버스 탑승</t>
        </is>
      </c>
      <c r="C122" s="5">
        <f>COUNTIFS(매핑!$A$2:$A$1498,"요건",매핑!$B$2:$B$1498,$A122)</f>
        <v>2</v>
      </c>
      <c r="D122" s="10" t="inlineStr">
        <is>
          <t>TC-BUS-01-12 · TC-BUS-01-13</t>
        </is>
      </c>
    </row>
    <row r="123">
      <c r="A123" s="10" t="inlineStr">
        <is>
          <t>US-05</t>
        </is>
      </c>
      <c r="B123" s="10" t="inlineStr">
        <is>
          <t>US-05. 하차</t>
        </is>
      </c>
      <c r="C123" s="5">
        <f>COUNTIFS(매핑!$A$2:$A$1498,"요건",매핑!$B$2:$B$1498,$A123)</f>
        <v>1</v>
      </c>
      <c r="D123" s="10" t="inlineStr">
        <is>
          <t>TC-BUS-01-14</t>
        </is>
      </c>
    </row>
    <row r="124">
      <c r="A124" s="10" t="inlineStr">
        <is>
          <t>V-1</t>
        </is>
      </c>
      <c r="B124" s="10" t="inlineStr">
        <is>
          <t>7.4 화면 정의</t>
        </is>
      </c>
      <c r="C124" s="5">
        <f>COUNTIFS(매핑!$A$2:$A$1498,"요건",매핑!$B$2:$B$1498,$A124)</f>
        <v>44</v>
      </c>
      <c r="D124" s="10" t="inlineStr">
        <is>
          <t>TC-AUTH-01-01 · TC-AUTH-01-04 · TC-AUTH-04-08 · TC-AUTH-03-01 · TC-AUTH-03-17 · TC-AUTH-03-20 · TC-HOME-01-10 · TC-ROUTE-01-05 · TC-ROUTE-01-13 · TC-SEARCH-01-09 · TC-SEARCH-01-10 · TC-SEARCH-01-11 · TC-ROUTE-03-07 · TC-ROUTE-03-08 · TC-ROUTE-03-11 · TC-ONAV-01-20 · TC-ONAV-01-21 · TC-INAV-01-07 · TC-INAV-01-19 · TC-INAV-01-21 · TC-INAV-01-22 · TC-BUS-03-10 · TC-2-5-1-04 · TC-BUS-01-10 · TC-BUS-01-11 · TC-BUS-01-12 · TC-SVC-05-01 · TC-SVC-06-01 · TC-1-5-01 · TC-1-5-08 · TC-1-6-01 · TC-REPORT-01-01 · TC-REPORT-01-17 · TC-REPORT-02-06 · TC-MY-01-01 · TC-MY-01-08 · TC-MY-01-12 · TC-MY-11-01 · TC-FAV-01-12 · TC-MY-06-01 · TC-2-7-02 · TC-S2-2-03 · TC-S2-2-05 · TC-S2-3-01</t>
        </is>
      </c>
    </row>
    <row r="125">
      <c r="A125" s="10" t="inlineStr">
        <is>
          <t>V-10</t>
        </is>
      </c>
      <c r="B125" s="10" t="inlineStr">
        <is>
          <t>7.4 화면 정의</t>
        </is>
      </c>
      <c r="C125" s="5">
        <f>COUNTIFS(매핑!$A$2:$A$1498,"요건",매핑!$B$2:$B$1498,$A125)</f>
        <v>7</v>
      </c>
      <c r="D125" s="10" t="inlineStr">
        <is>
          <t>TC-HOME-01-18 · TC-ROUTE-01-04 · TC-ROUTE-01-06 · TC-ROUTE-01-08 · TC-SEARCH-02-11 · TC-ONAV-01-25 · TC-REPORT-01-07</t>
        </is>
      </c>
    </row>
    <row r="126">
      <c r="A126" s="10" t="inlineStr">
        <is>
          <t>V-11</t>
        </is>
      </c>
      <c r="B126" s="10" t="inlineStr">
        <is>
          <t>7.4 화면 정의</t>
        </is>
      </c>
      <c r="C126" s="5">
        <f>COUNTIFS(매핑!$A$2:$A$1498,"요건",매핑!$B$2:$B$1498,$A126)</f>
        <v>11</v>
      </c>
      <c r="D126" s="10" t="inlineStr">
        <is>
          <t>TC-AUTH-01-08 · TC-AUTH-04-01 · TC-AUTH-04-02 · TC-AUTH-04-03 · TC-AUTH-04-14 · TC-AUTH-04-15 · TC-MY-01-02 · TC-AUTH-04-51 · TC-AUTH-04-52 · TC-AUTH-04-53 · TC-AUTH-04-54</t>
        </is>
      </c>
    </row>
    <row r="127">
      <c r="A127" s="10" t="inlineStr">
        <is>
          <t>V-12</t>
        </is>
      </c>
      <c r="B127" s="10" t="inlineStr">
        <is>
          <t>7.4 화면 정의</t>
        </is>
      </c>
      <c r="C127" s="5">
        <f>COUNTIFS(매핑!$A$2:$A$1498,"요건",매핑!$B$2:$B$1498,$A127)</f>
        <v>1</v>
      </c>
      <c r="D127" s="10" t="inlineStr">
        <is>
          <t>TC-MY-01-17</t>
        </is>
      </c>
    </row>
    <row r="128">
      <c r="A128" s="10" t="inlineStr">
        <is>
          <t>V-13</t>
        </is>
      </c>
      <c r="B128" s="10" t="inlineStr">
        <is>
          <t>7.4 화면 정의</t>
        </is>
      </c>
      <c r="C128" s="5">
        <f>COUNTIFS(매핑!$A$2:$A$1498,"요건",매핑!$B$2:$B$1498,$A128)</f>
        <v>4</v>
      </c>
      <c r="D128" s="10" t="inlineStr">
        <is>
          <t>TC-AUTH-01-08 · TC-AUTH-03-02 · TC-AUTH-03-03 · TC-AUTH-03-04</t>
        </is>
      </c>
    </row>
    <row r="129">
      <c r="A129" s="10" t="inlineStr">
        <is>
          <t>V-14</t>
        </is>
      </c>
      <c r="B129" s="10" t="inlineStr">
        <is>
          <t>7.4 화면 정의</t>
        </is>
      </c>
      <c r="C129" s="5">
        <f>COUNTIFS(매핑!$A$2:$A$1498,"요건",매핑!$B$2:$B$1498,$A129)</f>
        <v>14</v>
      </c>
      <c r="D129" s="10" t="inlineStr">
        <is>
          <t>TC-AUTH-03-03 · TC-AUTH-03-10 · TC-AUTH-03-11 · TC-AUTH-03-12 · TC-AUTH-03-13 · TC-AUTH-03-14 · TC-MY-05-01 · TC-MY-05-02 · TC-MY-05-03 · TC-MY-05-04 · TC-MY-05-05 · TC-MY-06-01 · TC-MY-06-05 · TC-MY-06-07</t>
        </is>
      </c>
    </row>
    <row r="130">
      <c r="A130" s="10" t="inlineStr">
        <is>
          <t>V-2</t>
        </is>
      </c>
      <c r="B130" s="10" t="inlineStr">
        <is>
          <t>7.4 화면 정의</t>
        </is>
      </c>
      <c r="C130" s="5">
        <f>COUNTIFS(매핑!$A$2:$A$1498,"요건",매핑!$B$2:$B$1498,$A130)</f>
        <v>1</v>
      </c>
      <c r="D130" s="10" t="inlineStr">
        <is>
          <t>TC-V-2-00</t>
        </is>
      </c>
    </row>
    <row r="131">
      <c r="A131" s="10" t="inlineStr">
        <is>
          <t>V-3</t>
        </is>
      </c>
      <c r="B131" s="10" t="inlineStr">
        <is>
          <t>7.4 화면 정의</t>
        </is>
      </c>
      <c r="C131" s="5">
        <f>COUNTIFS(매핑!$A$2:$A$1498,"요건",매핑!$B$2:$B$1498,$A131)</f>
        <v>41</v>
      </c>
      <c r="D131" s="10" t="inlineStr">
        <is>
          <t>TC-AUTH-01-03 · TC-AUTH-01-06 · TC-AUTH-01-07 · TC-AUTH-04-05 · TC-AUTH-03-08 · TC-AUTH-03-10 · TC-HOME-01-06 · TC-HOME-01-07 · TC-ROUTE-01-07 · TC-SEARCH-01-06 · TC-ROUTE-03-03 · TC-INAV-01-06 · TC-1-3-03 · TC-1-3-06 · TC-BUS-03-01 · TC-BUS-03-03 · TC-BUS-03-04 · TC-2-5-1-03 · TC-BUS-01-01 · TC-BUS-01-09 · TC-BUS-01-11 · TC-BUS-01-15 · TC-SVC-08-02 · TC-SVC-08-05 · TC-SVC-08-08 · TC-SVC-05-02 · TC-SVC-05-06 · TC-1-5-06 · TC-REPORT-02-02 · TC-REPORT-02-03 · TC-REPORT-02-08 · TC-AUTH-04-55 · TC-REPORT-03-04 · TC-MY-11-04 · TC-FAV-01-04 · TC-FAV-01-08 · TC-HOME-04-02 · TC-S2-2-04 · TC-S2-3-01 · TC-S2-3-03 · TC-S2-4-05</t>
        </is>
      </c>
    </row>
    <row r="132">
      <c r="A132" s="10" t="inlineStr">
        <is>
          <t>V-4</t>
        </is>
      </c>
      <c r="B132" s="10" t="inlineStr">
        <is>
          <t>7.4 화면 정의</t>
        </is>
      </c>
      <c r="C132" s="5">
        <f>COUNTIFS(매핑!$A$2:$A$1498,"요건",매핑!$B$2:$B$1498,$A132)</f>
        <v>26</v>
      </c>
      <c r="D132" s="10" t="inlineStr">
        <is>
          <t>TC-SEARCH-02-02 · TC-SEARCH-02-03 · TC-INAV-01-11 · TC-INAV-01-13 · TC-BUS-03-01 · TC-BUS-03-02 · TC-BUS-03-06 · TC-SVC-08-03 · TC-SVC-08-08 · TC-SVC-08-09 · TC-SVC-08-12 · TC-SVC-05-05 · TC-SVC-05-06 · TC-SVC-05-07 · TC-SVC-05-08 · TC-SVC-06-03 · TC-1-5-02 · TC-REPORT-01-08 · TC-REPORT-02-09 · TC-REPORT-03-07 · TC-S2-2-14 · TC-S2-2-16 · TC-S2-3-14 · TC-S2-3-19 · TC-S2-3-21 · TC-S2-3-22</t>
        </is>
      </c>
    </row>
    <row r="133">
      <c r="A133" s="10" t="inlineStr">
        <is>
          <t>V-5</t>
        </is>
      </c>
      <c r="B133" s="10" t="inlineStr">
        <is>
          <t>7.4 화면 정의</t>
        </is>
      </c>
      <c r="C133" s="5">
        <f>COUNTIFS(매핑!$A$2:$A$1498,"요건",매핑!$B$2:$B$1498,$A133)</f>
        <v>19</v>
      </c>
      <c r="D133" s="10" t="inlineStr">
        <is>
          <t>TC-ROUTE-02-06 · TC-SEARCH-01-01 · TC-SEARCH-01-05 · TC-INAV-01-16 · TC-INAV-01-18 · TC-1-3-01 · TC-1-3-10 · TC-SVC-08-01 · TC-SVC-08-02 · TC-SVC-08-03 · TC-1-2-01 · TC-1-2-02 · TC-1-2-07 · TC-1-5-15 · TC-1-6-02 · TC-1-6-03 · TC-MY-01-07 · TC-AUTH-04-51 · TC-MY-11-01</t>
        </is>
      </c>
    </row>
    <row r="134">
      <c r="A134" s="10" t="inlineStr">
        <is>
          <t>V-6</t>
        </is>
      </c>
      <c r="B134" s="10" t="inlineStr">
        <is>
          <t>7.4 화면 정의</t>
        </is>
      </c>
      <c r="C134" s="5">
        <f>COUNTIFS(매핑!$A$2:$A$1498,"요건",매핑!$B$2:$B$1498,$A134)</f>
        <v>105</v>
      </c>
      <c r="D134" s="10" t="inlineStr">
        <is>
          <t>TC-AUTH-01-06 · TC-AUTH-01-12 · TC-AUTH-04-03 · TC-AUTH-04-04 · TC-AUTH-04-16 · TC-AUTH-04-17 · TC-AUTH-04-18 · TC-AUTH-03-06 · TC-AUTH-03-07 · TC-AUTH-03-08 · TC-AUTH-03-09 · TC-AUTH-03-12 · TC-HOME-01-08 · TC-HOME-01-15 · TC-ROUTE-02-01 · TC-ROUTE-02-10 · TC-ROUTE-02-12 · TC-SEARCH-01-02 · TC-SEARCH-01-03 · TC-SEARCH-01-04 · TC-SEARCH-01-07 · TC-SEARCH-01-08 · TC-SEARCH-02-08 · TC-ROUTE-03-04 · TC-ROUTE-03-05 · TC-ONAV-01-04 · TC-ONAV-01-23 · TC-ONAV-01-24 · TC-INAV-01-02 · TC-INAV-01-08 · TC-INAV-01-09 · TC-INAV-01-11 · TC-INAV-01-13 · TC-INAV-01-23 · TC-1-3-09 · TC-BUS-03-06 · TC-BUS-03-07 · TC-BUS-01-03 · TC-BUS-01-05 · TC-SVC-08-11 · TC-1-2-10 · TC-1-2-11 · TC-SVC-05-04 · TC-SVC-05-08 · TC-SVC-06-03 · TC-SVC-06-05 · TC-SVC-04-01 · TC-1-5-02 · TC-1-5-03 · TC-1-5-04 · TC-1-5-05 · TC-1-5-07 · TC-1-5-09 · TC-1-5-10 · TC-1-5-11 · TC-1-6-04 · TC-1-6-05 · TC-REPORT-01-05 · TC-REPORT-01-08 · TC-REPORT-01-11 · TC-REPORT-01-12 · TC-REPORT-01-13 · TC-REPORT-01-14 · TC-REPORT-01-15 · TC-REPORT-01-16 · TC-REPORT-02-09 · TC-REPORT-02-11 · TC-MY-01-05 · TC-MY-01-10 · TC-MY-01-13 · TC-MY-01-15 · TC-AUTH-04-53 · TC-AUTH-04-56 · TC-REPORT-03-07 · TC-MY-11-03 · TC-MY-11-05 · TC-FAV-01-09 · TC-FAV-01-10 · TC-FAV-01-11 · TC-FAV-01-13 · TC-FAV-01-14 · TC-FAV-01-19 · TC-FAV-01-20 · TC-HOME-04-06 · TC-HOME-04-07 · TC-2-7-04 · TC-2-7-06 · TC-2-7-07 · TC-S2-2-07 · TC-S2-2-08 · TC-S2-2-09 · TC-S2-2-10 · TC-S2-2-16 · TC-S2-2-17 · TC-S2-3-03 · TC-S2-3-05 · TC-S2-3-14 · TC-S2-3-15 · TC-S2-3-17 · TC-S2-3-18 · TC-S2-3-19 · TC-S2-3-20 · TC-S2-3-21 · TC-S2-3-22 · TC-K-2-00</t>
        </is>
      </c>
    </row>
    <row r="135">
      <c r="A135" s="10" t="inlineStr">
        <is>
          <t>V-7</t>
        </is>
      </c>
      <c r="B135" s="10" t="inlineStr">
        <is>
          <t>7.4 화면 정의</t>
        </is>
      </c>
      <c r="C135" s="5">
        <f>COUNTIFS(매핑!$A$2:$A$1498,"요건",매핑!$B$2:$B$1498,$A135)</f>
        <v>1</v>
      </c>
      <c r="D135" s="10" t="inlineStr">
        <is>
          <t>TC-V-7-00</t>
        </is>
      </c>
    </row>
    <row r="136">
      <c r="A136" s="10" t="inlineStr">
        <is>
          <t>V-8</t>
        </is>
      </c>
      <c r="B136" s="10" t="inlineStr">
        <is>
          <t>7.4 화면 정의</t>
        </is>
      </c>
      <c r="C136" s="5">
        <f>COUNTIFS(매핑!$A$2:$A$1498,"요건",매핑!$B$2:$B$1498,$A136)</f>
        <v>3</v>
      </c>
      <c r="D136" s="10" t="inlineStr">
        <is>
          <t>TC-HOME-04-01 · TC-MY-05-06 · TC-V-8-00</t>
        </is>
      </c>
    </row>
    <row r="137">
      <c r="A137" s="10" t="inlineStr">
        <is>
          <t>V-9</t>
        </is>
      </c>
      <c r="B137" s="10" t="inlineStr">
        <is>
          <t>7.4 화면 정의</t>
        </is>
      </c>
      <c r="C137" s="5">
        <f>COUNTIFS(매핑!$A$2:$A$1498,"요건",매핑!$B$2:$B$1498,$A137)</f>
        <v>9</v>
      </c>
      <c r="D137" s="10" t="inlineStr">
        <is>
          <t>TC-INAV-01-21 · TC-BUS-03-10 · TC-1-5-08 · TC-REPORT-01-10 · TC-REPORT-01-18 · TC-2-7-04 · TC-2-7-05 · TC-S2-2-12 · TC-S2-3-10</t>
        </is>
      </c>
    </row>
  </sheetData>
  <autoFilter ref="A1:D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2026-09-14T04:38:56Z</dcterms:created>
  <dcterms:modified xmlns:dcterms="http://purl.org/dc/terms/" xmlns:xsi="http://www.w3.org/2001/XMLSchema-instance" xsi:type="dcterms:W3CDTF">2026-09-14T04:38:56Z</dcterms:modified>
</cp:coreProperties>
</file>