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26A90621-87C4-6C01-FD6A-EE6E7C140903}"/>
  <workbookPr codeName="ThisWorkbook"/>
  <mc:AlternateContent xmlns:mc="http://schemas.openxmlformats.org/markup-compatibility/2006">
    <mc:Choice Requires="x15">
      <x15ac:absPath xmlns:x15ac="http://schemas.microsoft.com/office/spreadsheetml/2010/11/ac" url="/Users/jwpark/Projects/Seoul_Donghaeng/Documents/WBS/"/>
    </mc:Choice>
  </mc:AlternateContent>
  <xr:revisionPtr revIDLastSave="0" documentId="13_ncr:1_{059FD5F3-6195-1A44-A38F-FCD456814D26}" xr6:coauthVersionLast="47" xr6:coauthVersionMax="47" xr10:uidLastSave="{00000000-0000-0000-0000-000000000000}"/>
  <bookViews>
    <workbookView xWindow="1080" yWindow="660" windowWidth="29040" windowHeight="15520" tabRatio="636" activeTab="1" xr2:uid="{00000000-000D-0000-FFFF-FFFF00000000}"/>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Schedule!$D$1:$CP$135</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Calendar!$B$5:$B$287</definedName>
    <definedName name="TOTAL_WORKLOAD">Progress!$B$6</definedName>
    <definedName name="UD_CAL1">Calendar!$E$5:$E$287</definedName>
    <definedName name="UD_CAL2">Calendar!$H$5:$H$287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5" i="31" l="1"/>
  <c r="CF5" i="31"/>
  <c r="AG6" i="31"/>
  <c r="AG7" i="31"/>
  <c r="AG8" i="31"/>
  <c r="AG9" i="31"/>
  <c r="AG10" i="31"/>
  <c r="AP11" i="31"/>
  <c r="CE11" i="31"/>
  <c r="AP12" i="31"/>
  <c r="AT13" i="31"/>
  <c r="AY14" i="31"/>
  <c r="BE15" i="31"/>
  <c r="BG16" i="31"/>
  <c r="BL17" i="31"/>
  <c r="BP18" i="31"/>
  <c r="BX19" i="31"/>
  <c r="BY20" i="31"/>
  <c r="CC21" i="31"/>
  <c r="CE22" i="31"/>
  <c r="CC23" i="31"/>
  <c r="CF23" i="31"/>
  <c r="CC24" i="31"/>
  <c r="CD25" i="31"/>
  <c r="CE26" i="31"/>
  <c r="AI28" i="31"/>
  <c r="BK28" i="31"/>
  <c r="AO29" i="31"/>
  <c r="AM30" i="31"/>
  <c r="AP31" i="31"/>
  <c r="AP32" i="31"/>
  <c r="AQ33" i="31"/>
  <c r="AJ34" i="31"/>
  <c r="BE34" i="31"/>
  <c r="AO35" i="31"/>
  <c r="AN36" i="31"/>
  <c r="AN37" i="31"/>
  <c r="AN38" i="31"/>
  <c r="AN39" i="31"/>
  <c r="AN40" i="31"/>
  <c r="AP41" i="31"/>
  <c r="AP42" i="31"/>
  <c r="AK43" i="31"/>
  <c r="AR44" i="31"/>
  <c r="AT45" i="31"/>
  <c r="BE45" i="31"/>
  <c r="AT46" i="31"/>
  <c r="BE46" i="31"/>
  <c r="AT47" i="31"/>
  <c r="BE47" i="31"/>
  <c r="AT48" i="31"/>
  <c r="BE48" i="31"/>
  <c r="AT49" i="31"/>
  <c r="BE49" i="31"/>
  <c r="AT50" i="31"/>
  <c r="BE50" i="31"/>
  <c r="BC51" i="31"/>
  <c r="AR52" i="31"/>
  <c r="AT53" i="31"/>
  <c r="BK53" i="31"/>
  <c r="AT54" i="31"/>
  <c r="BE54" i="31"/>
  <c r="AT55" i="31"/>
  <c r="AT56" i="31"/>
  <c r="BE56" i="31"/>
  <c r="AT57" i="31"/>
  <c r="BE57" i="31"/>
  <c r="AT58" i="31"/>
  <c r="BE58" i="31"/>
  <c r="AU59" i="31"/>
  <c r="BE59" i="31"/>
  <c r="AT60" i="31"/>
  <c r="BE60" i="31"/>
  <c r="AT61" i="31"/>
  <c r="BE61" i="31"/>
  <c r="AU62" i="31"/>
  <c r="BE62" i="31"/>
  <c r="AT63" i="31"/>
  <c r="BE63" i="31"/>
  <c r="AT64" i="31"/>
  <c r="BE64" i="31"/>
  <c r="AU65" i="31"/>
  <c r="BE65" i="31"/>
  <c r="AT66" i="31"/>
  <c r="BE66" i="31"/>
  <c r="AT67" i="31"/>
  <c r="BE67" i="31"/>
  <c r="AU68" i="31"/>
  <c r="BE68" i="31"/>
  <c r="AT69" i="31"/>
  <c r="BE69" i="31"/>
  <c r="AT70" i="31"/>
  <c r="BE70" i="31"/>
  <c r="AU71" i="31"/>
  <c r="BE71" i="31"/>
  <c r="BC72" i="31"/>
  <c r="BC73" i="31"/>
  <c r="BC74" i="31"/>
  <c r="BG75" i="31"/>
  <c r="BK75" i="31"/>
  <c r="BG76" i="31"/>
  <c r="BH77" i="31"/>
  <c r="BK77" i="31"/>
  <c r="AT78" i="31"/>
  <c r="AT79" i="31"/>
  <c r="BI80" i="31"/>
  <c r="CB80" i="31"/>
  <c r="BI81" i="31"/>
  <c r="CB81" i="31"/>
  <c r="BI82" i="31"/>
  <c r="CB82" i="31"/>
  <c r="BI83" i="31"/>
  <c r="CB83" i="31"/>
  <c r="BI84" i="31"/>
  <c r="CB84" i="31"/>
  <c r="BI85" i="31"/>
  <c r="CB85" i="31"/>
  <c r="BJ86" i="31"/>
  <c r="CB86" i="31"/>
  <c r="BI87" i="31"/>
  <c r="CB87" i="31"/>
  <c r="BI88" i="31"/>
  <c r="CB88" i="31"/>
  <c r="BJ89" i="31"/>
  <c r="CB89" i="31"/>
  <c r="BI90" i="31"/>
  <c r="CB90" i="31"/>
  <c r="BI91" i="31"/>
  <c r="CB91" i="31"/>
  <c r="BJ92" i="31"/>
  <c r="CB92" i="31"/>
  <c r="BI93" i="31"/>
  <c r="CB93" i="31"/>
  <c r="BI94" i="31"/>
  <c r="CB94" i="31"/>
  <c r="BJ95" i="31"/>
  <c r="CB95" i="31"/>
  <c r="BI96" i="31"/>
  <c r="CB96" i="31"/>
  <c r="BI97" i="31"/>
  <c r="CB97" i="31"/>
  <c r="BI98" i="31"/>
  <c r="BS98" i="31"/>
  <c r="BJ99" i="31"/>
  <c r="CB99" i="31"/>
  <c r="BI100" i="31"/>
  <c r="CB100" i="31"/>
  <c r="BI101" i="31"/>
  <c r="CB101" i="31"/>
  <c r="BJ102" i="31"/>
  <c r="CB102" i="31"/>
  <c r="BI103" i="31"/>
  <c r="CB103" i="31"/>
  <c r="BI104" i="31"/>
  <c r="CB104" i="31"/>
  <c r="BJ105" i="31"/>
  <c r="CB105" i="31"/>
  <c r="AN109" i="31"/>
  <c r="BI109" i="31"/>
  <c r="AO110" i="31"/>
  <c r="AM111" i="31"/>
  <c r="AN112" i="31"/>
  <c r="AO113" i="31"/>
  <c r="AP114" i="31"/>
  <c r="AP115" i="31"/>
  <c r="BI115" i="31"/>
  <c r="AP116" i="31"/>
  <c r="AS116" i="31"/>
  <c r="AR117" i="31"/>
  <c r="AU117" i="31"/>
  <c r="AV118" i="31"/>
  <c r="AY119" i="31"/>
  <c r="AZ120" i="31"/>
  <c r="BC121" i="31"/>
  <c r="BF121" i="31"/>
  <c r="BD122" i="31"/>
  <c r="BG122" i="31"/>
  <c r="BE123" i="31"/>
  <c r="BI123" i="31"/>
  <c r="BA124" i="31"/>
  <c r="CD124" i="31"/>
  <c r="BA125" i="31"/>
  <c r="BE125" i="31"/>
  <c r="BA126" i="31"/>
  <c r="BE126" i="31"/>
  <c r="BF127" i="31"/>
  <c r="CD127" i="31"/>
  <c r="BF128" i="31"/>
  <c r="BK128" i="31"/>
  <c r="BF129" i="31"/>
  <c r="BF130" i="31"/>
  <c r="BJ131" i="31"/>
  <c r="BJ132" i="31"/>
  <c r="CD132" i="31"/>
  <c r="CD133" i="31"/>
  <c r="CD134" i="31"/>
  <c r="BJ135" i="31"/>
  <c r="L21" i="4" l="1"/>
  <c r="L20" i="4"/>
  <c r="L19" i="4"/>
  <c r="L18" i="4"/>
  <c r="L17" i="4"/>
  <c r="L16" i="4"/>
  <c r="L15" i="4"/>
  <c r="L14" i="4"/>
  <c r="L13" i="4"/>
  <c r="L12" i="4"/>
  <c r="L11" i="4"/>
  <c r="L10" i="4"/>
  <c r="L9" i="4"/>
  <c r="L8" i="4"/>
  <c r="L7" i="4"/>
  <c r="I22" i="4"/>
  <c r="I24" i="4" s="1"/>
  <c r="H22" i="4"/>
  <c r="H24" i="4" s="1"/>
  <c r="G22" i="4"/>
  <c r="G24" i="4" s="1"/>
  <c r="B24" i="3"/>
  <c r="J24" i="4" l="1"/>
  <c r="K24" i="4"/>
  <c r="L24" i="4" s="1"/>
  <c r="J22" i="4"/>
  <c r="K22" i="4"/>
  <c r="L22"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AC1" i="31" a="1"/>
  <c r="D1" i="31" a="1"/>
  <c r="D1" i="31" l="1"/>
  <c r="AC1" i="3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<sst xmlns="http://schemas.openxmlformats.org/spreadsheetml/2006/main" count="2855" uniqueCount="1817">
  <si>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</si>
  <si>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</si>
  <si>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</si>
  <si>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</si>
  <si>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</si>
  <si>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</si>
  <si>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</si>
  <si>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</si>
  <si>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</si>
  <si>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</si>
  <si>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</si>
  <si>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</si>
  <si>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</si>
  <si>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</si>
  <si>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</si>
  <si>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</si>
  <si>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</si>
  <si>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</si>
  <si>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</si>
  <si>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</si>
  <si>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</si>
  <si>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</si>
  <si>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</si>
  <si>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</si>
  <si>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</si>
  <si>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</si>
  <si>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</si>
  <si>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</si>
  <si>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</si>
  <si>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</si>
  <si>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</si>
  <si>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</si>
  <si>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</si>
  <si>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</si>
  <si>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</si>
  <si>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</si>
  <si>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</si>
  <si>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</si>
  <si>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</si>
  <si>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</si>
  <si>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</si>
  <si>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</si>
  <si>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</si>
  <si>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</si>
  <si>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</si>
  <si>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</si>
  <si>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</si>
  <si>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</si>
  <si>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</si>
  <si>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</si>
  <si>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</si>
  <si>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</si>
  <si>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</si>
  <si>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</si>
  <si>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</si>
  <si>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</si>
  <si>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</si>
  <si>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</si>
  <si>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</si>
  <si>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</si>
  <si>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</si>
  <si>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</si>
  <si>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</si>
  <si>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</si>
  <si>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</si>
  <si>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</si>
  <si>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</si>
  <si>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</si>
  <si>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</si>
  <si>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</si>
  <si>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</si>
  <si>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</si>
  <si>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</si>
  <si>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</si>
  <si>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</si>
  <si>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</si>
  <si>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</si>
  <si>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</si>
  <si>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</si>
  <si>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</si>
  <si>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</si>
  <si>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</si>
  <si>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</si>
  <si>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</si>
  <si>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</si>
  <si>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</si>
  <si>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</si>
  <si>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</si>
  <si>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</si>
  <si>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</si>
  <si>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</si>
  <si>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</si>
  <si>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</si>
  <si>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</si>
  <si>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</si>
  <si>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</si>
  <si>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</si>
  <si>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</si>
  <si>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</si>
  <si>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</si>
  <si>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</si>
  <si>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</si>
  <si>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</si>
  <si>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</si>
  <si>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</si>
  <si>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</si>
  <si>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</si>
  <si>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</si>
  <si>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</si>
  <si>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</si>
  <si>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</si>
  <si>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</si>
  <si>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</si>
  <si>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</si>
  <si>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</si>
  <si>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</si>
  <si>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</si>
  <si>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</si>
  <si>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</si>
  <si>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</si>
  <si>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</si>
  <si>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</si>
  <si>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</si>
  <si>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</si>
  <si>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</si>
  <si>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</si>
  <si>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</si>
  <si>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</si>
  <si>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</si>
  <si>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</si>
  <si>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</si>
  <si>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</si>
  <si>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</si>
  <si>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</si>
  <si>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</si>
  <si>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</si>
  <si>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</si>
  <si>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</si>
  <si>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</si>
  <si>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</si>
  <si>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</si>
  <si>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</si>
  <si>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</si>
  <si>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</si>
  <si>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</si>
  <si>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</si>
  <si>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</si>
  <si>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</si>
  <si>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</si>
  <si>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</si>
  <si>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</si>
  <si>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</si>
  <si>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</si>
  <si>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</si>
  <si>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</si>
  <si>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</si>
  <si>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</si>
  <si>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</si>
  <si>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</si>
  <si>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</si>
  <si>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</si>
  <si>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</si>
  <si>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</si>
  <si>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</si>
  <si>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</si>
  <si>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</si>
  <si>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</si>
  <si>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</si>
  <si>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</si>
  <si>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</si>
  <si>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</si>
  <si>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</si>
  <si>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</si>
  <si>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</si>
  <si>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</si>
  <si>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</si>
  <si>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</si>
  <si>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</si>
  <si>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</si>
  <si>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</si>
  <si>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</si>
  <si>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</si>
  <si>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</si>
  <si>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</si>
  <si>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</si>
  <si>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</si>
  <si>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</si>
  <si>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</si>
  <si>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</si>
  <si>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</si>
  <si>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</si>
  <si>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</si>
  <si>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</si>
  <si>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</si>
  <si>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</si>
  <si>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</si>
  <si>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</si>
  <si>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</si>
  <si>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</si>
  <si>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</si>
  <si>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</si>
  <si>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</si>
  <si>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</si>
  <si>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</si>
  <si>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</si>
  <si>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</si>
  <si>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</si>
  <si>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</si>
  <si>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</si>
  <si>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</si>
  <si>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</si>
  <si>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</si>
  <si>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</si>
  <si>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</si>
  <si>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</si>
  <si>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</si>
  <si>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</si>
  <si>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</si>
  <si>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</si>
  <si>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</si>
  <si>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</si>
  <si>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</si>
  <si>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</si>
  <si>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</si>
  <si>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</si>
  <si>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</si>
  <si>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</si>
  <si>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</si>
  <si>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</si>
  <si>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</si>
  <si>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</si>
  <si>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</si>
  <si>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</si>
  <si>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</si>
  <si>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</si>
  <si>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</si>
  <si>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</si>
  <si>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</si>
  <si>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</si>
  <si>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</si>
  <si>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</si>
  <si>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</si>
  <si>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</si>
  <si>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</si>
  <si>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</si>
  <si>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</si>
  <si>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</si>
  <si>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</si>
  <si>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</si>
  <si>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</si>
  <si>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</si>
  <si>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</si>
  <si>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</si>
  <si>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</si>
  <si>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</si>
  <si>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</si>
  <si>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</si>
  <si>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</si>
  <si>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</si>
  <si>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</si>
  <si>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</si>
  <si>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</si>
  <si>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</si>
  <si>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</si>
  <si>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</si>
  <si>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</si>
  <si>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</si>
  <si>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</si>
  <si>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</si>
  <si>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</si>
  <si>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</si>
  <si>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</si>
  <si>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</si>
  <si>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</si>
  <si>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</si>
  <si>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</si>
  <si>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</si>
  <si>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</si>
  <si>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</si>
  <si>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</si>
  <si>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</si>
  <si>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</si>
  <si>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</si>
  <si>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</si>
  <si>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</si>
  <si>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</si>
  <si>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</si>
  <si>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</si>
  <si>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</si>
  <si>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</si>
  <si>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</si>
  <si>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</si>
  <si>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</si>
  <si>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</si>
  <si>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</si>
  <si>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</si>
  <si>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</si>
  <si>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</si>
  <si>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</si>
  <si>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</si>
  <si>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</si>
  <si>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</si>
  <si>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</si>
  <si>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</si>
  <si>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</si>
  <si>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</si>
  <si>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</si>
  <si>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</si>
  <si>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</si>
  <si>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</si>
  <si>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</si>
  <si>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</si>
  <si>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</si>
  <si>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</si>
  <si>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</si>
  <si>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</si>
  <si>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</si>
  <si>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</si>
  <si>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</si>
  <si>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</si>
  <si>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</si>
  <si>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</si>
  <si>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</si>
  <si>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</si>
  <si>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[EMAIL]</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</si>
  <si>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</si>
  <si>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</si>
  <si>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</si>
  <si>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</si>
  <si>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</si>
  <si>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</si>
  <si>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</si>
  <si>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</si>
  <si>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</si>
  <si>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</si>
  <si>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</si>
  <si>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</si>
  <si>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</si>
  <si>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</si>
  <si>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</si>
  <si>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</si>
  <si>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</si>
  <si>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</si>
  <si>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</si>
  <si>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</si>
  <si>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</si>
  <si>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</si>
  <si>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</si>
  <si>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</si>
  <si>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</si>
  <si>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</si>
  <si>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</si>
  <si>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</si>
  <si>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</si>
  <si>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</si>
  <si>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</si>
  <si>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</si>
  <si>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</si>
  <si>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</si>
  <si>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</si>
  <si>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</si>
  <si>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</si>
  <si>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</si>
  <si>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</si>
  <si>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</si>
  <si>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</si>
  <si>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</si>
  <si>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</si>
  <si>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</si>
  <si>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</si>
  <si>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</si>
  <si>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</si>
  <si>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</si>
  <si>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</si>
  <si>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</si>
  <si>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</si>
  <si>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</si>
  <si>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</si>
  <si>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</si>
  <si>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</si>
  <si>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</si>
  <si>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</si>
  <si>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</si>
  <si>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</si>
  <si>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</si>
  <si>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</si>
  <si>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</si>
  <si>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</si>
  <si>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</si>
  <si>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</si>
  <si>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</si>
  <si>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</si>
  <si>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</si>
  <si>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</si>
  <si>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</si>
  <si>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</si>
  <si>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</si>
  <si>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</si>
  <si>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</si>
  <si>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</si>
  <si>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</si>
  <si>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</si>
  <si>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</si>
  <si>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</si>
  <si>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</si>
  <si>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</si>
  <si>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</si>
  <si>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</si>
  <si>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</si>
  <si>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</si>
  <si>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</si>
  <si>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</si>
  <si>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</si>
  <si>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</si>
  <si>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</si>
  <si>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</si>
  <si>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</si>
  <si>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</si>
  <si>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</si>
  <si>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</si>
  <si>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</si>
  <si>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</si>
  <si>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</si>
  <si>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</si>
  <si>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</si>
  <si>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</si>
  <si>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</si>
  <si>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</si>
  <si>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</si>
  <si>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</si>
  <si>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</si>
  <si>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</si>
  <si>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</si>
  <si>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</si>
  <si>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</si>
  <si>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</si>
  <si>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</si>
  <si>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</si>
  <si>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</si>
  <si>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</si>
  <si>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</si>
  <si>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</si>
  <si>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</si>
  <si>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</si>
  <si>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</si>
  <si>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</si>
  <si>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</si>
  <si>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</si>
  <si>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</si>
  <si>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</si>
  <si>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</si>
  <si>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</si>
  <si>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</si>
  <si>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</si>
  <si>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</si>
  <si>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</si>
  <si>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</si>
  <si>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</si>
  <si>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</si>
  <si>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</si>
  <si>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</si>
  <si>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</si>
  <si>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</si>
  <si>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</si>
  <si>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</si>
  <si>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</si>
  <si>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</si>
  <si>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</si>
  <si>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</si>
  <si>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</si>
  <si>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</si>
  <si>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</si>
  <si>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</si>
  <si>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</si>
  <si>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</si>
  <si>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</si>
  <si>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</si>
  <si>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</si>
  <si>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</si>
  <si>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</si>
  <si>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</si>
  <si>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</si>
  <si>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</si>
  <si>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</si>
  <si>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</si>
  <si>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</si>
  <si>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</si>
  <si>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</si>
  <si>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</si>
  <si>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</si>
  <si>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</si>
  <si>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</si>
  <si>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</si>
  <si>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</si>
  <si>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</si>
  <si>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</si>
  <si>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</si>
  <si>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</si>
  <si>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</si>
  <si>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</si>
  <si>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</si>
  <si>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</si>
  <si>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</si>
  <si>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</si>
  <si>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</si>
  <si>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</si>
  <si>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</si>
  <si>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</si>
  <si>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</si>
  <si>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</si>
  <si>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</si>
  <si>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</si>
  <si>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</si>
  <si>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</si>
  <si>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</si>
  <si>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</si>
  <si>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</si>
  <si>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</si>
  <si>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</si>
  <si>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</si>
  <si>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</si>
  <si>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</si>
  <si>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</si>
  <si>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</si>
  <si>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</si>
  <si>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</si>
  <si>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</si>
  <si>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</si>
  <si>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</si>
  <si>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</si>
  <si>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</si>
  <si>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</si>
  <si>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</si>
  <si>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</si>
  <si>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</si>
  <si>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</si>
  <si>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</si>
  <si>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</si>
  <si>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</si>
  <si>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</si>
  <si>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</si>
  <si>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</si>
  <si>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</si>
  <si>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</si>
  <si>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</si>
  <si>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</si>
  <si>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</si>
  <si>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</si>
  <si>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</si>
  <si>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</si>
  <si>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</si>
  <si>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</si>
  <si>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</si>
  <si>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</si>
  <si>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</si>
  <si>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</si>
  <si>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</si>
  <si>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</si>
  <si>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</si>
  <si>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</si>
  <si>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</si>
  <si>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</si>
  <si>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</si>
  <si>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</si>
  <si>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</si>
  <si>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</si>
  <si>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</si>
  <si>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</si>
  <si>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</si>
  <si>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</si>
  <si>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</si>
  <si>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</si>
  <si>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</si>
  <si>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</si>
  <si>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</si>
  <si>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</si>
  <si>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</si>
  <si>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</si>
  <si>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</si>
  <si>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</si>
  <si>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</si>
  <si>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</si>
  <si>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</si>
  <si>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</si>
  <si>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</si>
  <si>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</si>
  <si>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</si>
  <si>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</si>
  <si>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</si>
  <si>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</si>
  <si>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</si>
  <si>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</si>
  <si>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</si>
  <si>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</si>
  <si>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</si>
  <si>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</si>
  <si>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</si>
  <si>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</si>
  <si>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</si>
  <si>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</si>
  <si>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</si>
  <si>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</si>
  <si>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</si>
  <si>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</si>
  <si>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</si>
  <si>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</si>
  <si>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</si>
  <si>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</si>
  <si>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</si>
  <si>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</si>
  <si>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</si>
  <si>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</si>
  <si>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</si>
  <si>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</si>
  <si>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</si>
  <si>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</si>
  <si>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</si>
  <si>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</si>
  <si>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</si>
  <si>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</si>
  <si>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</si>
  <si>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</si>
  <si>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</si>
  <si>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</si>
  <si>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</si>
  <si>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</si>
  <si>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</si>
  <si>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</si>
  <si>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</si>
  <si>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</si>
  <si>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</si>
  <si>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</si>
  <si>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</si>
  <si>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</si>
  <si>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</si>
  <si>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</si>
  <si>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</si>
  <si>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</si>
  <si>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</si>
  <si>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</si>
  <si>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</si>
  <si>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</si>
  <si>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</si>
  <si>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</si>
  <si>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</si>
  <si>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</si>
  <si>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</si>
  <si>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</si>
  <si>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</si>
  <si>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</si>
  <si>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</si>
  <si>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</si>
  <si>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</si>
  <si>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</si>
  <si>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</si>
  <si>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</si>
  <si>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</si>
  <si>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</si>
  <si>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</si>
  <si>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</si>
  <si>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</si>
  <si>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</si>
  <si>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</si>
  <si>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</si>
  <si>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</si>
  <si>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</si>
  <si>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</si>
  <si>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</si>
  <si>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</si>
  <si>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</si>
  <si>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</si>
  <si>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</si>
  <si>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</si>
  <si>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</si>
  <si>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</si>
  <si>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</si>
  <si>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</si>
  <si>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</si>
  <si>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</si>
  <si>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</si>
  <si>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</si>
  <si>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</si>
  <si>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</si>
  <si>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</si>
  <si>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</si>
  <si>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</si>
  <si>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</si>
  <si>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</si>
  <si>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</si>
  <si>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</si>
  <si>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</si>
  <si>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</si>
  <si>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</si>
  <si>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</si>
  <si>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</si>
  <si>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</si>
  <si>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</si>
  <si>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</si>
  <si>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</si>
  <si>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</si>
  <si>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</si>
  <si>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</si>
  <si>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</si>
  <si>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</si>
  <si>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</si>
  <si>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</si>
  <si>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</si>
  <si>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</si>
  <si>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</si>
  <si>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</si>
  <si>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</si>
  <si>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</si>
  <si>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</si>
  <si>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</si>
  <si>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</si>
  <si>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</si>
  <si>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</si>
  <si>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</si>
  <si>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</si>
  <si>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</si>
  <si>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</si>
  <si>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</si>
  <si>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</si>
  <si>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</si>
  <si>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</si>
  <si>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</si>
  <si>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</si>
  <si>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</si>
  <si>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</si>
  <si>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</si>
  <si>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</si>
  <si>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</si>
  <si>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</si>
  <si>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</si>
  <si>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</si>
  <si>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</si>
  <si>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</si>
  <si>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</si>
  <si>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</si>
  <si>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</si>
  <si>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</si>
  <si>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</si>
  <si>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</si>
  <si>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</si>
  <si>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</si>
  <si>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</si>
  <si>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</si>
  <si>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</si>
  <si>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</si>
  <si>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</si>
  <si>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</si>
  <si>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</si>
  <si>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</si>
  <si>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</si>
  <si>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</si>
  <si>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</si>
  <si>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</si>
  <si>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</si>
  <si>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</si>
  <si>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</si>
  <si>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</si>
  <si>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</si>
  <si>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</si>
  <si>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</si>
  <si>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</si>
  <si>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</si>
  <si>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</si>
  <si>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</si>
  <si>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</si>
  <si>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</si>
  <si>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</si>
  <si>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</si>
  <si>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</si>
  <si>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</si>
  <si>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</si>
  <si>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</si>
  <si>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</si>
  <si>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</si>
  <si>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</si>
  <si>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</si>
  <si>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</si>
  <si>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</si>
  <si>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</si>
  <si>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</si>
  <si>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</si>
  <si>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</si>
  <si>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</si>
  <si>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</si>
  <si>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</si>
  <si>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</si>
  <si>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</si>
  <si>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</si>
  <si>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</si>
  <si>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</si>
  <si>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</si>
  <si>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</si>
  <si>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</si>
  <si>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</si>
  <si>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</si>
  <si>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</si>
  <si>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</si>
  <si>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</si>
  <si>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</si>
  <si>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</si>
  <si>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</si>
  <si>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</si>
  <si>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</si>
  <si>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</si>
  <si>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</si>
  <si>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</si>
  <si>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</si>
  <si>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</si>
  <si>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</si>
  <si>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</si>
  <si>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</si>
  <si>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</si>
  <si>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</si>
  <si>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</si>
  <si>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</si>
  <si>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</si>
  <si>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</si>
  <si>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</si>
  <si>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</si>
  <si>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</si>
  <si>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</si>
  <si>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</si>
  <si>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</si>
  <si>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</si>
  <si>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</si>
  <si>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</si>
  <si>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</si>
  <si>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</si>
  <si>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</si>
  <si>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</si>
  <si>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</si>
  <si>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</si>
  <si>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</si>
  <si>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</si>
  <si>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</si>
  <si>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</si>
  <si>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</si>
  <si>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</si>
  <si>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</si>
  <si>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</si>
  <si>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</si>
  <si>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</si>
  <si>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</si>
  <si>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</si>
  <si>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</si>
  <si>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</si>
  <si>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</si>
  <si>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</si>
  <si>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</si>
  <si>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</si>
  <si>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</si>
  <si>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</si>
  <si>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</si>
  <si>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</si>
  <si>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</si>
  <si>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</si>
  <si>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</si>
  <si>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</si>
  <si>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</si>
  <si>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</si>
  <si>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</si>
  <si>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</si>
  <si>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</si>
  <si>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</si>
  <si>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</si>
  <si>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</si>
  <si>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</si>
  <si>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</si>
  <si>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</si>
  <si>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</si>
  <si>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</si>
  <si>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</si>
  <si>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</si>
  <si>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</si>
  <si>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</si>
  <si>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</si>
  <si>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</si>
  <si>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</si>
  <si>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</si>
  <si>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</si>
  <si>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</si>
  <si>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</si>
  <si>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</si>
  <si>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</si>
  <si>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</si>
  <si>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</si>
  <si>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</si>
  <si>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</si>
  <si>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</si>
  <si>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</si>
  <si>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</si>
  <si>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</si>
  <si>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</si>
  <si>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</si>
  <si>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</si>
  <si>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</si>
  <si>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</si>
  <si>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</si>
  <si>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</si>
  <si>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</si>
  <si>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</si>
  <si>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</si>
  <si>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</si>
  <si>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</si>
  <si>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</si>
  <si>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</si>
  <si>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</si>
  <si>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</si>
  <si>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</si>
  <si>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</si>
  <si>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</si>
  <si>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</si>
  <si>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</si>
  <si>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</si>
  <si>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</si>
  <si>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</si>
  <si>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</si>
  <si>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</si>
  <si>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</si>
  <si>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</si>
  <si>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</si>
  <si>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</si>
  <si>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</si>
  <si>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</si>
  <si>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</si>
  <si>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</si>
  <si>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</si>
  <si>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</si>
  <si>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</si>
  <si>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</si>
  <si>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</si>
  <si>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</si>
  <si>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</si>
  <si>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</si>
  <si>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</si>
  <si>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</si>
  <si>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</si>
  <si>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</si>
  <si>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</si>
  <si>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</si>
  <si>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</si>
  <si>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</si>
  <si>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</si>
  <si>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</si>
  <si>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</si>
  <si>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</si>
  <si>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</si>
  <si>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</si>
  <si>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</si>
  <si>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</si>
  <si>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</si>
  <si>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</si>
  <si>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</si>
  <si>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</si>
  <si>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</si>
  <si>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</si>
  <si>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</si>
  <si>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</si>
  <si>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</si>
  <si>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</si>
  <si>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</si>
  <si>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</si>
  <si>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</si>
  <si>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</si>
  <si>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</si>
  <si>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</si>
  <si>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</si>
  <si>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</si>
  <si>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</si>
  <si>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</si>
  <si>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</si>
  <si>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</si>
  <si>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</si>
  <si>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</si>
  <si>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</si>
  <si>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</si>
  <si>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</si>
  <si>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</si>
  <si>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</si>
  <si>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</si>
  <si>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</si>
  <si>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</si>
  <si>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</si>
  <si>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</si>
  <si>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</si>
  <si>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</si>
  <si>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</si>
  <si>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</si>
  <si>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</si>
  <si>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</si>
  <si>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</si>
  <si>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</si>
  <si>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</si>
  <si>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</si>
  <si>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</si>
  <si>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</si>
  <si>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</si>
  <si>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</si>
  <si>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</si>
  <si>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</si>
  <si>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</si>
  <si>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</si>
  <si>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</si>
  <si>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</si>
  <si>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</si>
  <si>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</si>
  <si>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</si>
  <si>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</si>
  <si>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</si>
  <si>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</si>
  <si>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</si>
  <si>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</si>
  <si>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</si>
  <si>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</si>
  <si>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</si>
  <si>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</si>
  <si>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</si>
  <si>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</si>
  <si>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</si>
  <si>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</si>
  <si>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</si>
  <si>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</si>
  <si>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</si>
  <si>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</si>
  <si>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</si>
  <si>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</si>
  <si>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</si>
  <si>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</si>
  <si>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</si>
  <si>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</si>
  <si>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</si>
  <si>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</si>
  <si>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</si>
  <si>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</si>
  <si>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</si>
  <si>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</si>
  <si>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</si>
  <si>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</si>
  <si>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</si>
  <si>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</si>
  <si>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</si>
  <si>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</si>
  <si>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</si>
  <si>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</si>
  <si>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</si>
  <si>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</si>
  <si>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</si>
  <si>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</si>
  <si>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</si>
  <si>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</si>
  <si>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</si>
  <si>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</si>
  <si>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</si>
  <si>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</si>
  <si>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</si>
  <si>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</si>
  <si>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</si>
  <si>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</si>
  <si>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</si>
  <si>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</si>
  <si>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</si>
  <si>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</si>
  <si>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</si>
  <si>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</si>
  <si>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</si>
  <si>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</si>
  <si>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</si>
  <si>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</si>
  <si>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</si>
  <si>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</si>
  <si>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</si>
  <si>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</si>
  <si>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</si>
  <si>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</si>
  <si>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</si>
  <si>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</si>
  <si>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</si>
  <si>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</si>
  <si>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</si>
  <si>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</si>
  <si>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</si>
  <si>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</si>
  <si>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</si>
  <si>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</si>
  <si>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</si>
  <si>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</si>
  <si>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</si>
  <si>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</si>
  <si>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</si>
  <si>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</si>
  <si>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</si>
  <si>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</si>
  <si>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</si>
  <si>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</si>
  <si>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</si>
  <si>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</si>
  <si>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</si>
  <si>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</si>
  <si>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</si>
  <si>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</si>
  <si>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</si>
  <si>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</si>
  <si>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</si>
  <si>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</si>
  <si>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</si>
  <si>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</si>
  <si>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</si>
  <si>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</si>
  <si>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</si>
  <si>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</si>
  <si>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</si>
  <si>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</si>
  <si>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</si>
  <si>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</si>
  <si>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</si>
  <si>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</si>
  <si>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</si>
  <si>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</si>
  <si>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</si>
  <si>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</si>
  <si>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</si>
  <si>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</si>
  <si>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</si>
  <si>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</si>
  <si>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</si>
  <si>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</si>
  <si>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</si>
  <si>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</si>
  <si>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</si>
  <si>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</si>
  <si>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</si>
  <si>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</si>
  <si>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</si>
  <si>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</si>
  <si>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</si>
  <si>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</si>
  <si>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</si>
  <si>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</si>
  <si>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</si>
  <si>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</si>
  <si>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</si>
  <si>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</si>
  <si>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</si>
  <si>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</si>
  <si>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</si>
  <si>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</si>
  <si>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</si>
  <si>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</si>
  <si>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</si>
  <si>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</si>
  <si>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</si>
  <si>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</si>
  <si>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</si>
  <si>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</si>
  <si>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</si>
  <si>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</si>
  <si>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</si>
  <si>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</si>
  <si>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</si>
  <si>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</si>
  <si>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</si>
  <si>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</si>
  <si>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</si>
  <si>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</si>
  <si>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</si>
  <si>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</si>
  <si>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</si>
  <si>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</si>
  <si>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</si>
  <si>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</si>
  <si>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</si>
  <si>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</si>
  <si>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</si>
  <si>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</si>
  <si>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</si>
  <si>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</si>
  <si>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</si>
  <si>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</si>
  <si>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</si>
  <si>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</si>
  <si>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</si>
  <si>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</si>
  <si>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</si>
  <si>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</si>
  <si>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</si>
  <si>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</si>
  <si>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</si>
  <si>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</si>
  <si>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</si>
  <si>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</si>
  <si>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</si>
  <si>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</si>
  <si>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</si>
  <si>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</si>
  <si>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</si>
  <si>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</si>
  <si>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</si>
  <si>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</si>
  <si>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</si>
  <si>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</si>
  <si>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</si>
  <si>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</si>
  <si>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</si>
  <si>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</si>
  <si>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</si>
  <si>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</si>
  <si>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</si>
  <si>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</si>
  <si>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</si>
  <si>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</si>
  <si>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</si>
  <si>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</si>
  <si>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</si>
  <si>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</si>
  <si>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</si>
  <si>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</si>
  <si>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</si>
  <si>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</si>
  <si>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</si>
  <si>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</si>
  <si>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</si>
  <si>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</si>
  <si>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</si>
  <si>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</si>
  <si>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</si>
  <si>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</si>
  <si>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</si>
  <si>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</si>
  <si>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</si>
  <si>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</si>
  <si>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</si>
  <si>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</si>
  <si>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</si>
  <si>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</si>
  <si>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</si>
  <si>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</si>
  <si>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</si>
  <si>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</si>
  <si>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</si>
  <si>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</si>
  <si>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</si>
  <si>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</si>
  <si>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</si>
  <si>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</si>
  <si>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</si>
  <si>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</si>
  <si>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</si>
  <si>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</si>
  <si>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</si>
  <si>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</si>
  <si>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</si>
  <si>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</si>
  <si>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</si>
  <si>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</si>
  <si>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</si>
  <si>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</si>
  <si>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</si>
  <si>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</si>
  <si>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</si>
  <si>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</si>
  <si>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</si>
  <si>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</si>
  <si>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</si>
  <si>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</si>
  <si>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</si>
  <si>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</si>
  <si>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</si>
  <si>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</si>
  <si>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</si>
  <si>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</si>
  <si>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</si>
  <si>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</si>
  <si>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</si>
  <si>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</si>
  <si>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</si>
  <si>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</si>
  <si>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</si>
  <si>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</si>
  <si>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</si>
  <si>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</si>
  <si>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</si>
  <si>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</si>
  <si>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</si>
  <si>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</si>
  <si>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</si>
  <si>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</si>
  <si>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</si>
  <si>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</si>
  <si>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</si>
  <si>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</si>
  <si>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</si>
  <si>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</si>
  <si>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</si>
  <si>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</si>
  <si>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</si>
  <si>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</si>
  <si>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</si>
  <si>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</si>
  <si>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</si>
  <si>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</si>
  <si>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</si>
  <si>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</si>
  <si>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</si>
  <si>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</si>
  <si>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</si>
  <si>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</si>
  <si>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</si>
  <si>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</si>
  <si>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</si>
  <si>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</si>
  <si>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</si>
  <si>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</si>
  <si>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</si>
  <si>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</si>
  <si>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</si>
  <si>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</si>
  <si>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</si>
  <si>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</si>
  <si>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</si>
  <si>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</si>
  <si>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</si>
  <si>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</si>
  <si>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</si>
  <si>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</si>
  <si>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</si>
  <si>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</si>
  <si>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</si>
  <si>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</si>
  <si>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</si>
  <si>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</si>
  <si>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</si>
  <si>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</si>
  <si>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</si>
  <si>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</si>
  <si>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</si>
  <si>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</si>
  <si>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</si>
  <si>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</si>
  <si>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</si>
  <si>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</si>
  <si>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</si>
  <si>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</si>
  <si>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</si>
  <si>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</si>
  <si>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</si>
  <si>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</si>
  <si>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</si>
  <si>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</si>
  <si>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</si>
  <si>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</si>
  <si>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분석</t>
  </si>
  <si>
    <t>1.1.1</t>
  </si>
  <si>
    <t>1.2.1</t>
  </si>
  <si>
    <t>1.2.2</t>
  </si>
  <si>
    <t>논리모델구축</t>
  </si>
  <si>
    <t>설계</t>
  </si>
  <si>
    <t>UI 설계</t>
  </si>
  <si>
    <t>데이터베이스설계</t>
  </si>
  <si>
    <t>테스트 설계</t>
  </si>
  <si>
    <t>1.1.2</t>
  </si>
  <si>
    <t>1.2.3</t>
  </si>
  <si>
    <t>1.2.4</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</si>
  <si>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</si>
  <si>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</si>
  <si>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</si>
  <si>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</si>
  <si>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</si>
  <si>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</si>
  <si>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</si>
  <si>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</si>
  <si>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</si>
  <si>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</si>
  <si>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</si>
  <si>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</si>
  <si>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</si>
  <si>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</si>
  <si>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</si>
  <si>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</si>
  <si>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</si>
  <si>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</si>
  <si>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</si>
  <si>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</si>
  <si>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</si>
  <si>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</si>
  <si>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</si>
  <si>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</si>
  <si>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</si>
  <si>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</si>
  <si>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</si>
  <si>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</si>
  <si>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</si>
  <si>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</si>
  <si>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</si>
  <si>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</si>
  <si>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</si>
  <si>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</si>
  <si>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</si>
  <si>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</si>
  <si>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</si>
  <si>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</si>
  <si>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</si>
  <si>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</si>
  <si>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</si>
  <si>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</si>
  <si>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</si>
  <si>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</si>
  <si>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</si>
  <si>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</si>
  <si>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</si>
  <si>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</si>
  <si>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2026년 설날</t>
  </si>
  <si>
    <t>2026년 설 연휴</t>
  </si>
  <si>
    <t>2026년 어린이날</t>
  </si>
  <si>
    <t>2026년 추석 연휴</t>
  </si>
  <si>
    <t>2026년 추석</t>
  </si>
  <si>
    <t>2026년 한글날</t>
  </si>
  <si>
    <t>2026년 신정</t>
  </si>
  <si>
    <t>2026년 성탄절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</si>
  <si>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</si>
  <si>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</si>
  <si>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</si>
  <si>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</si>
  <si>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</si>
  <si>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</si>
  <si>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</si>
  <si>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</si>
  <si>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</si>
  <si>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</si>
  <si>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</si>
  <si>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</si>
  <si>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</si>
  <si>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</si>
  <si>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</si>
  <si>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</si>
  <si>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</si>
  <si>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프로젝트 관리</t>
  </si>
  <si>
    <t>프로젝트 착수 및 계획수립</t>
  </si>
  <si>
    <t>프로젝트,착수</t>
  </si>
  <si>
    <t>프로젝트 범위정의</t>
  </si>
  <si>
    <t>1.1.2.1</t>
  </si>
  <si>
    <t>프로젝트 계획 수립</t>
  </si>
  <si>
    <t>1;6</t>
  </si>
  <si>
    <t>1.1.2.2</t>
  </si>
  <si>
    <t>착수보고(Kick off)</t>
  </si>
  <si>
    <t>프로젝트 수행 및 통제</t>
  </si>
  <si>
    <t>중간보고</t>
  </si>
  <si>
    <t>프로젝트 종료</t>
  </si>
  <si>
    <t>1.3.1</t>
  </si>
  <si>
    <t>종료계획수립</t>
  </si>
  <si>
    <t>1.3.2</t>
  </si>
  <si>
    <t>시스템 인수인계</t>
  </si>
  <si>
    <t>1.3.3</t>
  </si>
  <si>
    <t>1;16</t>
  </si>
  <si>
    <t>검수 및 종료</t>
  </si>
  <si>
    <t>2.1.1</t>
  </si>
  <si>
    <t>2.1.2</t>
  </si>
  <si>
    <t>2.1.2.1</t>
  </si>
  <si>
    <t>데이터모델링</t>
  </si>
  <si>
    <t>2.2.1</t>
  </si>
  <si>
    <t>2.2.2</t>
  </si>
  <si>
    <t>시스템 설계</t>
  </si>
  <si>
    <t>2.2.2.1</t>
  </si>
  <si>
    <t>Architecture설계</t>
  </si>
  <si>
    <t>2.2.2.2</t>
  </si>
  <si>
    <t>2.2.3</t>
  </si>
  <si>
    <t>개발</t>
  </si>
  <si>
    <t>2.3.1</t>
  </si>
  <si>
    <t>프로그램 개발</t>
  </si>
  <si>
    <t>2.3.1.1</t>
  </si>
  <si>
    <t>단위테스트시나리오작성</t>
  </si>
  <si>
    <t>2.3.1.2</t>
  </si>
  <si>
    <t>프로그램코딩 및 단위테스트</t>
  </si>
  <si>
    <t>2.3.1.2.1</t>
  </si>
  <si>
    <t>2.3.1.2.1.1</t>
  </si>
  <si>
    <t>2.3.1.2.1.2</t>
  </si>
  <si>
    <t>2.3.1.2.2</t>
  </si>
  <si>
    <t>2.3.1.2.3</t>
  </si>
  <si>
    <t>2.3.1.2.4</t>
  </si>
  <si>
    <t>2.3.2</t>
  </si>
  <si>
    <t>테스트실시</t>
  </si>
  <si>
    <t>2.3.2.1</t>
  </si>
  <si>
    <t>통합테스트실시</t>
  </si>
  <si>
    <t>2.3.2.2</t>
  </si>
  <si>
    <t>시스템테스트실시</t>
  </si>
  <si>
    <t>2.4.1</t>
  </si>
  <si>
    <t>W13</t>
  </si>
  <si>
    <t>W17</t>
  </si>
  <si>
    <t>W21</t>
  </si>
  <si>
    <t>1.3</t>
  </si>
  <si>
    <t>2</t>
  </si>
  <si>
    <t>2.1</t>
  </si>
  <si>
    <t>2.2</t>
  </si>
  <si>
    <t>2.3</t>
  </si>
  <si>
    <t>2.4</t>
  </si>
  <si>
    <t>06/21
W26</t>
  </si>
  <si>
    <t>07/19
W30</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</si>
  <si>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</si>
  <si>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</si>
  <si>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</si>
  <si>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</si>
  <si>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</si>
  <si>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</si>
  <si>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</si>
  <si>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</si>
  <si>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</si>
  <si>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</si>
  <si>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</si>
  <si>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</si>
  <si>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</si>
  <si>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</si>
  <si>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</si>
  <si>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</si>
  <si>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</si>
  <si>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</si>
  <si>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</si>
  <si>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</si>
  <si>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</si>
  <si>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</si>
  <si>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</si>
  <si>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</si>
  <si>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</si>
  <si>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</si>
  <si>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</si>
  <si>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</si>
  <si>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</si>
  <si>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</si>
  <si>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</si>
  <si>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</si>
  <si>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</si>
  <si>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</si>
  <si>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</si>
  <si>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</si>
  <si>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</si>
  <si>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</si>
  <si>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</si>
  <si>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</si>
  <si>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</si>
  <si>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</si>
  <si>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</si>
  <si>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</si>
  <si>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</si>
  <si>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</si>
  <si>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</si>
  <si>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</si>
  <si>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</si>
  <si>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</si>
  <si>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</si>
  <si>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</si>
  <si>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</si>
  <si>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</si>
  <si>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</si>
  <si>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</si>
  <si>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</si>
  <si>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</si>
  <si>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</si>
  <si>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</si>
  <si>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</si>
  <si>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</si>
  <si>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</si>
  <si>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</si>
  <si>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</si>
  <si>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</si>
  <si>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</si>
  <si>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</si>
  <si>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</si>
  <si>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</si>
  <si>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</si>
  <si>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</si>
  <si>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</si>
  <si>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</si>
  <si>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</si>
  <si>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</si>
  <si>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</si>
  <si>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</si>
  <si>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</si>
  <si>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</si>
  <si>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</si>
  <si>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</si>
  <si>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</si>
  <si>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</si>
  <si>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</si>
  <si>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</si>
  <si>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</si>
  <si>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</si>
  <si>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</si>
  <si>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</si>
  <si>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</si>
  <si>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</si>
  <si>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</si>
  <si>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</si>
  <si>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</si>
  <si>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</si>
  <si>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</si>
  <si>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</si>
  <si>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</si>
  <si>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</si>
  <si>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</si>
  <si>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</si>
  <si>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</si>
  <si>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</si>
  <si>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</si>
  <si>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</si>
  <si>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</si>
  <si>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</si>
  <si>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</si>
  <si>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</si>
  <si>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</si>
  <si>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</si>
  <si>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</si>
  <si>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</si>
  <si>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</si>
  <si>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</si>
  <si>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</si>
  <si>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</si>
  <si>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</si>
  <si>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담당</t>
  </si>
  <si>
    <t>서울 동행맵 고도화 구축 용역</t>
    <phoneticPr fontId="1" type="noConversion"/>
  </si>
  <si>
    <t>08/16
W34</t>
  </si>
  <si>
    <t>09/13
W38</t>
  </si>
  <si>
    <t>10/11
W42</t>
  </si>
  <si>
    <t>11/08
W46</t>
  </si>
  <si>
    <t>12/06
W50</t>
  </si>
  <si>
    <t>W25</t>
  </si>
  <si>
    <t>2027
W2</t>
  </si>
  <si>
    <t>W29</t>
  </si>
  <si>
    <t>01/31
W6</t>
  </si>
  <si>
    <t>W33</t>
  </si>
  <si>
    <t>02/28
W10</t>
  </si>
  <si>
    <t>W37</t>
  </si>
  <si>
    <t>03/28
W14</t>
  </si>
  <si>
    <t>W41</t>
  </si>
  <si>
    <t>04/25
W18</t>
  </si>
  <si>
    <t>W45</t>
  </si>
  <si>
    <t>05/23
W22</t>
  </si>
  <si>
    <t>W49</t>
  </si>
  <si>
    <t>06/20
W26</t>
  </si>
  <si>
    <t>W53</t>
  </si>
  <si>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</si>
  <si>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1.2.5</t>
  </si>
  <si>
    <t>1.2.6</t>
  </si>
  <si>
    <t>1.2.7</t>
  </si>
  <si>
    <t>1.2.8</t>
  </si>
  <si>
    <t>1.2.9</t>
  </si>
  <si>
    <t>1.2.10</t>
  </si>
  <si>
    <t>1.2.11</t>
  </si>
  <si>
    <t>1.2.12</t>
  </si>
  <si>
    <t xml:space="preserve">월간보고(2026.07) </t>
  </si>
  <si>
    <t>월간보고(2026.08)</t>
  </si>
  <si>
    <t>월간보고(2026.09)</t>
  </si>
  <si>
    <t>월간보고(2026.10)</t>
  </si>
  <si>
    <t>월간보고(2026.12)</t>
  </si>
  <si>
    <t>월간보고(2027.01)</t>
  </si>
  <si>
    <t>월간보고(2027.02)</t>
  </si>
  <si>
    <t>월간보고(2027.03)</t>
  </si>
  <si>
    <t>월간보고(2027.04)</t>
  </si>
  <si>
    <t>월간보고(2027.05)</t>
  </si>
  <si>
    <t>완료보고</t>
  </si>
  <si>
    <t>담당별_x000D_
진행률</t>
  </si>
  <si>
    <t>작업</t>
  </si>
  <si>
    <t>자원배정비율</t>
  </si>
  <si>
    <t>총작업량(A)_x000D_
Man-day</t>
  </si>
  <si>
    <t>계획작업량(B)_x000D_
Man-day</t>
  </si>
  <si>
    <t>실적기성( C )_x000D_
Man-day</t>
  </si>
  <si>
    <t>계획(B/A)</t>
  </si>
  <si>
    <t>실적(C/A)</t>
  </si>
  <si>
    <t>차이(실적-계획)</t>
  </si>
  <si>
    <t>(담당자미지정)</t>
  </si>
  <si>
    <t>(담당자미지정) 요약</t>
  </si>
  <si>
    <t>총합계</t>
  </si>
  <si>
    <t>관리자페이지 UI 설계</t>
  </si>
  <si>
    <t>1단계 시스템 개발</t>
  </si>
  <si>
    <t>2단계 시스템 개발</t>
  </si>
  <si>
    <t>2.2.1.1</t>
  </si>
  <si>
    <t>2.2.1.2</t>
  </si>
  <si>
    <t>3</t>
  </si>
  <si>
    <t>3.1</t>
  </si>
  <si>
    <t>3.1.1</t>
  </si>
  <si>
    <t>3.1.2</t>
  </si>
  <si>
    <t>3.1.2.1</t>
  </si>
  <si>
    <t>현행 DB 수집/분석</t>
  </si>
  <si>
    <t>2.1.2.2</t>
  </si>
  <si>
    <t>교통약자 도보 내비게이션 기능 설계</t>
  </si>
  <si>
    <t>지하철 실내 내비게이션 기능 설계</t>
  </si>
  <si>
    <t>동행맵 APP 설계</t>
  </si>
  <si>
    <t>2.2.1.1.1</t>
  </si>
  <si>
    <t>2.2.1.1.2</t>
  </si>
  <si>
    <t>2.2.1.1.3</t>
  </si>
  <si>
    <t>2.2.1.1.4</t>
  </si>
  <si>
    <t>APP UI 설계</t>
  </si>
  <si>
    <t>교통약자 도보 내비게이션 UI 설계</t>
  </si>
  <si>
    <t>지하철 실내 내비게이션 UI 설계</t>
  </si>
  <si>
    <t>프로세스 설계</t>
  </si>
  <si>
    <t>APP 기본 기능 설계</t>
  </si>
  <si>
    <t>관리자페이지 UI 기능 설계</t>
  </si>
  <si>
    <t>BMS 연계</t>
  </si>
  <si>
    <t>2.2.3.1</t>
  </si>
  <si>
    <t>2.2.3.2</t>
  </si>
  <si>
    <t>2.2.3.3</t>
  </si>
  <si>
    <t>2.2.3.4</t>
  </si>
  <si>
    <t>2.2.3.5</t>
  </si>
  <si>
    <t>2.2.3.6</t>
  </si>
  <si>
    <t>2.2.4</t>
  </si>
  <si>
    <t>교통약자 도보 내비게이션</t>
  </si>
  <si>
    <t>기능 개발</t>
  </si>
  <si>
    <t>단위테스트</t>
  </si>
  <si>
    <t>지하철 실내 내비게이션</t>
  </si>
  <si>
    <t>관리자페이지</t>
  </si>
  <si>
    <t>버스 예약, 승차 및 하차 안내 기능 설계</t>
  </si>
  <si>
    <t>버스 예약, 승차 및 하차 안내</t>
  </si>
  <si>
    <t>시스템 이관</t>
  </si>
  <si>
    <t>자문단 테스트</t>
  </si>
  <si>
    <t>2.3.1.2.2.1</t>
  </si>
  <si>
    <t>2.3.1.2.2.2</t>
  </si>
  <si>
    <t>2.3.1.2.3.1</t>
  </si>
  <si>
    <t>2.3.1.2.3.2</t>
  </si>
  <si>
    <t>2.3.1.2.4.1</t>
  </si>
  <si>
    <t>2.3.1.2.4.2</t>
  </si>
  <si>
    <t>2.3.1.2.5</t>
  </si>
  <si>
    <t>2.3.1.2.5.1</t>
  </si>
  <si>
    <t>2.3.1.2.5.2</t>
  </si>
  <si>
    <t>2.3.1.2.6</t>
  </si>
  <si>
    <t>2.3.1.2.6.1</t>
  </si>
  <si>
    <t>2.3.1.2.6.2</t>
  </si>
  <si>
    <t>운영 환경 구성</t>
  </si>
  <si>
    <t>시스템 설치 및 운영 환경 구성</t>
  </si>
  <si>
    <t>전환 및 배포</t>
  </si>
  <si>
    <t>1차 데이터베이스이관</t>
  </si>
  <si>
    <t>1차 시스템 이관</t>
  </si>
  <si>
    <t>1차 전환 및 배포</t>
  </si>
  <si>
    <t>1차 앱 스토어 등록</t>
  </si>
  <si>
    <t>2차 전환 및 배포</t>
  </si>
  <si>
    <t>2차 데이터베이스이관</t>
  </si>
  <si>
    <t>2차 시스템 이관</t>
  </si>
  <si>
    <t>2차 앱 스토어 등록</t>
  </si>
  <si>
    <t>개선 사항 적용</t>
  </si>
  <si>
    <t>음성안내</t>
  </si>
  <si>
    <t>일반음성 안내</t>
  </si>
  <si>
    <t>AI 음성인식 및 안내</t>
  </si>
  <si>
    <t>교통약자 시설물 데이터 구축</t>
  </si>
  <si>
    <t>교통약자 시설물 데이터베이스 구축</t>
  </si>
  <si>
    <t>실내 내비게이션 맵 구축</t>
  </si>
  <si>
    <t>사전 데이터 구축</t>
  </si>
  <si>
    <t>현장조사 계획수립</t>
  </si>
  <si>
    <t>현장조사(센서 측위)</t>
  </si>
  <si>
    <t>내비게이션 맵 구축</t>
  </si>
  <si>
    <t>시연 및 평가</t>
  </si>
  <si>
    <t>3.1.1.1</t>
  </si>
  <si>
    <t>3.1.2.2</t>
  </si>
  <si>
    <t>4</t>
  </si>
  <si>
    <t>4.1</t>
  </si>
  <si>
    <t>4.1.1</t>
  </si>
  <si>
    <t>4.1.2</t>
  </si>
  <si>
    <t>4.1.3</t>
  </si>
  <si>
    <t>4.1.4</t>
  </si>
  <si>
    <t>4.2</t>
  </si>
  <si>
    <t>4.2.1</t>
  </si>
  <si>
    <t>4.2.2</t>
  </si>
  <si>
    <t>4.2.3</t>
  </si>
  <si>
    <t>1단계 시범 구축 (10개 역사)</t>
  </si>
  <si>
    <t>자료수집</t>
  </si>
  <si>
    <t>역사 실내지도 구축(도면 변환)</t>
  </si>
  <si>
    <t>서비스 DB 구축</t>
  </si>
  <si>
    <t>데이터 검증/보정/테스트</t>
  </si>
  <si>
    <t>현장조사 (센서 측위)</t>
  </si>
  <si>
    <t>현장조사 (POI 구축)</t>
  </si>
  <si>
    <t>4.2.4</t>
  </si>
  <si>
    <t>4.2.5</t>
  </si>
  <si>
    <t>4.2.6</t>
  </si>
  <si>
    <t>4.2.7</t>
  </si>
  <si>
    <t>4.2.8</t>
  </si>
  <si>
    <t>AI 학습 데이터</t>
  </si>
  <si>
    <t>교통약자, 대중교통 등 도메인 튜닝</t>
  </si>
  <si>
    <t>3.1.1.1.1</t>
  </si>
  <si>
    <t>3.1.1.1.1.1</t>
  </si>
  <si>
    <t>3.1.1.1.1.2</t>
  </si>
  <si>
    <t>3.1.1.1.2</t>
  </si>
  <si>
    <t>3.1.1.1.2.1</t>
  </si>
  <si>
    <t>3.1.1.1.2.2</t>
  </si>
  <si>
    <t>3.1.1.1.3</t>
  </si>
  <si>
    <t>3.1.1.1.3.1</t>
  </si>
  <si>
    <t>3.1.1.1.3.2</t>
  </si>
  <si>
    <t>3.1.1.1.4</t>
  </si>
  <si>
    <t>3.1.1.1.4.1</t>
  </si>
  <si>
    <t>3.1.1.1.4.2</t>
  </si>
  <si>
    <t>3.1.1.1.5</t>
  </si>
  <si>
    <t>3.1.1.1.5.1</t>
  </si>
  <si>
    <t>3.1.1.1.5.2</t>
  </si>
  <si>
    <t>3.1.1.1.5.3</t>
  </si>
  <si>
    <t>3.1.1.1.6</t>
  </si>
  <si>
    <t>3.1.1.1.6.1</t>
  </si>
  <si>
    <t>3.1.1.1.6.2</t>
  </si>
  <si>
    <t>3.1.1.1.7</t>
  </si>
  <si>
    <t>3.1.1.1.7.1</t>
  </si>
  <si>
    <t>3.1.1.1.7.2</t>
  </si>
  <si>
    <t>공통</t>
  </si>
  <si>
    <t>5</t>
  </si>
  <si>
    <t>5.1</t>
  </si>
  <si>
    <t>5.1.1</t>
  </si>
  <si>
    <t>5.2</t>
  </si>
  <si>
    <t>5.2.1</t>
  </si>
  <si>
    <t>5.2.1.1</t>
  </si>
  <si>
    <t>5.2.1.2</t>
  </si>
  <si>
    <t>5.2.1.3</t>
  </si>
  <si>
    <t>5.2.2</t>
  </si>
  <si>
    <t>5.2.2.1</t>
  </si>
  <si>
    <t>5.2.2.2</t>
  </si>
  <si>
    <t>5.2.2.3</t>
  </si>
  <si>
    <t>현장조사용 데이터 구축 포함</t>
  </si>
  <si>
    <t>대중교통 정보 안내 UI 기능 설계</t>
    <phoneticPr fontId="1" type="noConversion"/>
  </si>
  <si>
    <t>대중교통 정보 안내</t>
    <phoneticPr fontId="1" type="noConversion"/>
  </si>
  <si>
    <t>대중교통 정보 안내 UI 설계</t>
    <phoneticPr fontId="1" type="noConversion"/>
  </si>
  <si>
    <t>대중교통 정보 안내</t>
    <phoneticPr fontId="1" type="noConversion"/>
  </si>
  <si>
    <t>요구사항정의/기획,디자인 컨펌</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</si>
</sst>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yyyy\-mm\-dd"/>
  </numFmts>
  <fonts count="6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b/>
      <sz val="11"/>
      <name val="Calibri"/>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2" fillId="0" borderId="0" applyNumberFormat="0" applyFill="0" applyBorder="0" applyAlignment="0" applyProtection="0"/>
    <xf numFmtId="9" fontId="29" fillId="0" borderId="0" applyFont="0" applyFill="0" applyBorder="0" applyAlignment="0" applyProtection="0">
      <alignment vertical="center"/>
    </xf>
  </cellStyleXfs>
  <cellXfs count="29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14" fontId="16" fillId="0" borderId="14" xfId="0" applyNumberFormat="1" applyFont="1" applyBorder="1"/>
    <xf numFmtId="0" fontId="20" fillId="0" borderId="0" xfId="0" applyFont="1"/>
    <xf numFmtId="0" fontId="8"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Protection="1">
      <protection locked="0"/>
    </xf>
    <xf numFmtId="0" fontId="8" fillId="0" borderId="0" xfId="0" applyFont="1" applyAlignment="1" applyProtection="1">
      <alignment vertical="center"/>
      <protection locked="0"/>
    </xf>
    <xf numFmtId="0" fontId="23" fillId="10" borderId="17" xfId="1" applyFont="1" applyFill="1" applyBorder="1" applyAlignment="1" applyProtection="1">
      <alignment horizontal="center" vertical="center" wrapText="1"/>
      <protection locked="0"/>
    </xf>
    <xf numFmtId="0" fontId="23" fillId="9" borderId="17" xfId="1" applyFont="1" applyFill="1" applyBorder="1" applyAlignment="1" applyProtection="1">
      <alignment horizontal="center" vertical="center" wrapText="1"/>
      <protection locked="0"/>
    </xf>
    <xf numFmtId="0" fontId="23" fillId="11" borderId="17" xfId="1" applyFont="1" applyFill="1" applyBorder="1" applyAlignment="1" applyProtection="1">
      <alignment horizontal="center" vertical="center" wrapText="1"/>
      <protection locked="0"/>
    </xf>
    <xf numFmtId="0" fontId="23" fillId="12" borderId="17" xfId="1" applyFont="1" applyFill="1" applyBorder="1" applyAlignment="1" applyProtection="1">
      <alignment horizontal="center" vertical="center" wrapText="1"/>
      <protection locked="0"/>
    </xf>
    <xf numFmtId="0" fontId="23" fillId="8"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0" fillId="0" borderId="0" xfId="0" applyFont="1" applyAlignment="1">
      <alignment vertical="center"/>
    </xf>
    <xf numFmtId="0" fontId="20" fillId="0" borderId="0" xfId="0" applyFont="1" applyAlignment="1">
      <alignment horizontal="center" vertical="center"/>
    </xf>
    <xf numFmtId="0" fontId="7" fillId="0" borderId="0" xfId="0" applyFont="1" applyAlignment="1">
      <alignment vertical="center"/>
    </xf>
    <xf numFmtId="0" fontId="25" fillId="0" borderId="0" xfId="0" applyFont="1" applyAlignment="1" applyProtection="1">
      <alignment horizontal="center"/>
      <protection locked="0"/>
    </xf>
    <xf numFmtId="0" fontId="24" fillId="7" borderId="17" xfId="1" applyFont="1" applyFill="1" applyBorder="1" applyAlignment="1" applyProtection="1">
      <alignment horizontal="center" vertical="center" wrapText="1"/>
      <protection locked="0"/>
    </xf>
    <xf numFmtId="0" fontId="22" fillId="0" borderId="0" xfId="0" applyFont="1" applyAlignment="1" applyProtection="1">
      <alignment horizontal="center"/>
      <protection locked="0"/>
    </xf>
    <xf numFmtId="0" fontId="25" fillId="13" borderId="0" xfId="0" applyFont="1" applyFill="1" applyAlignment="1" applyProtection="1">
      <alignment horizontal="left"/>
      <protection locked="0"/>
    </xf>
    <xf numFmtId="0" fontId="8" fillId="13" borderId="0" xfId="0" applyFont="1" applyFill="1" applyProtection="1">
      <protection locked="0"/>
    </xf>
    <xf numFmtId="0" fontId="22" fillId="13" borderId="0" xfId="0" applyFont="1" applyFill="1" applyProtection="1">
      <protection locked="0"/>
    </xf>
    <xf numFmtId="0" fontId="8" fillId="13" borderId="0" xfId="0" applyFont="1" applyFill="1" applyAlignment="1" applyProtection="1">
      <alignment vertical="center"/>
      <protection locked="0"/>
    </xf>
    <xf numFmtId="0" fontId="20"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3" fillId="3" borderId="1" xfId="0" applyFont="1" applyFill="1" applyBorder="1" applyAlignment="1">
      <alignment horizontal="center" vertical="center"/>
    </xf>
    <xf numFmtId="0" fontId="33" fillId="3" borderId="1" xfId="0"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horizontal="center" vertical="top"/>
    </xf>
    <xf numFmtId="0" fontId="35" fillId="0" borderId="0" xfId="0" applyFont="1" applyAlignment="1">
      <alignment vertical="top"/>
    </xf>
    <xf numFmtId="0" fontId="34" fillId="0" borderId="0" xfId="0" applyFont="1" applyAlignment="1">
      <alignment vertical="top" wrapText="1"/>
    </xf>
    <xf numFmtId="0" fontId="34" fillId="0" borderId="0" xfId="0" applyFont="1" applyAlignment="1">
      <alignment horizontal="left" vertical="top" wrapText="1"/>
    </xf>
    <xf numFmtId="0" fontId="34" fillId="0" borderId="0" xfId="0" applyFont="1" applyAlignment="1">
      <alignment horizontal="left" vertical="top"/>
    </xf>
    <xf numFmtId="0" fontId="35" fillId="0" borderId="0" xfId="0" applyFont="1" applyAlignment="1">
      <alignment horizontal="left" vertical="top"/>
    </xf>
    <xf numFmtId="14" fontId="34" fillId="0" borderId="0" xfId="0" applyNumberFormat="1" applyFont="1" applyAlignment="1">
      <alignment horizontal="left" vertical="top" wrapText="1"/>
    </xf>
    <xf numFmtId="0" fontId="34" fillId="0" borderId="0" xfId="0" applyFont="1"/>
    <xf numFmtId="0" fontId="32" fillId="0" borderId="0" xfId="0" applyFont="1" applyAlignment="1">
      <alignment horizontal="left" vertical="top"/>
    </xf>
    <xf numFmtId="0" fontId="35" fillId="0" borderId="0" xfId="0" applyFont="1" applyAlignment="1">
      <alignment horizontal="left" vertical="top" wrapText="1"/>
    </xf>
    <xf numFmtId="0" fontId="37"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39" fillId="0" borderId="0" xfId="0" applyFont="1" applyAlignment="1">
      <alignment vertical="top" wrapText="1"/>
    </xf>
    <xf numFmtId="0" fontId="40" fillId="0" borderId="0" xfId="0" applyFont="1" applyAlignment="1">
      <alignment vertical="top" wrapText="1"/>
    </xf>
    <xf numFmtId="0" fontId="41" fillId="0" borderId="0" xfId="0" applyFont="1" applyAlignment="1">
      <alignment vertical="top" wrapText="1"/>
    </xf>
    <xf numFmtId="0" fontId="27" fillId="18" borderId="21" xfId="0" applyFont="1" applyFill="1" applyBorder="1" applyAlignment="1">
      <alignment vertical="center"/>
    </xf>
    <xf numFmtId="0" fontId="27" fillId="18" borderId="22" xfId="0" applyFont="1" applyFill="1" applyBorder="1" applyAlignment="1">
      <alignment vertical="center"/>
    </xf>
    <xf numFmtId="0" fontId="27" fillId="18" borderId="20" xfId="0" applyFont="1" applyFill="1" applyBorder="1"/>
    <xf numFmtId="0" fontId="20" fillId="18" borderId="20" xfId="0" applyFont="1" applyFill="1" applyBorder="1"/>
    <xf numFmtId="0" fontId="27"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3" fillId="0" borderId="0" xfId="0" applyFont="1" applyAlignment="1">
      <alignment vertical="top" wrapText="1"/>
    </xf>
    <xf numFmtId="14" fontId="45" fillId="17" borderId="25" xfId="0" applyNumberFormat="1" applyFont="1" applyFill="1" applyBorder="1" applyAlignment="1">
      <alignment horizontal="center" vertical="center"/>
    </xf>
    <xf numFmtId="14" fontId="45" fillId="17" borderId="26" xfId="0" applyNumberFormat="1" applyFont="1" applyFill="1" applyBorder="1" applyAlignment="1">
      <alignment horizontal="center" vertical="center"/>
    </xf>
    <xf numFmtId="0" fontId="46" fillId="15" borderId="0" xfId="0" applyFont="1" applyFill="1" applyAlignment="1">
      <alignment horizontal="left"/>
    </xf>
    <xf numFmtId="0" fontId="47" fillId="15" borderId="0" xfId="0" applyFont="1" applyFill="1" applyAlignment="1">
      <alignment horizontal="left"/>
    </xf>
    <xf numFmtId="0" fontId="51" fillId="15" borderId="0" xfId="1" applyNumberFormat="1" applyFont="1" applyFill="1" applyBorder="1" applyAlignment="1">
      <alignment horizontal="right"/>
    </xf>
    <xf numFmtId="10" fontId="51" fillId="15" borderId="0" xfId="0" applyNumberFormat="1" applyFont="1" applyFill="1" applyAlignment="1">
      <alignment horizontal="right"/>
    </xf>
    <xf numFmtId="178" fontId="51" fillId="15" borderId="0" xfId="1" applyNumberFormat="1" applyFont="1" applyFill="1" applyBorder="1" applyAlignment="1">
      <alignment horizontal="right"/>
    </xf>
    <xf numFmtId="0" fontId="52" fillId="15" borderId="0" xfId="1" applyNumberFormat="1" applyFont="1" applyFill="1" applyBorder="1" applyAlignment="1"/>
    <xf numFmtId="0" fontId="52" fillId="15" borderId="0" xfId="1" applyNumberFormat="1" applyFont="1" applyFill="1" applyBorder="1" applyAlignment="1">
      <alignment horizontal="right"/>
    </xf>
    <xf numFmtId="0" fontId="36" fillId="0" borderId="0" xfId="0" applyFont="1" applyAlignment="1">
      <alignment vertical="top" wrapText="1"/>
    </xf>
    <xf numFmtId="0" fontId="55" fillId="18" borderId="20" xfId="0" applyFont="1" applyFill="1" applyBorder="1"/>
    <xf numFmtId="0" fontId="46" fillId="15" borderId="0" xfId="0" applyFont="1" applyFill="1" applyAlignment="1">
      <alignment horizontal="left" vertical="top"/>
    </xf>
    <xf numFmtId="0" fontId="46" fillId="15" borderId="0" xfId="0" applyFont="1" applyFill="1" applyAlignment="1">
      <alignment horizontal="left" vertical="center"/>
    </xf>
    <xf numFmtId="0" fontId="47" fillId="15" borderId="0" xfId="0" applyFont="1" applyFill="1" applyAlignment="1">
      <alignment horizontal="left" vertical="top"/>
    </xf>
    <xf numFmtId="0" fontId="50" fillId="15" borderId="0" xfId="1" applyFont="1" applyFill="1" applyBorder="1" applyAlignment="1">
      <alignment vertical="top" wrapText="1"/>
    </xf>
    <xf numFmtId="0" fontId="50" fillId="15" borderId="0" xfId="1" applyNumberFormat="1" applyFont="1" applyFill="1" applyBorder="1" applyAlignment="1">
      <alignment vertical="top"/>
    </xf>
    <xf numFmtId="0" fontId="47" fillId="15" borderId="0" xfId="1" applyFont="1" applyFill="1" applyBorder="1" applyAlignment="1">
      <alignment horizontal="right" vertical="center"/>
    </xf>
    <xf numFmtId="0" fontId="51" fillId="15" borderId="0" xfId="0" applyFont="1" applyFill="1" applyAlignment="1">
      <alignment horizontal="left" vertical="center"/>
    </xf>
    <xf numFmtId="0" fontId="48" fillId="15" borderId="0" xfId="0" applyFont="1" applyFill="1" applyAlignment="1">
      <alignment horizontal="left" vertical="center"/>
    </xf>
    <xf numFmtId="0" fontId="48" fillId="15" borderId="0" xfId="0" applyFont="1" applyFill="1" applyAlignment="1">
      <alignment vertical="center"/>
    </xf>
    <xf numFmtId="14" fontId="48" fillId="15" borderId="0" xfId="0" applyNumberFormat="1" applyFont="1" applyFill="1" applyAlignment="1">
      <alignment vertical="top"/>
    </xf>
    <xf numFmtId="14" fontId="49" fillId="15" borderId="0" xfId="0" applyNumberFormat="1" applyFont="1" applyFill="1" applyAlignment="1">
      <alignment horizontal="left" vertical="top" wrapText="1"/>
    </xf>
    <xf numFmtId="178" fontId="50" fillId="15" borderId="0" xfId="0" applyNumberFormat="1" applyFont="1" applyFill="1" applyAlignment="1">
      <alignment horizontal="center" vertical="top"/>
    </xf>
    <xf numFmtId="178" fontId="46" fillId="15" borderId="0" xfId="0" applyNumberFormat="1" applyFont="1" applyFill="1" applyAlignment="1">
      <alignment horizontal="center" vertical="top"/>
    </xf>
    <xf numFmtId="178" fontId="48" fillId="15" borderId="0" xfId="0" applyNumberFormat="1" applyFont="1" applyFill="1" applyAlignment="1">
      <alignment horizontal="center" vertical="top"/>
    </xf>
    <xf numFmtId="14" fontId="48" fillId="15" borderId="0" xfId="0" applyNumberFormat="1" applyFont="1" applyFill="1" applyAlignment="1">
      <alignment horizontal="center" vertical="top"/>
    </xf>
    <xf numFmtId="1" fontId="48" fillId="15" borderId="0" xfId="0" applyNumberFormat="1" applyFont="1" applyFill="1" applyAlignment="1">
      <alignment horizontal="center" vertical="top"/>
    </xf>
    <xf numFmtId="0" fontId="54" fillId="15" borderId="0" xfId="1" applyFont="1" applyFill="1" applyAlignment="1">
      <alignment horizontal="left" vertical="center"/>
    </xf>
    <xf numFmtId="0" fontId="2" fillId="15" borderId="0" xfId="1" applyFill="1" applyAlignment="1">
      <alignment horizontal="left" vertical="center"/>
    </xf>
    <xf numFmtId="0" fontId="56" fillId="0" borderId="0" xfId="0" applyFont="1" applyAlignment="1">
      <alignment vertical="top" wrapText="1"/>
    </xf>
    <xf numFmtId="0" fontId="51" fillId="15" borderId="0" xfId="0" applyFont="1" applyFill="1"/>
    <xf numFmtId="0" fontId="47"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6" fillId="0" borderId="0" xfId="0" quotePrefix="1" applyFont="1" applyAlignment="1">
      <alignment vertical="top" wrapText="1"/>
    </xf>
    <xf numFmtId="0" fontId="39"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8" fillId="21" borderId="7" xfId="0" applyFont="1" applyFill="1" applyBorder="1"/>
    <xf numFmtId="180" fontId="0" fillId="0" borderId="0" xfId="0" applyNumberFormat="1"/>
    <xf numFmtId="1" fontId="0" fillId="0" borderId="0" xfId="0" applyNumberFormat="1"/>
    <xf numFmtId="4" fontId="0" fillId="0" borderId="0" xfId="0" applyNumberFormat="1"/>
    <xf numFmtId="0" fontId="44" fillId="15" borderId="0" xfId="0" applyFont="1" applyFill="1" applyAlignment="1">
      <alignment horizontal="left" vertical="center"/>
    </xf>
    <xf numFmtId="10" fontId="18" fillId="0" borderId="23" xfId="2" applyNumberFormat="1" applyFont="1" applyFill="1" applyBorder="1" applyAlignment="1" applyProtection="1">
      <alignment horizontal="right" vertical="top"/>
      <protection locked="0"/>
    </xf>
    <xf numFmtId="10" fontId="57" fillId="15" borderId="23" xfId="2" applyNumberFormat="1" applyFont="1" applyFill="1" applyBorder="1" applyAlignment="1" applyProtection="1">
      <alignment horizontal="right" vertical="top"/>
      <protection locked="0"/>
    </xf>
    <xf numFmtId="0" fontId="45" fillId="17" borderId="27" xfId="0" applyFont="1" applyFill="1" applyBorder="1" applyAlignment="1">
      <alignment horizontal="left" vertical="center"/>
    </xf>
    <xf numFmtId="0" fontId="59" fillId="0" borderId="0" xfId="0" applyFont="1" applyAlignment="1">
      <alignment horizontal="left" vertical="center"/>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57"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0" fontId="45" fillId="17" borderId="26" xfId="0" applyFont="1" applyFill="1" applyBorder="1" applyAlignment="1">
      <alignment horizontal="left" vertical="center"/>
    </xf>
    <xf numFmtId="0" fontId="7" fillId="0" borderId="0" xfId="0" applyFont="1"/>
    <xf numFmtId="10" fontId="7" fillId="0" borderId="0" xfId="0" applyNumberFormat="1" applyFont="1"/>
    <xf numFmtId="0" fontId="7" fillId="0" borderId="0" xfId="0" quotePrefix="1" applyFont="1"/>
    <xf numFmtId="0" fontId="2" fillId="0" borderId="0" xfId="1" quotePrefix="1" applyBorder="1"/>
    <xf numFmtId="14" fontId="67" fillId="22" borderId="0" xfId="0" quotePrefix="1" applyNumberFormat="1" applyFont="1" applyFill="1"/>
    <xf numFmtId="0" fontId="2" fillId="22" borderId="0" xfId="1" quotePrefix="1" applyFill="1" applyBorder="1"/>
    <xf numFmtId="0" fontId="7" fillId="22" borderId="0" xfId="0" quotePrefix="1" applyFont="1" applyFill="1"/>
    <xf numFmtId="14" fontId="7" fillId="22" borderId="0" xfId="0" applyNumberFormat="1" applyFont="1" applyFill="1"/>
    <xf numFmtId="10" fontId="7" fillId="22" borderId="0" xfId="0" applyNumberFormat="1" applyFont="1" applyFill="1"/>
    <xf numFmtId="0" fontId="7" fillId="22" borderId="0" xfId="0" applyFont="1" applyFill="1"/>
    <xf numFmtId="0" fontId="67" fillId="22" borderId="0" xfId="0" applyFont="1" applyFill="1"/>
    <xf numFmtId="10" fontId="18" fillId="15" borderId="23" xfId="2" applyNumberFormat="1" applyFont="1" applyFill="1" applyBorder="1" applyAlignment="1" applyProtection="1">
      <alignment horizontal="right" vertical="top" wrapText="1"/>
      <protection locked="0"/>
    </xf>
    <xf numFmtId="0" fontId="48" fillId="15" borderId="0" xfId="0" applyFont="1" applyFill="1" applyAlignment="1">
      <alignment horizontal="center" vertical="center"/>
    </xf>
    <xf numFmtId="0" fontId="51" fillId="15" borderId="0" xfId="1" applyNumberFormat="1" applyFont="1" applyFill="1" applyBorder="1" applyAlignment="1">
      <alignment horizontal="center"/>
    </xf>
    <xf numFmtId="0" fontId="18" fillId="0" borderId="23" xfId="0" applyFont="1" applyBorder="1" applyAlignment="1" applyProtection="1">
      <alignment horizontal="center" vertical="top"/>
      <protection locked="0"/>
    </xf>
    <xf numFmtId="14" fontId="18" fillId="19" borderId="23" xfId="0" applyNumberFormat="1" applyFont="1" applyFill="1" applyBorder="1" applyAlignment="1" applyProtection="1">
      <alignment horizontal="center" vertical="top"/>
      <protection locked="0"/>
    </xf>
    <xf numFmtId="0" fontId="18" fillId="19" borderId="23" xfId="0" applyFont="1" applyFill="1" applyBorder="1" applyAlignment="1" applyProtection="1">
      <alignment horizontal="left" vertical="top"/>
      <protection locked="0"/>
    </xf>
    <xf numFmtId="0" fontId="18" fillId="19" borderId="23" xfId="0" applyFont="1" applyFill="1" applyBorder="1" applyAlignment="1" applyProtection="1">
      <alignment horizontal="center" vertical="top"/>
      <protection locked="0"/>
    </xf>
    <xf numFmtId="14" fontId="66" fillId="0" borderId="23" xfId="0" applyNumberFormat="1" applyFont="1" applyBorder="1" applyAlignment="1" applyProtection="1">
      <alignment horizontal="center" vertical="top"/>
      <protection locked="0"/>
    </xf>
    <xf numFmtId="0" fontId="66" fillId="19" borderId="23" xfId="0" applyFont="1" applyFill="1" applyBorder="1" applyAlignment="1" applyProtection="1">
      <alignment horizontal="left" vertical="top"/>
      <protection locked="0"/>
    </xf>
    <xf numFmtId="0" fontId="30" fillId="17" borderId="26" xfId="0" applyFont="1" applyFill="1" applyBorder="1" applyAlignment="1">
      <alignment horizontal="left" vertical="center" wrapText="1"/>
    </xf>
    <xf numFmtId="0" fontId="30" fillId="17" borderId="26" xfId="0" applyFont="1" applyFill="1" applyBorder="1" applyAlignment="1">
      <alignment horizontal="left" vertical="center"/>
    </xf>
    <xf numFmtId="0" fontId="30" fillId="17" borderId="27" xfId="0" applyFont="1" applyFill="1" applyBorder="1" applyAlignment="1">
      <alignment horizontal="left" vertical="center"/>
    </xf>
    <xf numFmtId="0" fontId="44" fillId="15" borderId="0" xfId="0" applyFont="1" applyFill="1" applyAlignment="1">
      <alignment horizontal="left"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30" fillId="17" borderId="25" xfId="0" applyFont="1" applyFill="1" applyBorder="1" applyAlignment="1">
      <alignment horizontal="left" vertical="center" wrapText="1"/>
    </xf>
    <xf numFmtId="0" fontId="17" fillId="7" borderId="2" xfId="0" applyFont="1" applyFill="1" applyBorder="1" applyAlignment="1">
      <alignment horizontal="center" vertical="center"/>
    </xf>
    <xf numFmtId="0" fontId="17" fillId="16" borderId="2" xfId="0" applyFont="1" applyFill="1" applyBorder="1" applyAlignment="1">
      <alignment horizontal="center" vertical="center"/>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0" fontId="28" fillId="18" borderId="22" xfId="1" applyFont="1" applyFill="1" applyBorder="1" applyAlignment="1">
      <alignment vertical="center"/>
    </xf>
    <xf numFmtId="0" fontId="0" fillId="18" borderId="22" xfId="0" applyFill="1" applyBorder="1" applyAlignment="1">
      <alignment vertical="center"/>
    </xf>
    <xf numFmtId="0" fontId="31" fillId="18" borderId="20" xfId="1" applyFont="1" applyFill="1" applyBorder="1" applyAlignment="1">
      <alignment horizontal="right"/>
    </xf>
    <xf numFmtId="0" fontId="0" fillId="18" borderId="20" xfId="0" applyFill="1" applyBorder="1" applyAlignment="1">
      <alignment horizontal="right"/>
    </xf>
    <xf numFmtId="0" fontId="38" fillId="0" borderId="0" xfId="0" applyFont="1" applyAlignment="1">
      <alignment horizontal="left" vertical="top" wrapText="1"/>
    </xf>
    <xf numFmtId="0" fontId="20" fillId="0" borderId="0" xfId="0" applyFont="1" applyAlignment="1">
      <alignment horizontal="left" vertical="top" wrapText="1"/>
    </xf>
    <xf numFmtId="0" fontId="26" fillId="13" borderId="0" xfId="0" applyFont="1" applyFill="1" applyAlignment="1">
      <alignment horizontal="left" vertical="top"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19"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2">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FF99"/>
      <color rgb="FF2592FF"/>
      <color rgb="FF009900"/>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47</xdr:col>
      <xdr:colOff>0</xdr:colOff>
      <xdr:row>3</xdr:row>
      <xdr:rowOff>76073</xdr:rowOff>
    </xdr:from>
    <xdr:to>
      <xdr:col>47</xdr:col>
      <xdr:colOff>0</xdr:colOff>
      <xdr:row>135</xdr:row>
      <xdr:rowOff>0</xdr:rowOff>
    </xdr:to>
    <xdr:cxnSp macro="">
      <xdr:nvCxnSpPr>
        <xdr:cNvPr id="31847" name="직선 화살표 연결선 31846">
          <a:extLst>
            <a:ext uri="{FF2B5EF4-FFF2-40B4-BE49-F238E27FC236}">
              <a16:creationId xmlns:a16="http://schemas.microsoft.com/office/drawing/2014/main" id="{FDB504C9-218F-4C46-63F2-F60793420A8B}"/>
            </a:ext>
          </a:extLst>
        </xdr:cNvPr>
        <xdr:cNvCxnSpPr/>
      </xdr:nvCxnSpPr>
      <xdr:spPr>
        <a:xfrm>
          <a:off x="25231725" y="819023"/>
          <a:ext cx="0" cy="1996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135</xdr:row>
      <xdr:rowOff>0</xdr:rowOff>
    </xdr:to>
    <xdr:cxnSp macro="">
      <xdr:nvCxnSpPr>
        <xdr:cNvPr id="31848" name="직선 화살표 연결선 31847">
          <a:extLst>
            <a:ext uri="{FF2B5EF4-FFF2-40B4-BE49-F238E27FC236}">
              <a16:creationId xmlns:a16="http://schemas.microsoft.com/office/drawing/2014/main" id="{987413D6-5A9B-3A28-EE33-4D01144EABD6}"/>
            </a:ext>
          </a:extLst>
        </xdr:cNvPr>
        <xdr:cNvCxnSpPr/>
      </xdr:nvCxnSpPr>
      <xdr:spPr>
        <a:xfrm>
          <a:off x="37423725" y="819023"/>
          <a:ext cx="0" cy="1996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135</xdr:row>
      <xdr:rowOff>0</xdr:rowOff>
    </xdr:to>
    <xdr:cxnSp macro="">
      <xdr:nvCxnSpPr>
        <xdr:cNvPr id="31849" name="직선 화살표 연결선 31848">
          <a:extLst>
            <a:ext uri="{FF2B5EF4-FFF2-40B4-BE49-F238E27FC236}">
              <a16:creationId xmlns:a16="http://schemas.microsoft.com/office/drawing/2014/main" id="{F3BCC0B6-019B-18A3-8189-6D797FBF079B}"/>
            </a:ext>
          </a:extLst>
        </xdr:cNvPr>
        <xdr:cNvCxnSpPr/>
      </xdr:nvCxnSpPr>
      <xdr:spPr>
        <a:xfrm>
          <a:off x="49615725" y="819023"/>
          <a:ext cx="0" cy="1996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102054</xdr:colOff>
      <xdr:row>3</xdr:row>
      <xdr:rowOff>76073</xdr:rowOff>
    </xdr:from>
    <xdr:to>
      <xdr:col>39</xdr:col>
      <xdr:colOff>102054</xdr:colOff>
      <xdr:row>135</xdr:row>
      <xdr:rowOff>0</xdr:rowOff>
    </xdr:to>
    <xdr:cxnSp macro="">
      <xdr:nvCxnSpPr>
        <xdr:cNvPr id="31850" name="직선 화살표 연결선 31849">
          <a:extLst>
            <a:ext uri="{FF2B5EF4-FFF2-40B4-BE49-F238E27FC236}">
              <a16:creationId xmlns:a16="http://schemas.microsoft.com/office/drawing/2014/main" id="{99923B8E-5686-41AF-1DA3-B5931254C0BC}"/>
            </a:ext>
          </a:extLst>
        </xdr:cNvPr>
        <xdr:cNvCxnSpPr/>
      </xdr:nvCxnSpPr>
      <xdr:spPr>
        <a:xfrm>
          <a:off x="14284779" y="819023"/>
          <a:ext cx="0" cy="19964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61232</xdr:colOff>
      <xdr:row>134</xdr:row>
      <xdr:rowOff>19050</xdr:rowOff>
    </xdr:from>
    <xdr:to>
      <xdr:col>61</xdr:col>
      <xdr:colOff>123734</xdr:colOff>
      <xdr:row>134</xdr:row>
      <xdr:rowOff>133350</xdr:rowOff>
    </xdr:to>
    <xdr:sp macro="" textlink="">
      <xdr:nvSpPr>
        <xdr:cNvPr id="31851" name="131">
          <a:extLst>
            <a:ext uri="{FF2B5EF4-FFF2-40B4-BE49-F238E27FC236}">
              <a16:creationId xmlns:a16="http://schemas.microsoft.com/office/drawing/2014/main" id="{5CB1542F-205C-8781-7696-7DC4E11A411D}"/>
            </a:ext>
          </a:extLst>
        </xdr:cNvPr>
        <xdr:cNvSpPr/>
      </xdr:nvSpPr>
      <xdr:spPr>
        <a:xfrm>
          <a:off x="17387207" y="20650200"/>
          <a:ext cx="6250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61232</xdr:colOff>
      <xdr:row>134</xdr:row>
      <xdr:rowOff>76200</xdr:rowOff>
    </xdr:from>
    <xdr:to>
      <xdr:col>61</xdr:col>
      <xdr:colOff>61232</xdr:colOff>
      <xdr:row>134</xdr:row>
      <xdr:rowOff>76200</xdr:rowOff>
    </xdr:to>
    <xdr:cxnSp macro="">
      <xdr:nvCxnSpPr>
        <xdr:cNvPr id="31852" name="직선 화살표 연결선 31851">
          <a:extLst>
            <a:ext uri="{FF2B5EF4-FFF2-40B4-BE49-F238E27FC236}">
              <a16:creationId xmlns:a16="http://schemas.microsoft.com/office/drawing/2014/main" id="{140A5450-D22C-BABD-D8D2-A1D871C0CC9D}"/>
            </a:ext>
          </a:extLst>
        </xdr:cNvPr>
        <xdr:cNvCxnSpPr/>
      </xdr:nvCxnSpPr>
      <xdr:spPr>
        <a:xfrm>
          <a:off x="17387207" y="2070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133</xdr:row>
      <xdr:rowOff>19050</xdr:rowOff>
    </xdr:from>
    <xdr:to>
      <xdr:col>81</xdr:col>
      <xdr:colOff>123734</xdr:colOff>
      <xdr:row>133</xdr:row>
      <xdr:rowOff>133350</xdr:rowOff>
    </xdr:to>
    <xdr:sp macro="" textlink="">
      <xdr:nvSpPr>
        <xdr:cNvPr id="31853" name="130">
          <a:extLst>
            <a:ext uri="{FF2B5EF4-FFF2-40B4-BE49-F238E27FC236}">
              <a16:creationId xmlns:a16="http://schemas.microsoft.com/office/drawing/2014/main" id="{94940191-4A27-4AFC-9BFA-14B1F922DC46}"/>
            </a:ext>
          </a:extLst>
        </xdr:cNvPr>
        <xdr:cNvSpPr/>
      </xdr:nvSpPr>
      <xdr:spPr>
        <a:xfrm>
          <a:off x="20203886" y="20497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133</xdr:row>
      <xdr:rowOff>76200</xdr:rowOff>
    </xdr:from>
    <xdr:to>
      <xdr:col>81</xdr:col>
      <xdr:colOff>20411</xdr:colOff>
      <xdr:row>133</xdr:row>
      <xdr:rowOff>76200</xdr:rowOff>
    </xdr:to>
    <xdr:cxnSp macro="">
      <xdr:nvCxnSpPr>
        <xdr:cNvPr id="31854" name="직선 화살표 연결선 31853">
          <a:extLst>
            <a:ext uri="{FF2B5EF4-FFF2-40B4-BE49-F238E27FC236}">
              <a16:creationId xmlns:a16="http://schemas.microsoft.com/office/drawing/2014/main" id="{C878714B-868A-E753-96D7-D4FF030854FA}"/>
            </a:ext>
          </a:extLst>
        </xdr:cNvPr>
        <xdr:cNvCxnSpPr/>
      </xdr:nvCxnSpPr>
      <xdr:spPr>
        <a:xfrm>
          <a:off x="20203886" y="2055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132</xdr:row>
      <xdr:rowOff>19050</xdr:rowOff>
    </xdr:from>
    <xdr:to>
      <xdr:col>81</xdr:col>
      <xdr:colOff>123734</xdr:colOff>
      <xdr:row>132</xdr:row>
      <xdr:rowOff>133350</xdr:rowOff>
    </xdr:to>
    <xdr:sp macro="" textlink="">
      <xdr:nvSpPr>
        <xdr:cNvPr id="31855" name="129">
          <a:extLst>
            <a:ext uri="{FF2B5EF4-FFF2-40B4-BE49-F238E27FC236}">
              <a16:creationId xmlns:a16="http://schemas.microsoft.com/office/drawing/2014/main" id="{89A0BF4C-E330-3F48-6904-6884DB3B9C24}"/>
            </a:ext>
          </a:extLst>
        </xdr:cNvPr>
        <xdr:cNvSpPr/>
      </xdr:nvSpPr>
      <xdr:spPr>
        <a:xfrm>
          <a:off x="20203886" y="2034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132</xdr:row>
      <xdr:rowOff>76200</xdr:rowOff>
    </xdr:from>
    <xdr:to>
      <xdr:col>81</xdr:col>
      <xdr:colOff>20411</xdr:colOff>
      <xdr:row>132</xdr:row>
      <xdr:rowOff>76200</xdr:rowOff>
    </xdr:to>
    <xdr:cxnSp macro="">
      <xdr:nvCxnSpPr>
        <xdr:cNvPr id="31856" name="직선 화살표 연결선 31855">
          <a:extLst>
            <a:ext uri="{FF2B5EF4-FFF2-40B4-BE49-F238E27FC236}">
              <a16:creationId xmlns:a16="http://schemas.microsoft.com/office/drawing/2014/main" id="{7527FBD6-763E-0E67-0B1B-19F6615815A7}"/>
            </a:ext>
          </a:extLst>
        </xdr:cNvPr>
        <xdr:cNvCxnSpPr/>
      </xdr:nvCxnSpPr>
      <xdr:spPr>
        <a:xfrm>
          <a:off x="20203886" y="2040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61232</xdr:colOff>
      <xdr:row>131</xdr:row>
      <xdr:rowOff>19050</xdr:rowOff>
    </xdr:from>
    <xdr:to>
      <xdr:col>81</xdr:col>
      <xdr:colOff>123734</xdr:colOff>
      <xdr:row>131</xdr:row>
      <xdr:rowOff>133350</xdr:rowOff>
    </xdr:to>
    <xdr:sp macro="" textlink="">
      <xdr:nvSpPr>
        <xdr:cNvPr id="31857" name="128">
          <a:extLst>
            <a:ext uri="{FF2B5EF4-FFF2-40B4-BE49-F238E27FC236}">
              <a16:creationId xmlns:a16="http://schemas.microsoft.com/office/drawing/2014/main" id="{8E743310-2161-1B9C-C78F-006FD03570EE}"/>
            </a:ext>
          </a:extLst>
        </xdr:cNvPr>
        <xdr:cNvSpPr/>
      </xdr:nvSpPr>
      <xdr:spPr>
        <a:xfrm>
          <a:off x="17387207" y="20193000"/>
          <a:ext cx="29200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61232</xdr:colOff>
      <xdr:row>131</xdr:row>
      <xdr:rowOff>76200</xdr:rowOff>
    </xdr:from>
    <xdr:to>
      <xdr:col>61</xdr:col>
      <xdr:colOff>61232</xdr:colOff>
      <xdr:row>131</xdr:row>
      <xdr:rowOff>76200</xdr:rowOff>
    </xdr:to>
    <xdr:cxnSp macro="">
      <xdr:nvCxnSpPr>
        <xdr:cNvPr id="31858" name="직선 화살표 연결선 31857">
          <a:extLst>
            <a:ext uri="{FF2B5EF4-FFF2-40B4-BE49-F238E27FC236}">
              <a16:creationId xmlns:a16="http://schemas.microsoft.com/office/drawing/2014/main" id="{6713C5C5-6431-8869-C0BC-989F4D2611CB}"/>
            </a:ext>
          </a:extLst>
        </xdr:cNvPr>
        <xdr:cNvCxnSpPr/>
      </xdr:nvCxnSpPr>
      <xdr:spPr>
        <a:xfrm>
          <a:off x="17387207" y="2025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130</xdr:row>
      <xdr:rowOff>19050</xdr:rowOff>
    </xdr:from>
    <xdr:to>
      <xdr:col>62</xdr:col>
      <xdr:colOff>103324</xdr:colOff>
      <xdr:row>130</xdr:row>
      <xdr:rowOff>133350</xdr:rowOff>
    </xdr:to>
    <xdr:sp macro="" textlink="">
      <xdr:nvSpPr>
        <xdr:cNvPr id="31859" name="127">
          <a:extLst>
            <a:ext uri="{FF2B5EF4-FFF2-40B4-BE49-F238E27FC236}">
              <a16:creationId xmlns:a16="http://schemas.microsoft.com/office/drawing/2014/main" id="{705A2268-3BA8-C06C-B4EC-33636525DEEB}"/>
            </a:ext>
          </a:extLst>
        </xdr:cNvPr>
        <xdr:cNvSpPr/>
      </xdr:nvSpPr>
      <xdr:spPr>
        <a:xfrm>
          <a:off x="17346386" y="200406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130</xdr:row>
      <xdr:rowOff>76200</xdr:rowOff>
    </xdr:from>
    <xdr:to>
      <xdr:col>61</xdr:col>
      <xdr:colOff>20411</xdr:colOff>
      <xdr:row>130</xdr:row>
      <xdr:rowOff>76200</xdr:rowOff>
    </xdr:to>
    <xdr:cxnSp macro="">
      <xdr:nvCxnSpPr>
        <xdr:cNvPr id="31860" name="직선 화살표 연결선 31859">
          <a:extLst>
            <a:ext uri="{FF2B5EF4-FFF2-40B4-BE49-F238E27FC236}">
              <a16:creationId xmlns:a16="http://schemas.microsoft.com/office/drawing/2014/main" id="{18F2A2C8-2C72-E0A6-28F9-FF6E8B584D9D}"/>
            </a:ext>
          </a:extLst>
        </xdr:cNvPr>
        <xdr:cNvCxnSpPr/>
      </xdr:nvCxnSpPr>
      <xdr:spPr>
        <a:xfrm>
          <a:off x="17346386" y="2009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129</xdr:row>
      <xdr:rowOff>19050</xdr:rowOff>
    </xdr:from>
    <xdr:to>
      <xdr:col>57</xdr:col>
      <xdr:colOff>123734</xdr:colOff>
      <xdr:row>129</xdr:row>
      <xdr:rowOff>133350</xdr:rowOff>
    </xdr:to>
    <xdr:sp macro="" textlink="">
      <xdr:nvSpPr>
        <xdr:cNvPr id="31861" name="126">
          <a:extLst>
            <a:ext uri="{FF2B5EF4-FFF2-40B4-BE49-F238E27FC236}">
              <a16:creationId xmlns:a16="http://schemas.microsoft.com/office/drawing/2014/main" id="{4616414A-8BF1-609F-9206-87CD552D05AE}"/>
            </a:ext>
          </a:extLst>
        </xdr:cNvPr>
        <xdr:cNvSpPr/>
      </xdr:nvSpPr>
      <xdr:spPr>
        <a:xfrm>
          <a:off x="16774886" y="1988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129</xdr:row>
      <xdr:rowOff>76200</xdr:rowOff>
    </xdr:from>
    <xdr:to>
      <xdr:col>57</xdr:col>
      <xdr:colOff>20411</xdr:colOff>
      <xdr:row>129</xdr:row>
      <xdr:rowOff>76200</xdr:rowOff>
    </xdr:to>
    <xdr:cxnSp macro="">
      <xdr:nvCxnSpPr>
        <xdr:cNvPr id="31862" name="직선 화살표 연결선 31861">
          <a:extLst>
            <a:ext uri="{FF2B5EF4-FFF2-40B4-BE49-F238E27FC236}">
              <a16:creationId xmlns:a16="http://schemas.microsoft.com/office/drawing/2014/main" id="{F07A24FE-B2E8-B9CA-1B42-1DD187DBD201}"/>
            </a:ext>
          </a:extLst>
        </xdr:cNvPr>
        <xdr:cNvCxnSpPr/>
      </xdr:nvCxnSpPr>
      <xdr:spPr>
        <a:xfrm>
          <a:off x="16774886" y="1994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128</xdr:row>
      <xdr:rowOff>19050</xdr:rowOff>
    </xdr:from>
    <xdr:to>
      <xdr:col>57</xdr:col>
      <xdr:colOff>123734</xdr:colOff>
      <xdr:row>128</xdr:row>
      <xdr:rowOff>133350</xdr:rowOff>
    </xdr:to>
    <xdr:sp macro="" textlink="">
      <xdr:nvSpPr>
        <xdr:cNvPr id="31863" name="125">
          <a:extLst>
            <a:ext uri="{FF2B5EF4-FFF2-40B4-BE49-F238E27FC236}">
              <a16:creationId xmlns:a16="http://schemas.microsoft.com/office/drawing/2014/main" id="{9EF350AA-F941-CCEB-66A4-43EC820C395C}"/>
            </a:ext>
          </a:extLst>
        </xdr:cNvPr>
        <xdr:cNvSpPr/>
      </xdr:nvSpPr>
      <xdr:spPr>
        <a:xfrm>
          <a:off x="16774886" y="19735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128</xdr:row>
      <xdr:rowOff>76200</xdr:rowOff>
    </xdr:from>
    <xdr:to>
      <xdr:col>57</xdr:col>
      <xdr:colOff>20411</xdr:colOff>
      <xdr:row>128</xdr:row>
      <xdr:rowOff>76200</xdr:rowOff>
    </xdr:to>
    <xdr:cxnSp macro="">
      <xdr:nvCxnSpPr>
        <xdr:cNvPr id="31864" name="직선 화살표 연결선 31863">
          <a:extLst>
            <a:ext uri="{FF2B5EF4-FFF2-40B4-BE49-F238E27FC236}">
              <a16:creationId xmlns:a16="http://schemas.microsoft.com/office/drawing/2014/main" id="{D686D6D1-F633-68D1-B830-3736CA6E639E}"/>
            </a:ext>
          </a:extLst>
        </xdr:cNvPr>
        <xdr:cNvCxnSpPr/>
      </xdr:nvCxnSpPr>
      <xdr:spPr>
        <a:xfrm>
          <a:off x="16774886" y="1979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127</xdr:row>
      <xdr:rowOff>19050</xdr:rowOff>
    </xdr:from>
    <xdr:to>
      <xdr:col>62</xdr:col>
      <xdr:colOff>103324</xdr:colOff>
      <xdr:row>127</xdr:row>
      <xdr:rowOff>133350</xdr:rowOff>
    </xdr:to>
    <xdr:sp macro="" textlink="">
      <xdr:nvSpPr>
        <xdr:cNvPr id="31865" name="124">
          <a:extLst>
            <a:ext uri="{FF2B5EF4-FFF2-40B4-BE49-F238E27FC236}">
              <a16:creationId xmlns:a16="http://schemas.microsoft.com/office/drawing/2014/main" id="{F6EE3A80-652B-22FF-15B8-3DF9EE63164A}"/>
            </a:ext>
          </a:extLst>
        </xdr:cNvPr>
        <xdr:cNvSpPr/>
      </xdr:nvSpPr>
      <xdr:spPr>
        <a:xfrm>
          <a:off x="16774886" y="19583400"/>
          <a:ext cx="79728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127</xdr:row>
      <xdr:rowOff>76200</xdr:rowOff>
    </xdr:from>
    <xdr:to>
      <xdr:col>57</xdr:col>
      <xdr:colOff>20411</xdr:colOff>
      <xdr:row>127</xdr:row>
      <xdr:rowOff>76200</xdr:rowOff>
    </xdr:to>
    <xdr:cxnSp macro="">
      <xdr:nvCxnSpPr>
        <xdr:cNvPr id="31866" name="직선 화살표 연결선 31865">
          <a:extLst>
            <a:ext uri="{FF2B5EF4-FFF2-40B4-BE49-F238E27FC236}">
              <a16:creationId xmlns:a16="http://schemas.microsoft.com/office/drawing/2014/main" id="{CD071D98-05B3-088D-1FC1-A0EAAA2910F9}"/>
            </a:ext>
          </a:extLst>
        </xdr:cNvPr>
        <xdr:cNvCxnSpPr/>
      </xdr:nvCxnSpPr>
      <xdr:spPr>
        <a:xfrm>
          <a:off x="16774886" y="1964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126</xdr:row>
      <xdr:rowOff>19050</xdr:rowOff>
    </xdr:from>
    <xdr:to>
      <xdr:col>81</xdr:col>
      <xdr:colOff>123734</xdr:colOff>
      <xdr:row>126</xdr:row>
      <xdr:rowOff>133350</xdr:rowOff>
    </xdr:to>
    <xdr:sp macro="" textlink="">
      <xdr:nvSpPr>
        <xdr:cNvPr id="31867" name="123">
          <a:extLst>
            <a:ext uri="{FF2B5EF4-FFF2-40B4-BE49-F238E27FC236}">
              <a16:creationId xmlns:a16="http://schemas.microsoft.com/office/drawing/2014/main" id="{42BBA705-E49B-C12B-6225-95BE3CA53D3A}"/>
            </a:ext>
          </a:extLst>
        </xdr:cNvPr>
        <xdr:cNvSpPr/>
      </xdr:nvSpPr>
      <xdr:spPr>
        <a:xfrm>
          <a:off x="16774886" y="19431000"/>
          <a:ext cx="3532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126</xdr:row>
      <xdr:rowOff>76200</xdr:rowOff>
    </xdr:from>
    <xdr:to>
      <xdr:col>57</xdr:col>
      <xdr:colOff>20411</xdr:colOff>
      <xdr:row>126</xdr:row>
      <xdr:rowOff>76200</xdr:rowOff>
    </xdr:to>
    <xdr:cxnSp macro="">
      <xdr:nvCxnSpPr>
        <xdr:cNvPr id="31868" name="직선 화살표 연결선 31867">
          <a:extLst>
            <a:ext uri="{FF2B5EF4-FFF2-40B4-BE49-F238E27FC236}">
              <a16:creationId xmlns:a16="http://schemas.microsoft.com/office/drawing/2014/main" id="{62C6AF3A-D2F7-D8B2-E80C-6EF70DFD29BD}"/>
            </a:ext>
          </a:extLst>
        </xdr:cNvPr>
        <xdr:cNvCxnSpPr/>
      </xdr:nvCxnSpPr>
      <xdr:spPr>
        <a:xfrm>
          <a:off x="16774886" y="1948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125</xdr:row>
      <xdr:rowOff>19050</xdr:rowOff>
    </xdr:from>
    <xdr:to>
      <xdr:col>56</xdr:col>
      <xdr:colOff>123734</xdr:colOff>
      <xdr:row>125</xdr:row>
      <xdr:rowOff>133350</xdr:rowOff>
    </xdr:to>
    <xdr:sp macro="" textlink="">
      <xdr:nvSpPr>
        <xdr:cNvPr id="31869" name="122">
          <a:extLst>
            <a:ext uri="{FF2B5EF4-FFF2-40B4-BE49-F238E27FC236}">
              <a16:creationId xmlns:a16="http://schemas.microsoft.com/office/drawing/2014/main" id="{B59815AE-6892-B96E-19DE-DC7BFFEB90E4}"/>
            </a:ext>
          </a:extLst>
        </xdr:cNvPr>
        <xdr:cNvSpPr/>
      </xdr:nvSpPr>
      <xdr:spPr>
        <a:xfrm>
          <a:off x="16060511" y="19278600"/>
          <a:ext cx="6748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125</xdr:row>
      <xdr:rowOff>76200</xdr:rowOff>
    </xdr:from>
    <xdr:to>
      <xdr:col>52</xdr:col>
      <xdr:colOff>20411</xdr:colOff>
      <xdr:row>125</xdr:row>
      <xdr:rowOff>76200</xdr:rowOff>
    </xdr:to>
    <xdr:cxnSp macro="">
      <xdr:nvCxnSpPr>
        <xdr:cNvPr id="31870" name="직선 화살표 연결선 31869">
          <a:extLst>
            <a:ext uri="{FF2B5EF4-FFF2-40B4-BE49-F238E27FC236}">
              <a16:creationId xmlns:a16="http://schemas.microsoft.com/office/drawing/2014/main" id="{22D77F75-2EE5-0FCA-99DA-5B477C72D555}"/>
            </a:ext>
          </a:extLst>
        </xdr:cNvPr>
        <xdr:cNvCxnSpPr/>
      </xdr:nvCxnSpPr>
      <xdr:spPr>
        <a:xfrm>
          <a:off x="16060511" y="1933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124</xdr:row>
      <xdr:rowOff>19050</xdr:rowOff>
    </xdr:from>
    <xdr:to>
      <xdr:col>56</xdr:col>
      <xdr:colOff>123734</xdr:colOff>
      <xdr:row>124</xdr:row>
      <xdr:rowOff>133350</xdr:rowOff>
    </xdr:to>
    <xdr:sp macro="" textlink="">
      <xdr:nvSpPr>
        <xdr:cNvPr id="31871" name="121">
          <a:extLst>
            <a:ext uri="{FF2B5EF4-FFF2-40B4-BE49-F238E27FC236}">
              <a16:creationId xmlns:a16="http://schemas.microsoft.com/office/drawing/2014/main" id="{9E67217A-5F4C-BFE7-BCDE-A1E22ED28879}"/>
            </a:ext>
          </a:extLst>
        </xdr:cNvPr>
        <xdr:cNvSpPr/>
      </xdr:nvSpPr>
      <xdr:spPr>
        <a:xfrm>
          <a:off x="16060511" y="19126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124</xdr:row>
      <xdr:rowOff>76200</xdr:rowOff>
    </xdr:from>
    <xdr:to>
      <xdr:col>52</xdr:col>
      <xdr:colOff>20411</xdr:colOff>
      <xdr:row>124</xdr:row>
      <xdr:rowOff>76200</xdr:rowOff>
    </xdr:to>
    <xdr:cxnSp macro="">
      <xdr:nvCxnSpPr>
        <xdr:cNvPr id="31872" name="직선 화살표 연결선 31871">
          <a:extLst>
            <a:ext uri="{FF2B5EF4-FFF2-40B4-BE49-F238E27FC236}">
              <a16:creationId xmlns:a16="http://schemas.microsoft.com/office/drawing/2014/main" id="{4C457AFB-2B72-ADB9-982D-C47B0193D152}"/>
            </a:ext>
          </a:extLst>
        </xdr:cNvPr>
        <xdr:cNvCxnSpPr/>
      </xdr:nvCxnSpPr>
      <xdr:spPr>
        <a:xfrm>
          <a:off x="16060511" y="1918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123</xdr:row>
      <xdr:rowOff>19050</xdr:rowOff>
    </xdr:from>
    <xdr:to>
      <xdr:col>81</xdr:col>
      <xdr:colOff>123734</xdr:colOff>
      <xdr:row>123</xdr:row>
      <xdr:rowOff>133350</xdr:rowOff>
    </xdr:to>
    <xdr:sp macro="" textlink="">
      <xdr:nvSpPr>
        <xdr:cNvPr id="31873" name="120">
          <a:extLst>
            <a:ext uri="{FF2B5EF4-FFF2-40B4-BE49-F238E27FC236}">
              <a16:creationId xmlns:a16="http://schemas.microsoft.com/office/drawing/2014/main" id="{F78843B6-5189-A5FA-18A0-C7BC8EE1DA4C}"/>
            </a:ext>
          </a:extLst>
        </xdr:cNvPr>
        <xdr:cNvSpPr/>
      </xdr:nvSpPr>
      <xdr:spPr>
        <a:xfrm>
          <a:off x="16060511" y="18973800"/>
          <a:ext cx="42466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123</xdr:row>
      <xdr:rowOff>76200</xdr:rowOff>
    </xdr:from>
    <xdr:to>
      <xdr:col>52</xdr:col>
      <xdr:colOff>20411</xdr:colOff>
      <xdr:row>123</xdr:row>
      <xdr:rowOff>76200</xdr:rowOff>
    </xdr:to>
    <xdr:cxnSp macro="">
      <xdr:nvCxnSpPr>
        <xdr:cNvPr id="31874" name="직선 화살표 연결선 31873">
          <a:extLst>
            <a:ext uri="{FF2B5EF4-FFF2-40B4-BE49-F238E27FC236}">
              <a16:creationId xmlns:a16="http://schemas.microsoft.com/office/drawing/2014/main" id="{239386CB-8DD0-DAE5-E13F-D490DA86302F}"/>
            </a:ext>
          </a:extLst>
        </xdr:cNvPr>
        <xdr:cNvCxnSpPr/>
      </xdr:nvCxnSpPr>
      <xdr:spPr>
        <a:xfrm>
          <a:off x="16060511" y="1903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122</xdr:row>
      <xdr:rowOff>19050</xdr:rowOff>
    </xdr:from>
    <xdr:to>
      <xdr:col>60</xdr:col>
      <xdr:colOff>123734</xdr:colOff>
      <xdr:row>122</xdr:row>
      <xdr:rowOff>133350</xdr:rowOff>
    </xdr:to>
    <xdr:sp macro="" textlink="">
      <xdr:nvSpPr>
        <xdr:cNvPr id="31875" name="119">
          <a:extLst>
            <a:ext uri="{FF2B5EF4-FFF2-40B4-BE49-F238E27FC236}">
              <a16:creationId xmlns:a16="http://schemas.microsoft.com/office/drawing/2014/main" id="{E4FFD8A7-191F-5FEE-F298-B7197213DE92}"/>
            </a:ext>
          </a:extLst>
        </xdr:cNvPr>
        <xdr:cNvSpPr/>
      </xdr:nvSpPr>
      <xdr:spPr>
        <a:xfrm>
          <a:off x="16632011" y="18821400"/>
          <a:ext cx="6748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122</xdr:row>
      <xdr:rowOff>76200</xdr:rowOff>
    </xdr:from>
    <xdr:to>
      <xdr:col>56</xdr:col>
      <xdr:colOff>20411</xdr:colOff>
      <xdr:row>122</xdr:row>
      <xdr:rowOff>76200</xdr:rowOff>
    </xdr:to>
    <xdr:cxnSp macro="">
      <xdr:nvCxnSpPr>
        <xdr:cNvPr id="31876" name="직선 화살표 연결선 31875">
          <a:extLst>
            <a:ext uri="{FF2B5EF4-FFF2-40B4-BE49-F238E27FC236}">
              <a16:creationId xmlns:a16="http://schemas.microsoft.com/office/drawing/2014/main" id="{F5223606-B93D-E5CF-D6F9-7CFE53C61CEF}"/>
            </a:ext>
          </a:extLst>
        </xdr:cNvPr>
        <xdr:cNvCxnSpPr/>
      </xdr:nvCxnSpPr>
      <xdr:spPr>
        <a:xfrm>
          <a:off x="16632011" y="1887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121</xdr:row>
      <xdr:rowOff>19050</xdr:rowOff>
    </xdr:from>
    <xdr:to>
      <xdr:col>58</xdr:col>
      <xdr:colOff>123734</xdr:colOff>
      <xdr:row>121</xdr:row>
      <xdr:rowOff>133350</xdr:rowOff>
    </xdr:to>
    <xdr:sp macro="" textlink="">
      <xdr:nvSpPr>
        <xdr:cNvPr id="31877" name="118">
          <a:extLst>
            <a:ext uri="{FF2B5EF4-FFF2-40B4-BE49-F238E27FC236}">
              <a16:creationId xmlns:a16="http://schemas.microsoft.com/office/drawing/2014/main" id="{F5E657E9-26E5-C313-894E-D3FA2E7C0E52}"/>
            </a:ext>
          </a:extLst>
        </xdr:cNvPr>
        <xdr:cNvSpPr/>
      </xdr:nvSpPr>
      <xdr:spPr>
        <a:xfrm>
          <a:off x="16489136" y="186690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121</xdr:row>
      <xdr:rowOff>76200</xdr:rowOff>
    </xdr:from>
    <xdr:to>
      <xdr:col>55</xdr:col>
      <xdr:colOff>20411</xdr:colOff>
      <xdr:row>121</xdr:row>
      <xdr:rowOff>76200</xdr:rowOff>
    </xdr:to>
    <xdr:cxnSp macro="">
      <xdr:nvCxnSpPr>
        <xdr:cNvPr id="31878" name="직선 화살표 연결선 31877">
          <a:extLst>
            <a:ext uri="{FF2B5EF4-FFF2-40B4-BE49-F238E27FC236}">
              <a16:creationId xmlns:a16="http://schemas.microsoft.com/office/drawing/2014/main" id="{603CE0F0-D889-978B-F881-F68EF580253F}"/>
            </a:ext>
          </a:extLst>
        </xdr:cNvPr>
        <xdr:cNvCxnSpPr/>
      </xdr:nvCxnSpPr>
      <xdr:spPr>
        <a:xfrm>
          <a:off x="16489136" y="1872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120</xdr:row>
      <xdr:rowOff>19050</xdr:rowOff>
    </xdr:from>
    <xdr:to>
      <xdr:col>57</xdr:col>
      <xdr:colOff>123734</xdr:colOff>
      <xdr:row>120</xdr:row>
      <xdr:rowOff>133350</xdr:rowOff>
    </xdr:to>
    <xdr:sp macro="" textlink="">
      <xdr:nvSpPr>
        <xdr:cNvPr id="31879" name="117">
          <a:extLst>
            <a:ext uri="{FF2B5EF4-FFF2-40B4-BE49-F238E27FC236}">
              <a16:creationId xmlns:a16="http://schemas.microsoft.com/office/drawing/2014/main" id="{2EE5F098-9F51-393D-4635-C83EB500C0B6}"/>
            </a:ext>
          </a:extLst>
        </xdr:cNvPr>
        <xdr:cNvSpPr/>
      </xdr:nvSpPr>
      <xdr:spPr>
        <a:xfrm>
          <a:off x="16346261" y="185166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120</xdr:row>
      <xdr:rowOff>76200</xdr:rowOff>
    </xdr:from>
    <xdr:to>
      <xdr:col>54</xdr:col>
      <xdr:colOff>20411</xdr:colOff>
      <xdr:row>120</xdr:row>
      <xdr:rowOff>76200</xdr:rowOff>
    </xdr:to>
    <xdr:cxnSp macro="">
      <xdr:nvCxnSpPr>
        <xdr:cNvPr id="31880" name="직선 화살표 연결선 31879">
          <a:extLst>
            <a:ext uri="{FF2B5EF4-FFF2-40B4-BE49-F238E27FC236}">
              <a16:creationId xmlns:a16="http://schemas.microsoft.com/office/drawing/2014/main" id="{536600E2-EF3F-B69D-F2F2-0E14ABDA5A30}"/>
            </a:ext>
          </a:extLst>
        </xdr:cNvPr>
        <xdr:cNvCxnSpPr/>
      </xdr:nvCxnSpPr>
      <xdr:spPr>
        <a:xfrm>
          <a:off x="16346261" y="1857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102054</xdr:colOff>
      <xdr:row>119</xdr:row>
      <xdr:rowOff>19050</xdr:rowOff>
    </xdr:from>
    <xdr:to>
      <xdr:col>53</xdr:col>
      <xdr:colOff>123734</xdr:colOff>
      <xdr:row>119</xdr:row>
      <xdr:rowOff>133350</xdr:rowOff>
    </xdr:to>
    <xdr:sp macro="" textlink="">
      <xdr:nvSpPr>
        <xdr:cNvPr id="31881" name="116">
          <a:extLst>
            <a:ext uri="{FF2B5EF4-FFF2-40B4-BE49-F238E27FC236}">
              <a16:creationId xmlns:a16="http://schemas.microsoft.com/office/drawing/2014/main" id="{3CE0FB3F-E1AC-A735-ADBA-191DE548AD40}"/>
            </a:ext>
          </a:extLst>
        </xdr:cNvPr>
        <xdr:cNvSpPr/>
      </xdr:nvSpPr>
      <xdr:spPr>
        <a:xfrm>
          <a:off x="15999279" y="18364200"/>
          <a:ext cx="30743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102054</xdr:colOff>
      <xdr:row>119</xdr:row>
      <xdr:rowOff>76200</xdr:rowOff>
    </xdr:from>
    <xdr:to>
      <xdr:col>51</xdr:col>
      <xdr:colOff>102054</xdr:colOff>
      <xdr:row>119</xdr:row>
      <xdr:rowOff>76200</xdr:rowOff>
    </xdr:to>
    <xdr:cxnSp macro="">
      <xdr:nvCxnSpPr>
        <xdr:cNvPr id="31882" name="직선 화살표 연결선 31881">
          <a:extLst>
            <a:ext uri="{FF2B5EF4-FFF2-40B4-BE49-F238E27FC236}">
              <a16:creationId xmlns:a16="http://schemas.microsoft.com/office/drawing/2014/main" id="{1C86B78E-A699-FDD6-C8B1-86912B084C06}"/>
            </a:ext>
          </a:extLst>
        </xdr:cNvPr>
        <xdr:cNvCxnSpPr/>
      </xdr:nvCxnSpPr>
      <xdr:spPr>
        <a:xfrm>
          <a:off x="15999279" y="1842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118</xdr:row>
      <xdr:rowOff>19050</xdr:rowOff>
    </xdr:from>
    <xdr:to>
      <xdr:col>51</xdr:col>
      <xdr:colOff>123734</xdr:colOff>
      <xdr:row>118</xdr:row>
      <xdr:rowOff>133350</xdr:rowOff>
    </xdr:to>
    <xdr:sp macro="" textlink="">
      <xdr:nvSpPr>
        <xdr:cNvPr id="31883" name="115">
          <a:extLst>
            <a:ext uri="{FF2B5EF4-FFF2-40B4-BE49-F238E27FC236}">
              <a16:creationId xmlns:a16="http://schemas.microsoft.com/office/drawing/2014/main" id="{2E2C4F3D-4BFA-E776-EE75-17891C985409}"/>
            </a:ext>
          </a:extLst>
        </xdr:cNvPr>
        <xdr:cNvSpPr/>
      </xdr:nvSpPr>
      <xdr:spPr>
        <a:xfrm>
          <a:off x="15774761" y="18211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118</xdr:row>
      <xdr:rowOff>76200</xdr:rowOff>
    </xdr:from>
    <xdr:to>
      <xdr:col>50</xdr:col>
      <xdr:colOff>20411</xdr:colOff>
      <xdr:row>118</xdr:row>
      <xdr:rowOff>76200</xdr:rowOff>
    </xdr:to>
    <xdr:cxnSp macro="">
      <xdr:nvCxnSpPr>
        <xdr:cNvPr id="31884" name="직선 화살표 연결선 31883">
          <a:extLst>
            <a:ext uri="{FF2B5EF4-FFF2-40B4-BE49-F238E27FC236}">
              <a16:creationId xmlns:a16="http://schemas.microsoft.com/office/drawing/2014/main" id="{AA89E364-8912-CC15-584B-F704D54AB115}"/>
            </a:ext>
          </a:extLst>
        </xdr:cNvPr>
        <xdr:cNvCxnSpPr/>
      </xdr:nvCxnSpPr>
      <xdr:spPr>
        <a:xfrm>
          <a:off x="15774761" y="1826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117</xdr:row>
      <xdr:rowOff>19050</xdr:rowOff>
    </xdr:from>
    <xdr:to>
      <xdr:col>49</xdr:col>
      <xdr:colOff>123734</xdr:colOff>
      <xdr:row>117</xdr:row>
      <xdr:rowOff>133350</xdr:rowOff>
    </xdr:to>
    <xdr:sp macro="" textlink="">
      <xdr:nvSpPr>
        <xdr:cNvPr id="31885" name="114">
          <a:extLst>
            <a:ext uri="{FF2B5EF4-FFF2-40B4-BE49-F238E27FC236}">
              <a16:creationId xmlns:a16="http://schemas.microsoft.com/office/drawing/2014/main" id="{DA7F60E2-501B-7B49-6854-5D016B7F7910}"/>
            </a:ext>
          </a:extLst>
        </xdr:cNvPr>
        <xdr:cNvSpPr/>
      </xdr:nvSpPr>
      <xdr:spPr>
        <a:xfrm>
          <a:off x="15346136" y="180594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117</xdr:row>
      <xdr:rowOff>76200</xdr:rowOff>
    </xdr:from>
    <xdr:to>
      <xdr:col>47</xdr:col>
      <xdr:colOff>20411</xdr:colOff>
      <xdr:row>117</xdr:row>
      <xdr:rowOff>76200</xdr:rowOff>
    </xdr:to>
    <xdr:cxnSp macro="">
      <xdr:nvCxnSpPr>
        <xdr:cNvPr id="31886" name="직선 화살표 연결선 31885">
          <a:extLst>
            <a:ext uri="{FF2B5EF4-FFF2-40B4-BE49-F238E27FC236}">
              <a16:creationId xmlns:a16="http://schemas.microsoft.com/office/drawing/2014/main" id="{F6435052-9716-E72C-41AA-3CA92AB56C51}"/>
            </a:ext>
          </a:extLst>
        </xdr:cNvPr>
        <xdr:cNvCxnSpPr/>
      </xdr:nvCxnSpPr>
      <xdr:spPr>
        <a:xfrm>
          <a:off x="15346136" y="1811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116</xdr:row>
      <xdr:rowOff>19050</xdr:rowOff>
    </xdr:from>
    <xdr:to>
      <xdr:col>46</xdr:col>
      <xdr:colOff>123734</xdr:colOff>
      <xdr:row>116</xdr:row>
      <xdr:rowOff>133350</xdr:rowOff>
    </xdr:to>
    <xdr:sp macro="" textlink="">
      <xdr:nvSpPr>
        <xdr:cNvPr id="31887" name="113">
          <a:extLst>
            <a:ext uri="{FF2B5EF4-FFF2-40B4-BE49-F238E27FC236}">
              <a16:creationId xmlns:a16="http://schemas.microsoft.com/office/drawing/2014/main" id="{3EF33BF6-E26E-A7C5-F4EC-2A8D48CC09DC}"/>
            </a:ext>
          </a:extLst>
        </xdr:cNvPr>
        <xdr:cNvSpPr/>
      </xdr:nvSpPr>
      <xdr:spPr>
        <a:xfrm>
          <a:off x="14774636" y="179070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116</xdr:row>
      <xdr:rowOff>76200</xdr:rowOff>
    </xdr:from>
    <xdr:to>
      <xdr:col>43</xdr:col>
      <xdr:colOff>20411</xdr:colOff>
      <xdr:row>116</xdr:row>
      <xdr:rowOff>76200</xdr:rowOff>
    </xdr:to>
    <xdr:cxnSp macro="">
      <xdr:nvCxnSpPr>
        <xdr:cNvPr id="31888" name="직선 화살표 연결선 31887">
          <a:extLst>
            <a:ext uri="{FF2B5EF4-FFF2-40B4-BE49-F238E27FC236}">
              <a16:creationId xmlns:a16="http://schemas.microsoft.com/office/drawing/2014/main" id="{312D6E99-5C53-FA48-DF8A-F3F6312629BA}"/>
            </a:ext>
          </a:extLst>
        </xdr:cNvPr>
        <xdr:cNvCxnSpPr/>
      </xdr:nvCxnSpPr>
      <xdr:spPr>
        <a:xfrm>
          <a:off x="14774636" y="1796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115</xdr:row>
      <xdr:rowOff>19050</xdr:rowOff>
    </xdr:from>
    <xdr:to>
      <xdr:col>44</xdr:col>
      <xdr:colOff>123734</xdr:colOff>
      <xdr:row>115</xdr:row>
      <xdr:rowOff>133350</xdr:rowOff>
    </xdr:to>
    <xdr:sp macro="" textlink="">
      <xdr:nvSpPr>
        <xdr:cNvPr id="31889" name="112">
          <a:extLst>
            <a:ext uri="{FF2B5EF4-FFF2-40B4-BE49-F238E27FC236}">
              <a16:creationId xmlns:a16="http://schemas.microsoft.com/office/drawing/2014/main" id="{FE482EF8-EB2B-4D81-C91B-4A8F30CC79D6}"/>
            </a:ext>
          </a:extLst>
        </xdr:cNvPr>
        <xdr:cNvSpPr/>
      </xdr:nvSpPr>
      <xdr:spPr>
        <a:xfrm>
          <a:off x="14488886" y="177546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115</xdr:row>
      <xdr:rowOff>76200</xdr:rowOff>
    </xdr:from>
    <xdr:to>
      <xdr:col>41</xdr:col>
      <xdr:colOff>20411</xdr:colOff>
      <xdr:row>115</xdr:row>
      <xdr:rowOff>76200</xdr:rowOff>
    </xdr:to>
    <xdr:cxnSp macro="">
      <xdr:nvCxnSpPr>
        <xdr:cNvPr id="31890" name="직선 화살표 연결선 31889">
          <a:extLst>
            <a:ext uri="{FF2B5EF4-FFF2-40B4-BE49-F238E27FC236}">
              <a16:creationId xmlns:a16="http://schemas.microsoft.com/office/drawing/2014/main" id="{9E7A8938-9A4F-D739-1CC2-1CFD4A31C38E}"/>
            </a:ext>
          </a:extLst>
        </xdr:cNvPr>
        <xdr:cNvCxnSpPr/>
      </xdr:nvCxnSpPr>
      <xdr:spPr>
        <a:xfrm>
          <a:off x="14488886" y="1781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114</xdr:row>
      <xdr:rowOff>19050</xdr:rowOff>
    </xdr:from>
    <xdr:to>
      <xdr:col>60</xdr:col>
      <xdr:colOff>123734</xdr:colOff>
      <xdr:row>114</xdr:row>
      <xdr:rowOff>133350</xdr:rowOff>
    </xdr:to>
    <xdr:sp macro="" textlink="">
      <xdr:nvSpPr>
        <xdr:cNvPr id="31891" name="111">
          <a:extLst>
            <a:ext uri="{FF2B5EF4-FFF2-40B4-BE49-F238E27FC236}">
              <a16:creationId xmlns:a16="http://schemas.microsoft.com/office/drawing/2014/main" id="{8D944570-3FCB-4A20-60EF-1C1116AAB341}"/>
            </a:ext>
          </a:extLst>
        </xdr:cNvPr>
        <xdr:cNvSpPr/>
      </xdr:nvSpPr>
      <xdr:spPr>
        <a:xfrm>
          <a:off x="14488886" y="17602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114</xdr:row>
      <xdr:rowOff>76200</xdr:rowOff>
    </xdr:from>
    <xdr:to>
      <xdr:col>41</xdr:col>
      <xdr:colOff>20411</xdr:colOff>
      <xdr:row>114</xdr:row>
      <xdr:rowOff>76200</xdr:rowOff>
    </xdr:to>
    <xdr:cxnSp macro="">
      <xdr:nvCxnSpPr>
        <xdr:cNvPr id="31892" name="직선 화살표 연결선 31891">
          <a:extLst>
            <a:ext uri="{FF2B5EF4-FFF2-40B4-BE49-F238E27FC236}">
              <a16:creationId xmlns:a16="http://schemas.microsoft.com/office/drawing/2014/main" id="{64F2791D-1230-8C58-25A1-16DD593F1B71}"/>
            </a:ext>
          </a:extLst>
        </xdr:cNvPr>
        <xdr:cNvCxnSpPr/>
      </xdr:nvCxnSpPr>
      <xdr:spPr>
        <a:xfrm>
          <a:off x="14488886" y="1765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113</xdr:row>
      <xdr:rowOff>19050</xdr:rowOff>
    </xdr:from>
    <xdr:to>
      <xdr:col>41</xdr:col>
      <xdr:colOff>123734</xdr:colOff>
      <xdr:row>113</xdr:row>
      <xdr:rowOff>133350</xdr:rowOff>
    </xdr:to>
    <xdr:sp macro="" textlink="">
      <xdr:nvSpPr>
        <xdr:cNvPr id="31893" name="110">
          <a:extLst>
            <a:ext uri="{FF2B5EF4-FFF2-40B4-BE49-F238E27FC236}">
              <a16:creationId xmlns:a16="http://schemas.microsoft.com/office/drawing/2014/main" id="{8E5906F5-86F8-909F-CB6C-E151DE9B2422}"/>
            </a:ext>
          </a:extLst>
        </xdr:cNvPr>
        <xdr:cNvSpPr/>
      </xdr:nvSpPr>
      <xdr:spPr>
        <a:xfrm>
          <a:off x="14550118" y="174498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113</xdr:row>
      <xdr:rowOff>76200</xdr:rowOff>
    </xdr:from>
    <xdr:to>
      <xdr:col>41</xdr:col>
      <xdr:colOff>81643</xdr:colOff>
      <xdr:row>113</xdr:row>
      <xdr:rowOff>76200</xdr:rowOff>
    </xdr:to>
    <xdr:cxnSp macro="">
      <xdr:nvCxnSpPr>
        <xdr:cNvPr id="31894" name="직선 화살표 연결선 31893">
          <a:extLst>
            <a:ext uri="{FF2B5EF4-FFF2-40B4-BE49-F238E27FC236}">
              <a16:creationId xmlns:a16="http://schemas.microsoft.com/office/drawing/2014/main" id="{DB45E7DA-A24D-AE8F-F4ED-4901DA975678}"/>
            </a:ext>
          </a:extLst>
        </xdr:cNvPr>
        <xdr:cNvCxnSpPr/>
      </xdr:nvCxnSpPr>
      <xdr:spPr>
        <a:xfrm>
          <a:off x="14550118" y="1750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112</xdr:row>
      <xdr:rowOff>19050</xdr:rowOff>
    </xdr:from>
    <xdr:to>
      <xdr:col>41</xdr:col>
      <xdr:colOff>21681</xdr:colOff>
      <xdr:row>112</xdr:row>
      <xdr:rowOff>133350</xdr:rowOff>
    </xdr:to>
    <xdr:sp macro="" textlink="">
      <xdr:nvSpPr>
        <xdr:cNvPr id="31895" name="109">
          <a:extLst>
            <a:ext uri="{FF2B5EF4-FFF2-40B4-BE49-F238E27FC236}">
              <a16:creationId xmlns:a16="http://schemas.microsoft.com/office/drawing/2014/main" id="{189991E2-591E-AF27-0A24-F074CBBE4CB2}"/>
            </a:ext>
          </a:extLst>
        </xdr:cNvPr>
        <xdr:cNvSpPr/>
      </xdr:nvSpPr>
      <xdr:spPr>
        <a:xfrm>
          <a:off x="14325600" y="172974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112</xdr:row>
      <xdr:rowOff>76200</xdr:rowOff>
    </xdr:from>
    <xdr:to>
      <xdr:col>40</xdr:col>
      <xdr:colOff>0</xdr:colOff>
      <xdr:row>112</xdr:row>
      <xdr:rowOff>76200</xdr:rowOff>
    </xdr:to>
    <xdr:cxnSp macro="">
      <xdr:nvCxnSpPr>
        <xdr:cNvPr id="31896" name="직선 화살표 연결선 31895">
          <a:extLst>
            <a:ext uri="{FF2B5EF4-FFF2-40B4-BE49-F238E27FC236}">
              <a16:creationId xmlns:a16="http://schemas.microsoft.com/office/drawing/2014/main" id="{A059E0BA-3A8D-A8B2-72F0-8677E6A897A4}"/>
            </a:ext>
          </a:extLst>
        </xdr:cNvPr>
        <xdr:cNvCxnSpPr/>
      </xdr:nvCxnSpPr>
      <xdr:spPr>
        <a:xfrm>
          <a:off x="14325600" y="1735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111</xdr:row>
      <xdr:rowOff>19050</xdr:rowOff>
    </xdr:from>
    <xdr:to>
      <xdr:col>39</xdr:col>
      <xdr:colOff>123734</xdr:colOff>
      <xdr:row>111</xdr:row>
      <xdr:rowOff>133350</xdr:rowOff>
    </xdr:to>
    <xdr:sp macro="" textlink="">
      <xdr:nvSpPr>
        <xdr:cNvPr id="31897" name="108">
          <a:extLst>
            <a:ext uri="{FF2B5EF4-FFF2-40B4-BE49-F238E27FC236}">
              <a16:creationId xmlns:a16="http://schemas.microsoft.com/office/drawing/2014/main" id="{4C5A38BA-AAA7-E44D-C5B1-C34F3E07D975}"/>
            </a:ext>
          </a:extLst>
        </xdr:cNvPr>
        <xdr:cNvSpPr/>
      </xdr:nvSpPr>
      <xdr:spPr>
        <a:xfrm>
          <a:off x="14203136" y="17145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111</xdr:row>
      <xdr:rowOff>76200</xdr:rowOff>
    </xdr:from>
    <xdr:to>
      <xdr:col>39</xdr:col>
      <xdr:colOff>96951</xdr:colOff>
      <xdr:row>111</xdr:row>
      <xdr:rowOff>76200</xdr:rowOff>
    </xdr:to>
    <xdr:cxnSp macro="">
      <xdr:nvCxnSpPr>
        <xdr:cNvPr id="31898" name="직선 화살표 연결선 31897">
          <a:extLst>
            <a:ext uri="{FF2B5EF4-FFF2-40B4-BE49-F238E27FC236}">
              <a16:creationId xmlns:a16="http://schemas.microsoft.com/office/drawing/2014/main" id="{219CE1BF-43EF-0005-5958-D84C78808D65}"/>
            </a:ext>
          </a:extLst>
        </xdr:cNvPr>
        <xdr:cNvCxnSpPr/>
      </xdr:nvCxnSpPr>
      <xdr:spPr>
        <a:xfrm>
          <a:off x="14203136" y="17202150"/>
          <a:ext cx="765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110</xdr:row>
      <xdr:rowOff>19050</xdr:rowOff>
    </xdr:from>
    <xdr:to>
      <xdr:col>38</xdr:col>
      <xdr:colOff>123734</xdr:colOff>
      <xdr:row>110</xdr:row>
      <xdr:rowOff>133350</xdr:rowOff>
    </xdr:to>
    <xdr:sp macro="" textlink="">
      <xdr:nvSpPr>
        <xdr:cNvPr id="31899" name="107">
          <a:extLst>
            <a:ext uri="{FF2B5EF4-FFF2-40B4-BE49-F238E27FC236}">
              <a16:creationId xmlns:a16="http://schemas.microsoft.com/office/drawing/2014/main" id="{D8F21708-0D36-07BE-D869-4F927DE60B89}"/>
            </a:ext>
          </a:extLst>
        </xdr:cNvPr>
        <xdr:cNvSpPr/>
      </xdr:nvSpPr>
      <xdr:spPr>
        <a:xfrm>
          <a:off x="14060261" y="16992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110</xdr:row>
      <xdr:rowOff>76200</xdr:rowOff>
    </xdr:from>
    <xdr:to>
      <xdr:col>38</xdr:col>
      <xdr:colOff>122464</xdr:colOff>
      <xdr:row>110</xdr:row>
      <xdr:rowOff>76200</xdr:rowOff>
    </xdr:to>
    <xdr:cxnSp macro="">
      <xdr:nvCxnSpPr>
        <xdr:cNvPr id="31900" name="직선 화살표 연결선 31899">
          <a:extLst>
            <a:ext uri="{FF2B5EF4-FFF2-40B4-BE49-F238E27FC236}">
              <a16:creationId xmlns:a16="http://schemas.microsoft.com/office/drawing/2014/main" id="{3E73D5D7-AC30-B412-B76F-70166E6FF704}"/>
            </a:ext>
          </a:extLst>
        </xdr:cNvPr>
        <xdr:cNvCxnSpPr/>
      </xdr:nvCxnSpPr>
      <xdr:spPr>
        <a:xfrm>
          <a:off x="14060261" y="17049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109</xdr:row>
      <xdr:rowOff>19050</xdr:rowOff>
    </xdr:from>
    <xdr:to>
      <xdr:col>41</xdr:col>
      <xdr:colOff>123734</xdr:colOff>
      <xdr:row>109</xdr:row>
      <xdr:rowOff>133350</xdr:rowOff>
    </xdr:to>
    <xdr:sp macro="" textlink="">
      <xdr:nvSpPr>
        <xdr:cNvPr id="31901" name="106">
          <a:extLst>
            <a:ext uri="{FF2B5EF4-FFF2-40B4-BE49-F238E27FC236}">
              <a16:creationId xmlns:a16="http://schemas.microsoft.com/office/drawing/2014/main" id="{61FFC6F6-05E5-5F18-56C2-FDEFEF668957}"/>
            </a:ext>
          </a:extLst>
        </xdr:cNvPr>
        <xdr:cNvSpPr/>
      </xdr:nvSpPr>
      <xdr:spPr>
        <a:xfrm>
          <a:off x="14060261" y="16840200"/>
          <a:ext cx="531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109</xdr:row>
      <xdr:rowOff>76200</xdr:rowOff>
    </xdr:from>
    <xdr:to>
      <xdr:col>40</xdr:col>
      <xdr:colOff>0</xdr:colOff>
      <xdr:row>109</xdr:row>
      <xdr:rowOff>76200</xdr:rowOff>
    </xdr:to>
    <xdr:cxnSp macro="">
      <xdr:nvCxnSpPr>
        <xdr:cNvPr id="31902" name="직선 화살표 연결선 31901">
          <a:extLst>
            <a:ext uri="{FF2B5EF4-FFF2-40B4-BE49-F238E27FC236}">
              <a16:creationId xmlns:a16="http://schemas.microsoft.com/office/drawing/2014/main" id="{B93B849B-634D-9A0D-5DF9-4742D1FBDFD2}"/>
            </a:ext>
          </a:extLst>
        </xdr:cNvPr>
        <xdr:cNvCxnSpPr/>
      </xdr:nvCxnSpPr>
      <xdr:spPr>
        <a:xfrm>
          <a:off x="14060261" y="16897350"/>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108</xdr:row>
      <xdr:rowOff>19050</xdr:rowOff>
    </xdr:from>
    <xdr:to>
      <xdr:col>60</xdr:col>
      <xdr:colOff>123734</xdr:colOff>
      <xdr:row>108</xdr:row>
      <xdr:rowOff>133350</xdr:rowOff>
    </xdr:to>
    <xdr:sp macro="" textlink="">
      <xdr:nvSpPr>
        <xdr:cNvPr id="31903" name="105">
          <a:extLst>
            <a:ext uri="{FF2B5EF4-FFF2-40B4-BE49-F238E27FC236}">
              <a16:creationId xmlns:a16="http://schemas.microsoft.com/office/drawing/2014/main" id="{0A60DFD3-86E4-CD36-A478-D1D8BCDA050B}"/>
            </a:ext>
          </a:extLst>
        </xdr:cNvPr>
        <xdr:cNvSpPr/>
      </xdr:nvSpPr>
      <xdr:spPr>
        <a:xfrm>
          <a:off x="14060261" y="16687800"/>
          <a:ext cx="32465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108</xdr:row>
      <xdr:rowOff>76200</xdr:rowOff>
    </xdr:from>
    <xdr:to>
      <xdr:col>39</xdr:col>
      <xdr:colOff>55361</xdr:colOff>
      <xdr:row>108</xdr:row>
      <xdr:rowOff>76200</xdr:rowOff>
    </xdr:to>
    <xdr:cxnSp macro="">
      <xdr:nvCxnSpPr>
        <xdr:cNvPr id="31904" name="직선 화살표 연결선 31903">
          <a:extLst>
            <a:ext uri="{FF2B5EF4-FFF2-40B4-BE49-F238E27FC236}">
              <a16:creationId xmlns:a16="http://schemas.microsoft.com/office/drawing/2014/main" id="{827A63D7-B850-0CC5-B06B-053D6C40B512}"/>
            </a:ext>
          </a:extLst>
        </xdr:cNvPr>
        <xdr:cNvCxnSpPr/>
      </xdr:nvCxnSpPr>
      <xdr:spPr>
        <a:xfrm>
          <a:off x="14060261" y="16744950"/>
          <a:ext cx="1778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104</xdr:row>
      <xdr:rowOff>19050</xdr:rowOff>
    </xdr:from>
    <xdr:to>
      <xdr:col>79</xdr:col>
      <xdr:colOff>123734</xdr:colOff>
      <xdr:row>104</xdr:row>
      <xdr:rowOff>133350</xdr:rowOff>
    </xdr:to>
    <xdr:sp macro="" textlink="">
      <xdr:nvSpPr>
        <xdr:cNvPr id="31905" name="101">
          <a:extLst>
            <a:ext uri="{FF2B5EF4-FFF2-40B4-BE49-F238E27FC236}">
              <a16:creationId xmlns:a16="http://schemas.microsoft.com/office/drawing/2014/main" id="{AC7578A6-698D-4BFB-F04F-035BA97958B4}"/>
            </a:ext>
          </a:extLst>
        </xdr:cNvPr>
        <xdr:cNvSpPr/>
      </xdr:nvSpPr>
      <xdr:spPr>
        <a:xfrm>
          <a:off x="17346386" y="160782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104</xdr:row>
      <xdr:rowOff>76200</xdr:rowOff>
    </xdr:from>
    <xdr:to>
      <xdr:col>61</xdr:col>
      <xdr:colOff>20411</xdr:colOff>
      <xdr:row>104</xdr:row>
      <xdr:rowOff>76200</xdr:rowOff>
    </xdr:to>
    <xdr:cxnSp macro="">
      <xdr:nvCxnSpPr>
        <xdr:cNvPr id="31906" name="직선 화살표 연결선 31905">
          <a:extLst>
            <a:ext uri="{FF2B5EF4-FFF2-40B4-BE49-F238E27FC236}">
              <a16:creationId xmlns:a16="http://schemas.microsoft.com/office/drawing/2014/main" id="{651BB068-B3AA-5840-9868-B0716025DE04}"/>
            </a:ext>
          </a:extLst>
        </xdr:cNvPr>
        <xdr:cNvCxnSpPr/>
      </xdr:nvCxnSpPr>
      <xdr:spPr>
        <a:xfrm>
          <a:off x="17346386" y="1613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103</xdr:row>
      <xdr:rowOff>19050</xdr:rowOff>
    </xdr:from>
    <xdr:to>
      <xdr:col>79</xdr:col>
      <xdr:colOff>123734</xdr:colOff>
      <xdr:row>103</xdr:row>
      <xdr:rowOff>133350</xdr:rowOff>
    </xdr:to>
    <xdr:sp macro="" textlink="">
      <xdr:nvSpPr>
        <xdr:cNvPr id="31907" name="100">
          <a:extLst>
            <a:ext uri="{FF2B5EF4-FFF2-40B4-BE49-F238E27FC236}">
              <a16:creationId xmlns:a16="http://schemas.microsoft.com/office/drawing/2014/main" id="{5A10D537-3D9C-9294-10E7-1D03D3B62E18}"/>
            </a:ext>
          </a:extLst>
        </xdr:cNvPr>
        <xdr:cNvSpPr/>
      </xdr:nvSpPr>
      <xdr:spPr>
        <a:xfrm>
          <a:off x="17203511" y="159258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103</xdr:row>
      <xdr:rowOff>76200</xdr:rowOff>
    </xdr:from>
    <xdr:to>
      <xdr:col>60</xdr:col>
      <xdr:colOff>20411</xdr:colOff>
      <xdr:row>103</xdr:row>
      <xdr:rowOff>76200</xdr:rowOff>
    </xdr:to>
    <xdr:cxnSp macro="">
      <xdr:nvCxnSpPr>
        <xdr:cNvPr id="31908" name="직선 화살표 연결선 31907">
          <a:extLst>
            <a:ext uri="{FF2B5EF4-FFF2-40B4-BE49-F238E27FC236}">
              <a16:creationId xmlns:a16="http://schemas.microsoft.com/office/drawing/2014/main" id="{A4714ECE-FD26-EADA-FAF2-7739865A98AD}"/>
            </a:ext>
          </a:extLst>
        </xdr:cNvPr>
        <xdr:cNvCxnSpPr/>
      </xdr:nvCxnSpPr>
      <xdr:spPr>
        <a:xfrm>
          <a:off x="17203511" y="1598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102</xdr:row>
      <xdr:rowOff>19050</xdr:rowOff>
    </xdr:from>
    <xdr:to>
      <xdr:col>79</xdr:col>
      <xdr:colOff>123734</xdr:colOff>
      <xdr:row>102</xdr:row>
      <xdr:rowOff>133350</xdr:rowOff>
    </xdr:to>
    <xdr:sp macro="" textlink="">
      <xdr:nvSpPr>
        <xdr:cNvPr id="31909" name="99">
          <a:extLst>
            <a:ext uri="{FF2B5EF4-FFF2-40B4-BE49-F238E27FC236}">
              <a16:creationId xmlns:a16="http://schemas.microsoft.com/office/drawing/2014/main" id="{8E5DBF1B-32F9-6DE2-D6F8-06EF2AC8387C}"/>
            </a:ext>
          </a:extLst>
        </xdr:cNvPr>
        <xdr:cNvSpPr/>
      </xdr:nvSpPr>
      <xdr:spPr>
        <a:xfrm>
          <a:off x="17203511" y="15773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102</xdr:row>
      <xdr:rowOff>76200</xdr:rowOff>
    </xdr:from>
    <xdr:to>
      <xdr:col>60</xdr:col>
      <xdr:colOff>20411</xdr:colOff>
      <xdr:row>102</xdr:row>
      <xdr:rowOff>76200</xdr:rowOff>
    </xdr:to>
    <xdr:cxnSp macro="">
      <xdr:nvCxnSpPr>
        <xdr:cNvPr id="31910" name="직선 화살표 연결선 31909">
          <a:extLst>
            <a:ext uri="{FF2B5EF4-FFF2-40B4-BE49-F238E27FC236}">
              <a16:creationId xmlns:a16="http://schemas.microsoft.com/office/drawing/2014/main" id="{B5D4ACB2-DDFE-7CF3-DFD7-A87CC46A4ADA}"/>
            </a:ext>
          </a:extLst>
        </xdr:cNvPr>
        <xdr:cNvCxnSpPr/>
      </xdr:nvCxnSpPr>
      <xdr:spPr>
        <a:xfrm>
          <a:off x="17203511" y="1583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101</xdr:row>
      <xdr:rowOff>19050</xdr:rowOff>
    </xdr:from>
    <xdr:to>
      <xdr:col>79</xdr:col>
      <xdr:colOff>123734</xdr:colOff>
      <xdr:row>101</xdr:row>
      <xdr:rowOff>133350</xdr:rowOff>
    </xdr:to>
    <xdr:sp macro="" textlink="">
      <xdr:nvSpPr>
        <xdr:cNvPr id="31911" name="98">
          <a:extLst>
            <a:ext uri="{FF2B5EF4-FFF2-40B4-BE49-F238E27FC236}">
              <a16:creationId xmlns:a16="http://schemas.microsoft.com/office/drawing/2014/main" id="{EDD8DBE4-2438-95DB-E97C-128790BAA425}"/>
            </a:ext>
          </a:extLst>
        </xdr:cNvPr>
        <xdr:cNvSpPr/>
      </xdr:nvSpPr>
      <xdr:spPr>
        <a:xfrm>
          <a:off x="17346386" y="156210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101</xdr:row>
      <xdr:rowOff>76200</xdr:rowOff>
    </xdr:from>
    <xdr:to>
      <xdr:col>61</xdr:col>
      <xdr:colOff>20411</xdr:colOff>
      <xdr:row>101</xdr:row>
      <xdr:rowOff>76200</xdr:rowOff>
    </xdr:to>
    <xdr:cxnSp macro="">
      <xdr:nvCxnSpPr>
        <xdr:cNvPr id="31912" name="직선 화살표 연결선 31911">
          <a:extLst>
            <a:ext uri="{FF2B5EF4-FFF2-40B4-BE49-F238E27FC236}">
              <a16:creationId xmlns:a16="http://schemas.microsoft.com/office/drawing/2014/main" id="{819047F3-8502-982E-22CD-A998DD32DF77}"/>
            </a:ext>
          </a:extLst>
        </xdr:cNvPr>
        <xdr:cNvCxnSpPr/>
      </xdr:nvCxnSpPr>
      <xdr:spPr>
        <a:xfrm>
          <a:off x="17346386" y="1567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100</xdr:row>
      <xdr:rowOff>19050</xdr:rowOff>
    </xdr:from>
    <xdr:to>
      <xdr:col>79</xdr:col>
      <xdr:colOff>123734</xdr:colOff>
      <xdr:row>100</xdr:row>
      <xdr:rowOff>133350</xdr:rowOff>
    </xdr:to>
    <xdr:sp macro="" textlink="">
      <xdr:nvSpPr>
        <xdr:cNvPr id="31913" name="97">
          <a:extLst>
            <a:ext uri="{FF2B5EF4-FFF2-40B4-BE49-F238E27FC236}">
              <a16:creationId xmlns:a16="http://schemas.microsoft.com/office/drawing/2014/main" id="{1B6C450E-0A19-5618-DE45-C4DF900056B4}"/>
            </a:ext>
          </a:extLst>
        </xdr:cNvPr>
        <xdr:cNvSpPr/>
      </xdr:nvSpPr>
      <xdr:spPr>
        <a:xfrm>
          <a:off x="17203511" y="154686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100</xdr:row>
      <xdr:rowOff>76200</xdr:rowOff>
    </xdr:from>
    <xdr:to>
      <xdr:col>60</xdr:col>
      <xdr:colOff>20411</xdr:colOff>
      <xdr:row>100</xdr:row>
      <xdr:rowOff>76200</xdr:rowOff>
    </xdr:to>
    <xdr:cxnSp macro="">
      <xdr:nvCxnSpPr>
        <xdr:cNvPr id="31914" name="직선 화살표 연결선 31913">
          <a:extLst>
            <a:ext uri="{FF2B5EF4-FFF2-40B4-BE49-F238E27FC236}">
              <a16:creationId xmlns:a16="http://schemas.microsoft.com/office/drawing/2014/main" id="{BC4A49D7-81B7-20FE-B25C-4B9327965EE3}"/>
            </a:ext>
          </a:extLst>
        </xdr:cNvPr>
        <xdr:cNvCxnSpPr/>
      </xdr:nvCxnSpPr>
      <xdr:spPr>
        <a:xfrm>
          <a:off x="17203511" y="1552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99</xdr:row>
      <xdr:rowOff>19050</xdr:rowOff>
    </xdr:from>
    <xdr:to>
      <xdr:col>79</xdr:col>
      <xdr:colOff>123734</xdr:colOff>
      <xdr:row>99</xdr:row>
      <xdr:rowOff>133350</xdr:rowOff>
    </xdr:to>
    <xdr:sp macro="" textlink="">
      <xdr:nvSpPr>
        <xdr:cNvPr id="31915" name="96">
          <a:extLst>
            <a:ext uri="{FF2B5EF4-FFF2-40B4-BE49-F238E27FC236}">
              <a16:creationId xmlns:a16="http://schemas.microsoft.com/office/drawing/2014/main" id="{B0D242E7-A927-6982-469D-6D4A424DA42C}"/>
            </a:ext>
          </a:extLst>
        </xdr:cNvPr>
        <xdr:cNvSpPr/>
      </xdr:nvSpPr>
      <xdr:spPr>
        <a:xfrm>
          <a:off x="17203511" y="15316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99</xdr:row>
      <xdr:rowOff>76200</xdr:rowOff>
    </xdr:from>
    <xdr:to>
      <xdr:col>60</xdr:col>
      <xdr:colOff>20411</xdr:colOff>
      <xdr:row>99</xdr:row>
      <xdr:rowOff>76200</xdr:rowOff>
    </xdr:to>
    <xdr:cxnSp macro="">
      <xdr:nvCxnSpPr>
        <xdr:cNvPr id="31916" name="직선 화살표 연결선 31915">
          <a:extLst>
            <a:ext uri="{FF2B5EF4-FFF2-40B4-BE49-F238E27FC236}">
              <a16:creationId xmlns:a16="http://schemas.microsoft.com/office/drawing/2014/main" id="{0DBC7889-9313-56BC-8840-4604201353A8}"/>
            </a:ext>
          </a:extLst>
        </xdr:cNvPr>
        <xdr:cNvCxnSpPr/>
      </xdr:nvCxnSpPr>
      <xdr:spPr>
        <a:xfrm>
          <a:off x="17203511" y="1537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98</xdr:row>
      <xdr:rowOff>19050</xdr:rowOff>
    </xdr:from>
    <xdr:to>
      <xdr:col>79</xdr:col>
      <xdr:colOff>123734</xdr:colOff>
      <xdr:row>98</xdr:row>
      <xdr:rowOff>133350</xdr:rowOff>
    </xdr:to>
    <xdr:sp macro="" textlink="">
      <xdr:nvSpPr>
        <xdr:cNvPr id="31917" name="95">
          <a:extLst>
            <a:ext uri="{FF2B5EF4-FFF2-40B4-BE49-F238E27FC236}">
              <a16:creationId xmlns:a16="http://schemas.microsoft.com/office/drawing/2014/main" id="{40E3C718-0472-643B-1055-1311E2103BF8}"/>
            </a:ext>
          </a:extLst>
        </xdr:cNvPr>
        <xdr:cNvSpPr/>
      </xdr:nvSpPr>
      <xdr:spPr>
        <a:xfrm>
          <a:off x="17346386" y="151638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98</xdr:row>
      <xdr:rowOff>76200</xdr:rowOff>
    </xdr:from>
    <xdr:to>
      <xdr:col>61</xdr:col>
      <xdr:colOff>20411</xdr:colOff>
      <xdr:row>98</xdr:row>
      <xdr:rowOff>76200</xdr:rowOff>
    </xdr:to>
    <xdr:cxnSp macro="">
      <xdr:nvCxnSpPr>
        <xdr:cNvPr id="31918" name="직선 화살표 연결선 31917">
          <a:extLst>
            <a:ext uri="{FF2B5EF4-FFF2-40B4-BE49-F238E27FC236}">
              <a16:creationId xmlns:a16="http://schemas.microsoft.com/office/drawing/2014/main" id="{04B76AA2-DDF5-F5C8-22DB-15776470174E}"/>
            </a:ext>
          </a:extLst>
        </xdr:cNvPr>
        <xdr:cNvCxnSpPr/>
      </xdr:nvCxnSpPr>
      <xdr:spPr>
        <a:xfrm>
          <a:off x="17346386" y="1522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97</xdr:row>
      <xdr:rowOff>19050</xdr:rowOff>
    </xdr:from>
    <xdr:to>
      <xdr:col>70</xdr:col>
      <xdr:colOff>123734</xdr:colOff>
      <xdr:row>97</xdr:row>
      <xdr:rowOff>133350</xdr:rowOff>
    </xdr:to>
    <xdr:sp macro="" textlink="">
      <xdr:nvSpPr>
        <xdr:cNvPr id="31919" name="94">
          <a:extLst>
            <a:ext uri="{FF2B5EF4-FFF2-40B4-BE49-F238E27FC236}">
              <a16:creationId xmlns:a16="http://schemas.microsoft.com/office/drawing/2014/main" id="{331B07DC-4A6D-80F0-A337-3A7590A5AB67}"/>
            </a:ext>
          </a:extLst>
        </xdr:cNvPr>
        <xdr:cNvSpPr/>
      </xdr:nvSpPr>
      <xdr:spPr>
        <a:xfrm>
          <a:off x="17203511" y="150114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97</xdr:row>
      <xdr:rowOff>76200</xdr:rowOff>
    </xdr:from>
    <xdr:to>
      <xdr:col>60</xdr:col>
      <xdr:colOff>20411</xdr:colOff>
      <xdr:row>97</xdr:row>
      <xdr:rowOff>76200</xdr:rowOff>
    </xdr:to>
    <xdr:cxnSp macro="">
      <xdr:nvCxnSpPr>
        <xdr:cNvPr id="31920" name="직선 화살표 연결선 31919">
          <a:extLst>
            <a:ext uri="{FF2B5EF4-FFF2-40B4-BE49-F238E27FC236}">
              <a16:creationId xmlns:a16="http://schemas.microsoft.com/office/drawing/2014/main" id="{FA03C36F-A566-99AB-146B-8A40FFA37D2E}"/>
            </a:ext>
          </a:extLst>
        </xdr:cNvPr>
        <xdr:cNvCxnSpPr/>
      </xdr:nvCxnSpPr>
      <xdr:spPr>
        <a:xfrm>
          <a:off x="17203511" y="1506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96</xdr:row>
      <xdr:rowOff>19050</xdr:rowOff>
    </xdr:from>
    <xdr:to>
      <xdr:col>79</xdr:col>
      <xdr:colOff>123734</xdr:colOff>
      <xdr:row>96</xdr:row>
      <xdr:rowOff>133350</xdr:rowOff>
    </xdr:to>
    <xdr:sp macro="" textlink="">
      <xdr:nvSpPr>
        <xdr:cNvPr id="31921" name="93">
          <a:extLst>
            <a:ext uri="{FF2B5EF4-FFF2-40B4-BE49-F238E27FC236}">
              <a16:creationId xmlns:a16="http://schemas.microsoft.com/office/drawing/2014/main" id="{006157CA-BF41-375E-B252-7C6D01DF8805}"/>
            </a:ext>
          </a:extLst>
        </xdr:cNvPr>
        <xdr:cNvSpPr/>
      </xdr:nvSpPr>
      <xdr:spPr>
        <a:xfrm>
          <a:off x="17203511" y="148590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96</xdr:row>
      <xdr:rowOff>76200</xdr:rowOff>
    </xdr:from>
    <xdr:to>
      <xdr:col>60</xdr:col>
      <xdr:colOff>20411</xdr:colOff>
      <xdr:row>96</xdr:row>
      <xdr:rowOff>76200</xdr:rowOff>
    </xdr:to>
    <xdr:cxnSp macro="">
      <xdr:nvCxnSpPr>
        <xdr:cNvPr id="31922" name="직선 화살표 연결선 31921">
          <a:extLst>
            <a:ext uri="{FF2B5EF4-FFF2-40B4-BE49-F238E27FC236}">
              <a16:creationId xmlns:a16="http://schemas.microsoft.com/office/drawing/2014/main" id="{D7A7147E-A8D5-70B2-1463-FC59B972D32F}"/>
            </a:ext>
          </a:extLst>
        </xdr:cNvPr>
        <xdr:cNvCxnSpPr/>
      </xdr:nvCxnSpPr>
      <xdr:spPr>
        <a:xfrm>
          <a:off x="17203511" y="1491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95</xdr:row>
      <xdr:rowOff>19050</xdr:rowOff>
    </xdr:from>
    <xdr:to>
      <xdr:col>79</xdr:col>
      <xdr:colOff>123734</xdr:colOff>
      <xdr:row>95</xdr:row>
      <xdr:rowOff>133350</xdr:rowOff>
    </xdr:to>
    <xdr:sp macro="" textlink="">
      <xdr:nvSpPr>
        <xdr:cNvPr id="31923" name="92">
          <a:extLst>
            <a:ext uri="{FF2B5EF4-FFF2-40B4-BE49-F238E27FC236}">
              <a16:creationId xmlns:a16="http://schemas.microsoft.com/office/drawing/2014/main" id="{208B1F3E-4BA3-2DE0-1B88-8D047301F6A2}"/>
            </a:ext>
          </a:extLst>
        </xdr:cNvPr>
        <xdr:cNvSpPr/>
      </xdr:nvSpPr>
      <xdr:spPr>
        <a:xfrm>
          <a:off x="17203511" y="14706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95</xdr:row>
      <xdr:rowOff>76200</xdr:rowOff>
    </xdr:from>
    <xdr:to>
      <xdr:col>60</xdr:col>
      <xdr:colOff>20411</xdr:colOff>
      <xdr:row>95</xdr:row>
      <xdr:rowOff>76200</xdr:rowOff>
    </xdr:to>
    <xdr:cxnSp macro="">
      <xdr:nvCxnSpPr>
        <xdr:cNvPr id="31924" name="직선 화살표 연결선 31923">
          <a:extLst>
            <a:ext uri="{FF2B5EF4-FFF2-40B4-BE49-F238E27FC236}">
              <a16:creationId xmlns:a16="http://schemas.microsoft.com/office/drawing/2014/main" id="{A17869DC-8167-9E88-1B25-723ED4FCA770}"/>
            </a:ext>
          </a:extLst>
        </xdr:cNvPr>
        <xdr:cNvCxnSpPr/>
      </xdr:nvCxnSpPr>
      <xdr:spPr>
        <a:xfrm>
          <a:off x="17203511" y="1476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94</xdr:row>
      <xdr:rowOff>19050</xdr:rowOff>
    </xdr:from>
    <xdr:to>
      <xdr:col>79</xdr:col>
      <xdr:colOff>123734</xdr:colOff>
      <xdr:row>94</xdr:row>
      <xdr:rowOff>133350</xdr:rowOff>
    </xdr:to>
    <xdr:sp macro="" textlink="">
      <xdr:nvSpPr>
        <xdr:cNvPr id="31925" name="91">
          <a:extLst>
            <a:ext uri="{FF2B5EF4-FFF2-40B4-BE49-F238E27FC236}">
              <a16:creationId xmlns:a16="http://schemas.microsoft.com/office/drawing/2014/main" id="{F569E8BA-CD11-A282-CB36-4168825E886A}"/>
            </a:ext>
          </a:extLst>
        </xdr:cNvPr>
        <xdr:cNvSpPr/>
      </xdr:nvSpPr>
      <xdr:spPr>
        <a:xfrm>
          <a:off x="17346386" y="145542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94</xdr:row>
      <xdr:rowOff>76200</xdr:rowOff>
    </xdr:from>
    <xdr:to>
      <xdr:col>61</xdr:col>
      <xdr:colOff>20411</xdr:colOff>
      <xdr:row>94</xdr:row>
      <xdr:rowOff>76200</xdr:rowOff>
    </xdr:to>
    <xdr:cxnSp macro="">
      <xdr:nvCxnSpPr>
        <xdr:cNvPr id="31926" name="직선 화살표 연결선 31925">
          <a:extLst>
            <a:ext uri="{FF2B5EF4-FFF2-40B4-BE49-F238E27FC236}">
              <a16:creationId xmlns:a16="http://schemas.microsoft.com/office/drawing/2014/main" id="{9D944668-E4B2-6C07-B60F-6861A6C86533}"/>
            </a:ext>
          </a:extLst>
        </xdr:cNvPr>
        <xdr:cNvCxnSpPr/>
      </xdr:nvCxnSpPr>
      <xdr:spPr>
        <a:xfrm>
          <a:off x="17346386" y="1461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93</xdr:row>
      <xdr:rowOff>19050</xdr:rowOff>
    </xdr:from>
    <xdr:to>
      <xdr:col>79</xdr:col>
      <xdr:colOff>123734</xdr:colOff>
      <xdr:row>93</xdr:row>
      <xdr:rowOff>133350</xdr:rowOff>
    </xdr:to>
    <xdr:sp macro="" textlink="">
      <xdr:nvSpPr>
        <xdr:cNvPr id="31927" name="90">
          <a:extLst>
            <a:ext uri="{FF2B5EF4-FFF2-40B4-BE49-F238E27FC236}">
              <a16:creationId xmlns:a16="http://schemas.microsoft.com/office/drawing/2014/main" id="{677C04FF-E1F6-F6F9-8A6D-07FD70A69A20}"/>
            </a:ext>
          </a:extLst>
        </xdr:cNvPr>
        <xdr:cNvSpPr/>
      </xdr:nvSpPr>
      <xdr:spPr>
        <a:xfrm>
          <a:off x="17203511" y="144018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93</xdr:row>
      <xdr:rowOff>76200</xdr:rowOff>
    </xdr:from>
    <xdr:to>
      <xdr:col>60</xdr:col>
      <xdr:colOff>20411</xdr:colOff>
      <xdr:row>93</xdr:row>
      <xdr:rowOff>76200</xdr:rowOff>
    </xdr:to>
    <xdr:cxnSp macro="">
      <xdr:nvCxnSpPr>
        <xdr:cNvPr id="31928" name="직선 화살표 연결선 31927">
          <a:extLst>
            <a:ext uri="{FF2B5EF4-FFF2-40B4-BE49-F238E27FC236}">
              <a16:creationId xmlns:a16="http://schemas.microsoft.com/office/drawing/2014/main" id="{A27D5F1E-DF8F-9CAB-B160-FC16578AAA06}"/>
            </a:ext>
          </a:extLst>
        </xdr:cNvPr>
        <xdr:cNvCxnSpPr/>
      </xdr:nvCxnSpPr>
      <xdr:spPr>
        <a:xfrm>
          <a:off x="17203511" y="1445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92</xdr:row>
      <xdr:rowOff>19050</xdr:rowOff>
    </xdr:from>
    <xdr:to>
      <xdr:col>79</xdr:col>
      <xdr:colOff>123734</xdr:colOff>
      <xdr:row>92</xdr:row>
      <xdr:rowOff>133350</xdr:rowOff>
    </xdr:to>
    <xdr:sp macro="" textlink="">
      <xdr:nvSpPr>
        <xdr:cNvPr id="31929" name="89">
          <a:extLst>
            <a:ext uri="{FF2B5EF4-FFF2-40B4-BE49-F238E27FC236}">
              <a16:creationId xmlns:a16="http://schemas.microsoft.com/office/drawing/2014/main" id="{A644D44E-8512-46F5-B682-3225F35176DD}"/>
            </a:ext>
          </a:extLst>
        </xdr:cNvPr>
        <xdr:cNvSpPr/>
      </xdr:nvSpPr>
      <xdr:spPr>
        <a:xfrm>
          <a:off x="17203511" y="14249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92</xdr:row>
      <xdr:rowOff>76200</xdr:rowOff>
    </xdr:from>
    <xdr:to>
      <xdr:col>60</xdr:col>
      <xdr:colOff>20411</xdr:colOff>
      <xdr:row>92</xdr:row>
      <xdr:rowOff>76200</xdr:rowOff>
    </xdr:to>
    <xdr:cxnSp macro="">
      <xdr:nvCxnSpPr>
        <xdr:cNvPr id="31930" name="직선 화살표 연결선 31929">
          <a:extLst>
            <a:ext uri="{FF2B5EF4-FFF2-40B4-BE49-F238E27FC236}">
              <a16:creationId xmlns:a16="http://schemas.microsoft.com/office/drawing/2014/main" id="{4AF2B986-B397-E65E-7C2D-901FAC96BCE1}"/>
            </a:ext>
          </a:extLst>
        </xdr:cNvPr>
        <xdr:cNvCxnSpPr/>
      </xdr:nvCxnSpPr>
      <xdr:spPr>
        <a:xfrm>
          <a:off x="17203511" y="1430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91</xdr:row>
      <xdr:rowOff>19050</xdr:rowOff>
    </xdr:from>
    <xdr:to>
      <xdr:col>79</xdr:col>
      <xdr:colOff>123734</xdr:colOff>
      <xdr:row>91</xdr:row>
      <xdr:rowOff>133350</xdr:rowOff>
    </xdr:to>
    <xdr:sp macro="" textlink="">
      <xdr:nvSpPr>
        <xdr:cNvPr id="31931" name="88">
          <a:extLst>
            <a:ext uri="{FF2B5EF4-FFF2-40B4-BE49-F238E27FC236}">
              <a16:creationId xmlns:a16="http://schemas.microsoft.com/office/drawing/2014/main" id="{948AA87E-C169-AB3A-5421-7A2017F5C5D2}"/>
            </a:ext>
          </a:extLst>
        </xdr:cNvPr>
        <xdr:cNvSpPr/>
      </xdr:nvSpPr>
      <xdr:spPr>
        <a:xfrm>
          <a:off x="17346386" y="140970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91</xdr:row>
      <xdr:rowOff>76200</xdr:rowOff>
    </xdr:from>
    <xdr:to>
      <xdr:col>61</xdr:col>
      <xdr:colOff>20411</xdr:colOff>
      <xdr:row>91</xdr:row>
      <xdr:rowOff>76200</xdr:rowOff>
    </xdr:to>
    <xdr:cxnSp macro="">
      <xdr:nvCxnSpPr>
        <xdr:cNvPr id="31932" name="직선 화살표 연결선 31931">
          <a:extLst>
            <a:ext uri="{FF2B5EF4-FFF2-40B4-BE49-F238E27FC236}">
              <a16:creationId xmlns:a16="http://schemas.microsoft.com/office/drawing/2014/main" id="{99D9431F-42F9-CD63-DE4A-488FF583CB6B}"/>
            </a:ext>
          </a:extLst>
        </xdr:cNvPr>
        <xdr:cNvCxnSpPr/>
      </xdr:nvCxnSpPr>
      <xdr:spPr>
        <a:xfrm>
          <a:off x="17346386" y="1415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90</xdr:row>
      <xdr:rowOff>19050</xdr:rowOff>
    </xdr:from>
    <xdr:to>
      <xdr:col>79</xdr:col>
      <xdr:colOff>123734</xdr:colOff>
      <xdr:row>90</xdr:row>
      <xdr:rowOff>133350</xdr:rowOff>
    </xdr:to>
    <xdr:sp macro="" textlink="">
      <xdr:nvSpPr>
        <xdr:cNvPr id="31933" name="87">
          <a:extLst>
            <a:ext uri="{FF2B5EF4-FFF2-40B4-BE49-F238E27FC236}">
              <a16:creationId xmlns:a16="http://schemas.microsoft.com/office/drawing/2014/main" id="{0A904E42-F410-35B7-289D-985045FA43A4}"/>
            </a:ext>
          </a:extLst>
        </xdr:cNvPr>
        <xdr:cNvSpPr/>
      </xdr:nvSpPr>
      <xdr:spPr>
        <a:xfrm>
          <a:off x="17203511" y="139446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90</xdr:row>
      <xdr:rowOff>76200</xdr:rowOff>
    </xdr:from>
    <xdr:to>
      <xdr:col>60</xdr:col>
      <xdr:colOff>20411</xdr:colOff>
      <xdr:row>90</xdr:row>
      <xdr:rowOff>76200</xdr:rowOff>
    </xdr:to>
    <xdr:cxnSp macro="">
      <xdr:nvCxnSpPr>
        <xdr:cNvPr id="31934" name="직선 화살표 연결선 31933">
          <a:extLst>
            <a:ext uri="{FF2B5EF4-FFF2-40B4-BE49-F238E27FC236}">
              <a16:creationId xmlns:a16="http://schemas.microsoft.com/office/drawing/2014/main" id="{B13062A0-95B0-5770-754F-E62D61166B71}"/>
            </a:ext>
          </a:extLst>
        </xdr:cNvPr>
        <xdr:cNvCxnSpPr/>
      </xdr:nvCxnSpPr>
      <xdr:spPr>
        <a:xfrm>
          <a:off x="17203511" y="1400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89</xdr:row>
      <xdr:rowOff>19050</xdr:rowOff>
    </xdr:from>
    <xdr:to>
      <xdr:col>79</xdr:col>
      <xdr:colOff>123734</xdr:colOff>
      <xdr:row>89</xdr:row>
      <xdr:rowOff>133350</xdr:rowOff>
    </xdr:to>
    <xdr:sp macro="" textlink="">
      <xdr:nvSpPr>
        <xdr:cNvPr id="31935" name="86">
          <a:extLst>
            <a:ext uri="{FF2B5EF4-FFF2-40B4-BE49-F238E27FC236}">
              <a16:creationId xmlns:a16="http://schemas.microsoft.com/office/drawing/2014/main" id="{7E311F4E-C664-3A33-C22C-F8C68D5EFB4D}"/>
            </a:ext>
          </a:extLst>
        </xdr:cNvPr>
        <xdr:cNvSpPr/>
      </xdr:nvSpPr>
      <xdr:spPr>
        <a:xfrm>
          <a:off x="17203511" y="13792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89</xdr:row>
      <xdr:rowOff>76200</xdr:rowOff>
    </xdr:from>
    <xdr:to>
      <xdr:col>60</xdr:col>
      <xdr:colOff>20411</xdr:colOff>
      <xdr:row>89</xdr:row>
      <xdr:rowOff>76200</xdr:rowOff>
    </xdr:to>
    <xdr:cxnSp macro="">
      <xdr:nvCxnSpPr>
        <xdr:cNvPr id="31936" name="직선 화살표 연결선 31935">
          <a:extLst>
            <a:ext uri="{FF2B5EF4-FFF2-40B4-BE49-F238E27FC236}">
              <a16:creationId xmlns:a16="http://schemas.microsoft.com/office/drawing/2014/main" id="{5EF37719-EEC6-18A1-1A78-C3F7F219F27E}"/>
            </a:ext>
          </a:extLst>
        </xdr:cNvPr>
        <xdr:cNvCxnSpPr/>
      </xdr:nvCxnSpPr>
      <xdr:spPr>
        <a:xfrm>
          <a:off x="17203511" y="1384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88</xdr:row>
      <xdr:rowOff>19050</xdr:rowOff>
    </xdr:from>
    <xdr:to>
      <xdr:col>79</xdr:col>
      <xdr:colOff>123734</xdr:colOff>
      <xdr:row>88</xdr:row>
      <xdr:rowOff>133350</xdr:rowOff>
    </xdr:to>
    <xdr:sp macro="" textlink="">
      <xdr:nvSpPr>
        <xdr:cNvPr id="31937" name="85">
          <a:extLst>
            <a:ext uri="{FF2B5EF4-FFF2-40B4-BE49-F238E27FC236}">
              <a16:creationId xmlns:a16="http://schemas.microsoft.com/office/drawing/2014/main" id="{1BE31878-4709-97BE-46FB-0CC512402789}"/>
            </a:ext>
          </a:extLst>
        </xdr:cNvPr>
        <xdr:cNvSpPr/>
      </xdr:nvSpPr>
      <xdr:spPr>
        <a:xfrm>
          <a:off x="17346386" y="136398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88</xdr:row>
      <xdr:rowOff>76200</xdr:rowOff>
    </xdr:from>
    <xdr:to>
      <xdr:col>61</xdr:col>
      <xdr:colOff>20411</xdr:colOff>
      <xdr:row>88</xdr:row>
      <xdr:rowOff>76200</xdr:rowOff>
    </xdr:to>
    <xdr:cxnSp macro="">
      <xdr:nvCxnSpPr>
        <xdr:cNvPr id="31938" name="직선 화살표 연결선 31937">
          <a:extLst>
            <a:ext uri="{FF2B5EF4-FFF2-40B4-BE49-F238E27FC236}">
              <a16:creationId xmlns:a16="http://schemas.microsoft.com/office/drawing/2014/main" id="{2B08944B-B0D6-95B8-D875-AD4BCA264CCD}"/>
            </a:ext>
          </a:extLst>
        </xdr:cNvPr>
        <xdr:cNvCxnSpPr/>
      </xdr:nvCxnSpPr>
      <xdr:spPr>
        <a:xfrm>
          <a:off x="17346386" y="1369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87</xdr:row>
      <xdr:rowOff>19050</xdr:rowOff>
    </xdr:from>
    <xdr:to>
      <xdr:col>79</xdr:col>
      <xdr:colOff>123734</xdr:colOff>
      <xdr:row>87</xdr:row>
      <xdr:rowOff>133350</xdr:rowOff>
    </xdr:to>
    <xdr:sp macro="" textlink="">
      <xdr:nvSpPr>
        <xdr:cNvPr id="31939" name="84">
          <a:extLst>
            <a:ext uri="{FF2B5EF4-FFF2-40B4-BE49-F238E27FC236}">
              <a16:creationId xmlns:a16="http://schemas.microsoft.com/office/drawing/2014/main" id="{1A9849D8-73A8-4A14-F375-31DF5CBF9F4E}"/>
            </a:ext>
          </a:extLst>
        </xdr:cNvPr>
        <xdr:cNvSpPr/>
      </xdr:nvSpPr>
      <xdr:spPr>
        <a:xfrm>
          <a:off x="17203511" y="134874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87</xdr:row>
      <xdr:rowOff>76200</xdr:rowOff>
    </xdr:from>
    <xdr:to>
      <xdr:col>60</xdr:col>
      <xdr:colOff>20411</xdr:colOff>
      <xdr:row>87</xdr:row>
      <xdr:rowOff>76200</xdr:rowOff>
    </xdr:to>
    <xdr:cxnSp macro="">
      <xdr:nvCxnSpPr>
        <xdr:cNvPr id="31940" name="직선 화살표 연결선 31939">
          <a:extLst>
            <a:ext uri="{FF2B5EF4-FFF2-40B4-BE49-F238E27FC236}">
              <a16:creationId xmlns:a16="http://schemas.microsoft.com/office/drawing/2014/main" id="{C78323B7-EE85-AE9A-A397-620B2E4A0B2B}"/>
            </a:ext>
          </a:extLst>
        </xdr:cNvPr>
        <xdr:cNvCxnSpPr/>
      </xdr:nvCxnSpPr>
      <xdr:spPr>
        <a:xfrm>
          <a:off x="17203511" y="1354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86</xdr:row>
      <xdr:rowOff>19050</xdr:rowOff>
    </xdr:from>
    <xdr:to>
      <xdr:col>79</xdr:col>
      <xdr:colOff>123734</xdr:colOff>
      <xdr:row>86</xdr:row>
      <xdr:rowOff>133350</xdr:rowOff>
    </xdr:to>
    <xdr:sp macro="" textlink="">
      <xdr:nvSpPr>
        <xdr:cNvPr id="31941" name="83">
          <a:extLst>
            <a:ext uri="{FF2B5EF4-FFF2-40B4-BE49-F238E27FC236}">
              <a16:creationId xmlns:a16="http://schemas.microsoft.com/office/drawing/2014/main" id="{7AE834B7-E34F-6EC3-08F5-BF916CBAFB53}"/>
            </a:ext>
          </a:extLst>
        </xdr:cNvPr>
        <xdr:cNvSpPr/>
      </xdr:nvSpPr>
      <xdr:spPr>
        <a:xfrm>
          <a:off x="17203511" y="133350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86</xdr:row>
      <xdr:rowOff>76200</xdr:rowOff>
    </xdr:from>
    <xdr:to>
      <xdr:col>60</xdr:col>
      <xdr:colOff>20411</xdr:colOff>
      <xdr:row>86</xdr:row>
      <xdr:rowOff>76200</xdr:rowOff>
    </xdr:to>
    <xdr:cxnSp macro="">
      <xdr:nvCxnSpPr>
        <xdr:cNvPr id="31942" name="직선 화살표 연결선 31941">
          <a:extLst>
            <a:ext uri="{FF2B5EF4-FFF2-40B4-BE49-F238E27FC236}">
              <a16:creationId xmlns:a16="http://schemas.microsoft.com/office/drawing/2014/main" id="{B92D780C-6921-61F6-E19C-BF76C6917758}"/>
            </a:ext>
          </a:extLst>
        </xdr:cNvPr>
        <xdr:cNvCxnSpPr/>
      </xdr:nvCxnSpPr>
      <xdr:spPr>
        <a:xfrm>
          <a:off x="17203511" y="1339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85</xdr:row>
      <xdr:rowOff>19050</xdr:rowOff>
    </xdr:from>
    <xdr:to>
      <xdr:col>79</xdr:col>
      <xdr:colOff>123734</xdr:colOff>
      <xdr:row>85</xdr:row>
      <xdr:rowOff>133350</xdr:rowOff>
    </xdr:to>
    <xdr:sp macro="" textlink="">
      <xdr:nvSpPr>
        <xdr:cNvPr id="31943" name="82">
          <a:extLst>
            <a:ext uri="{FF2B5EF4-FFF2-40B4-BE49-F238E27FC236}">
              <a16:creationId xmlns:a16="http://schemas.microsoft.com/office/drawing/2014/main" id="{09295313-F233-F766-8BBE-4A31DA48BEB7}"/>
            </a:ext>
          </a:extLst>
        </xdr:cNvPr>
        <xdr:cNvSpPr/>
      </xdr:nvSpPr>
      <xdr:spPr>
        <a:xfrm>
          <a:off x="17346386" y="13182600"/>
          <a:ext cx="2675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85</xdr:row>
      <xdr:rowOff>76200</xdr:rowOff>
    </xdr:from>
    <xdr:to>
      <xdr:col>61</xdr:col>
      <xdr:colOff>20411</xdr:colOff>
      <xdr:row>85</xdr:row>
      <xdr:rowOff>76200</xdr:rowOff>
    </xdr:to>
    <xdr:cxnSp macro="">
      <xdr:nvCxnSpPr>
        <xdr:cNvPr id="31944" name="직선 화살표 연결선 31943">
          <a:extLst>
            <a:ext uri="{FF2B5EF4-FFF2-40B4-BE49-F238E27FC236}">
              <a16:creationId xmlns:a16="http://schemas.microsoft.com/office/drawing/2014/main" id="{AF090ACC-BAE7-5AEF-12E6-6126037E451A}"/>
            </a:ext>
          </a:extLst>
        </xdr:cNvPr>
        <xdr:cNvCxnSpPr/>
      </xdr:nvCxnSpPr>
      <xdr:spPr>
        <a:xfrm>
          <a:off x="17346386" y="1323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84</xdr:row>
      <xdr:rowOff>19050</xdr:rowOff>
    </xdr:from>
    <xdr:to>
      <xdr:col>79</xdr:col>
      <xdr:colOff>123734</xdr:colOff>
      <xdr:row>84</xdr:row>
      <xdr:rowOff>133350</xdr:rowOff>
    </xdr:to>
    <xdr:sp macro="" textlink="">
      <xdr:nvSpPr>
        <xdr:cNvPr id="31945" name="81">
          <a:extLst>
            <a:ext uri="{FF2B5EF4-FFF2-40B4-BE49-F238E27FC236}">
              <a16:creationId xmlns:a16="http://schemas.microsoft.com/office/drawing/2014/main" id="{58F2A007-4940-013B-E6E0-7EB93D54A1C6}"/>
            </a:ext>
          </a:extLst>
        </xdr:cNvPr>
        <xdr:cNvSpPr/>
      </xdr:nvSpPr>
      <xdr:spPr>
        <a:xfrm>
          <a:off x="17203511" y="13030200"/>
          <a:ext cx="2817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84</xdr:row>
      <xdr:rowOff>76200</xdr:rowOff>
    </xdr:from>
    <xdr:to>
      <xdr:col>60</xdr:col>
      <xdr:colOff>20411</xdr:colOff>
      <xdr:row>84</xdr:row>
      <xdr:rowOff>76200</xdr:rowOff>
    </xdr:to>
    <xdr:cxnSp macro="">
      <xdr:nvCxnSpPr>
        <xdr:cNvPr id="31946" name="직선 화살표 연결선 31945">
          <a:extLst>
            <a:ext uri="{FF2B5EF4-FFF2-40B4-BE49-F238E27FC236}">
              <a16:creationId xmlns:a16="http://schemas.microsoft.com/office/drawing/2014/main" id="{6390AC75-A82B-A507-A2FA-99078851E30D}"/>
            </a:ext>
          </a:extLst>
        </xdr:cNvPr>
        <xdr:cNvCxnSpPr/>
      </xdr:nvCxnSpPr>
      <xdr:spPr>
        <a:xfrm>
          <a:off x="17203511" y="1308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83</xdr:row>
      <xdr:rowOff>19050</xdr:rowOff>
    </xdr:from>
    <xdr:to>
      <xdr:col>79</xdr:col>
      <xdr:colOff>123734</xdr:colOff>
      <xdr:row>83</xdr:row>
      <xdr:rowOff>133350</xdr:rowOff>
    </xdr:to>
    <xdr:sp macro="" textlink="">
      <xdr:nvSpPr>
        <xdr:cNvPr id="31947" name="80">
          <a:extLst>
            <a:ext uri="{FF2B5EF4-FFF2-40B4-BE49-F238E27FC236}">
              <a16:creationId xmlns:a16="http://schemas.microsoft.com/office/drawing/2014/main" id="{6AFBCB5E-26D3-4263-BC0E-C33018F5CEBC}"/>
            </a:ext>
          </a:extLst>
        </xdr:cNvPr>
        <xdr:cNvSpPr/>
      </xdr:nvSpPr>
      <xdr:spPr>
        <a:xfrm>
          <a:off x="17203511" y="128778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83</xdr:row>
      <xdr:rowOff>76200</xdr:rowOff>
    </xdr:from>
    <xdr:to>
      <xdr:col>60</xdr:col>
      <xdr:colOff>20411</xdr:colOff>
      <xdr:row>83</xdr:row>
      <xdr:rowOff>76200</xdr:rowOff>
    </xdr:to>
    <xdr:cxnSp macro="">
      <xdr:nvCxnSpPr>
        <xdr:cNvPr id="31948" name="직선 화살표 연결선 31947">
          <a:extLst>
            <a:ext uri="{FF2B5EF4-FFF2-40B4-BE49-F238E27FC236}">
              <a16:creationId xmlns:a16="http://schemas.microsoft.com/office/drawing/2014/main" id="{FD67E312-648A-D258-2283-E1BD07BDA85F}"/>
            </a:ext>
          </a:extLst>
        </xdr:cNvPr>
        <xdr:cNvCxnSpPr/>
      </xdr:nvCxnSpPr>
      <xdr:spPr>
        <a:xfrm>
          <a:off x="17203511" y="1293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82</xdr:row>
      <xdr:rowOff>19050</xdr:rowOff>
    </xdr:from>
    <xdr:to>
      <xdr:col>79</xdr:col>
      <xdr:colOff>123734</xdr:colOff>
      <xdr:row>82</xdr:row>
      <xdr:rowOff>133350</xdr:rowOff>
    </xdr:to>
    <xdr:sp macro="" textlink="">
      <xdr:nvSpPr>
        <xdr:cNvPr id="31949" name="79">
          <a:extLst>
            <a:ext uri="{FF2B5EF4-FFF2-40B4-BE49-F238E27FC236}">
              <a16:creationId xmlns:a16="http://schemas.microsoft.com/office/drawing/2014/main" id="{0E79A6FD-367C-0A96-686E-BA5D2819F128}"/>
            </a:ext>
          </a:extLst>
        </xdr:cNvPr>
        <xdr:cNvSpPr/>
      </xdr:nvSpPr>
      <xdr:spPr>
        <a:xfrm>
          <a:off x="17203511" y="127254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82</xdr:row>
      <xdr:rowOff>76200</xdr:rowOff>
    </xdr:from>
    <xdr:to>
      <xdr:col>60</xdr:col>
      <xdr:colOff>20411</xdr:colOff>
      <xdr:row>82</xdr:row>
      <xdr:rowOff>76200</xdr:rowOff>
    </xdr:to>
    <xdr:cxnSp macro="">
      <xdr:nvCxnSpPr>
        <xdr:cNvPr id="31950" name="직선 화살표 연결선 31949">
          <a:extLst>
            <a:ext uri="{FF2B5EF4-FFF2-40B4-BE49-F238E27FC236}">
              <a16:creationId xmlns:a16="http://schemas.microsoft.com/office/drawing/2014/main" id="{F39A16E5-4C7F-4B70-A736-3E469C0F6970}"/>
            </a:ext>
          </a:extLst>
        </xdr:cNvPr>
        <xdr:cNvCxnSpPr/>
      </xdr:nvCxnSpPr>
      <xdr:spPr>
        <a:xfrm>
          <a:off x="17203511" y="1278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81</xdr:row>
      <xdr:rowOff>19050</xdr:rowOff>
    </xdr:from>
    <xdr:to>
      <xdr:col>79</xdr:col>
      <xdr:colOff>123734</xdr:colOff>
      <xdr:row>81</xdr:row>
      <xdr:rowOff>133350</xdr:rowOff>
    </xdr:to>
    <xdr:sp macro="" textlink="">
      <xdr:nvSpPr>
        <xdr:cNvPr id="31951" name="78">
          <a:extLst>
            <a:ext uri="{FF2B5EF4-FFF2-40B4-BE49-F238E27FC236}">
              <a16:creationId xmlns:a16="http://schemas.microsoft.com/office/drawing/2014/main" id="{A9779A52-AB2E-CC65-F238-35226A4FB0C0}"/>
            </a:ext>
          </a:extLst>
        </xdr:cNvPr>
        <xdr:cNvSpPr/>
      </xdr:nvSpPr>
      <xdr:spPr>
        <a:xfrm>
          <a:off x="17203511" y="125730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81</xdr:row>
      <xdr:rowOff>76200</xdr:rowOff>
    </xdr:from>
    <xdr:to>
      <xdr:col>60</xdr:col>
      <xdr:colOff>20411</xdr:colOff>
      <xdr:row>81</xdr:row>
      <xdr:rowOff>76200</xdr:rowOff>
    </xdr:to>
    <xdr:cxnSp macro="">
      <xdr:nvCxnSpPr>
        <xdr:cNvPr id="31952" name="직선 화살표 연결선 31951">
          <a:extLst>
            <a:ext uri="{FF2B5EF4-FFF2-40B4-BE49-F238E27FC236}">
              <a16:creationId xmlns:a16="http://schemas.microsoft.com/office/drawing/2014/main" id="{B9286F03-1ACE-79DA-99FC-DCD505B84911}"/>
            </a:ext>
          </a:extLst>
        </xdr:cNvPr>
        <xdr:cNvCxnSpPr/>
      </xdr:nvCxnSpPr>
      <xdr:spPr>
        <a:xfrm>
          <a:off x="17203511" y="1263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80</xdr:row>
      <xdr:rowOff>19050</xdr:rowOff>
    </xdr:from>
    <xdr:to>
      <xdr:col>79</xdr:col>
      <xdr:colOff>123734</xdr:colOff>
      <xdr:row>80</xdr:row>
      <xdr:rowOff>133350</xdr:rowOff>
    </xdr:to>
    <xdr:sp macro="" textlink="">
      <xdr:nvSpPr>
        <xdr:cNvPr id="31953" name="77">
          <a:extLst>
            <a:ext uri="{FF2B5EF4-FFF2-40B4-BE49-F238E27FC236}">
              <a16:creationId xmlns:a16="http://schemas.microsoft.com/office/drawing/2014/main" id="{5CBA4A7B-8E29-44BF-AEDB-BE1DB4120BDD}"/>
            </a:ext>
          </a:extLst>
        </xdr:cNvPr>
        <xdr:cNvSpPr/>
      </xdr:nvSpPr>
      <xdr:spPr>
        <a:xfrm>
          <a:off x="17203511" y="124206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80</xdr:row>
      <xdr:rowOff>76200</xdr:rowOff>
    </xdr:from>
    <xdr:to>
      <xdr:col>60</xdr:col>
      <xdr:colOff>20411</xdr:colOff>
      <xdr:row>80</xdr:row>
      <xdr:rowOff>76200</xdr:rowOff>
    </xdr:to>
    <xdr:cxnSp macro="">
      <xdr:nvCxnSpPr>
        <xdr:cNvPr id="31954" name="직선 화살표 연결선 31953">
          <a:extLst>
            <a:ext uri="{FF2B5EF4-FFF2-40B4-BE49-F238E27FC236}">
              <a16:creationId xmlns:a16="http://schemas.microsoft.com/office/drawing/2014/main" id="{61C866CA-DDAA-DA7D-DE15-C18CF186D8CE}"/>
            </a:ext>
          </a:extLst>
        </xdr:cNvPr>
        <xdr:cNvCxnSpPr/>
      </xdr:nvCxnSpPr>
      <xdr:spPr>
        <a:xfrm>
          <a:off x="17203511" y="1247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79</xdr:row>
      <xdr:rowOff>19050</xdr:rowOff>
    </xdr:from>
    <xdr:to>
      <xdr:col>79</xdr:col>
      <xdr:colOff>123734</xdr:colOff>
      <xdr:row>79</xdr:row>
      <xdr:rowOff>133350</xdr:rowOff>
    </xdr:to>
    <xdr:sp macro="" textlink="">
      <xdr:nvSpPr>
        <xdr:cNvPr id="31955" name="76">
          <a:extLst>
            <a:ext uri="{FF2B5EF4-FFF2-40B4-BE49-F238E27FC236}">
              <a16:creationId xmlns:a16="http://schemas.microsoft.com/office/drawing/2014/main" id="{91A499B3-50CB-5CCD-8399-2AFAA59E6E88}"/>
            </a:ext>
          </a:extLst>
        </xdr:cNvPr>
        <xdr:cNvSpPr/>
      </xdr:nvSpPr>
      <xdr:spPr>
        <a:xfrm>
          <a:off x="17203511" y="12268200"/>
          <a:ext cx="2817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79</xdr:row>
      <xdr:rowOff>76200</xdr:rowOff>
    </xdr:from>
    <xdr:to>
      <xdr:col>60</xdr:col>
      <xdr:colOff>20411</xdr:colOff>
      <xdr:row>79</xdr:row>
      <xdr:rowOff>76200</xdr:rowOff>
    </xdr:to>
    <xdr:cxnSp macro="">
      <xdr:nvCxnSpPr>
        <xdr:cNvPr id="31956" name="직선 화살표 연결선 31955">
          <a:extLst>
            <a:ext uri="{FF2B5EF4-FFF2-40B4-BE49-F238E27FC236}">
              <a16:creationId xmlns:a16="http://schemas.microsoft.com/office/drawing/2014/main" id="{1A73569D-B4FE-D079-899E-8A4E0096DE66}"/>
            </a:ext>
          </a:extLst>
        </xdr:cNvPr>
        <xdr:cNvCxnSpPr/>
      </xdr:nvCxnSpPr>
      <xdr:spPr>
        <a:xfrm>
          <a:off x="17203511" y="1232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78</xdr:row>
      <xdr:rowOff>19050</xdr:rowOff>
    </xdr:from>
    <xdr:to>
      <xdr:col>45</xdr:col>
      <xdr:colOff>123734</xdr:colOff>
      <xdr:row>78</xdr:row>
      <xdr:rowOff>133350</xdr:rowOff>
    </xdr:to>
    <xdr:sp macro="" textlink="">
      <xdr:nvSpPr>
        <xdr:cNvPr id="31957" name="75">
          <a:extLst>
            <a:ext uri="{FF2B5EF4-FFF2-40B4-BE49-F238E27FC236}">
              <a16:creationId xmlns:a16="http://schemas.microsoft.com/office/drawing/2014/main" id="{8A6C0F3F-F4C4-7FED-C872-069A36DCEBD3}"/>
            </a:ext>
          </a:extLst>
        </xdr:cNvPr>
        <xdr:cNvSpPr/>
      </xdr:nvSpPr>
      <xdr:spPr>
        <a:xfrm>
          <a:off x="15060386" y="12115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78</xdr:row>
      <xdr:rowOff>76200</xdr:rowOff>
    </xdr:from>
    <xdr:to>
      <xdr:col>45</xdr:col>
      <xdr:colOff>20411</xdr:colOff>
      <xdr:row>78</xdr:row>
      <xdr:rowOff>76200</xdr:rowOff>
    </xdr:to>
    <xdr:cxnSp macro="">
      <xdr:nvCxnSpPr>
        <xdr:cNvPr id="31958" name="직선 화살표 연결선 31957">
          <a:extLst>
            <a:ext uri="{FF2B5EF4-FFF2-40B4-BE49-F238E27FC236}">
              <a16:creationId xmlns:a16="http://schemas.microsoft.com/office/drawing/2014/main" id="{B49AD447-2719-86E5-61A6-2A549167B77E}"/>
            </a:ext>
          </a:extLst>
        </xdr:cNvPr>
        <xdr:cNvCxnSpPr/>
      </xdr:nvCxnSpPr>
      <xdr:spPr>
        <a:xfrm>
          <a:off x="15060386"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77</xdr:row>
      <xdr:rowOff>19050</xdr:rowOff>
    </xdr:from>
    <xdr:to>
      <xdr:col>45</xdr:col>
      <xdr:colOff>123734</xdr:colOff>
      <xdr:row>77</xdr:row>
      <xdr:rowOff>133350</xdr:rowOff>
    </xdr:to>
    <xdr:sp macro="" textlink="">
      <xdr:nvSpPr>
        <xdr:cNvPr id="31959" name="74">
          <a:extLst>
            <a:ext uri="{FF2B5EF4-FFF2-40B4-BE49-F238E27FC236}">
              <a16:creationId xmlns:a16="http://schemas.microsoft.com/office/drawing/2014/main" id="{E9559859-7BD2-F828-FD66-7F3DB5916861}"/>
            </a:ext>
          </a:extLst>
        </xdr:cNvPr>
        <xdr:cNvSpPr/>
      </xdr:nvSpPr>
      <xdr:spPr>
        <a:xfrm>
          <a:off x="15060386" y="119634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77</xdr:row>
      <xdr:rowOff>76200</xdr:rowOff>
    </xdr:from>
    <xdr:to>
      <xdr:col>45</xdr:col>
      <xdr:colOff>20411</xdr:colOff>
      <xdr:row>77</xdr:row>
      <xdr:rowOff>76200</xdr:rowOff>
    </xdr:to>
    <xdr:cxnSp macro="">
      <xdr:nvCxnSpPr>
        <xdr:cNvPr id="31960" name="직선 화살표 연결선 31959">
          <a:extLst>
            <a:ext uri="{FF2B5EF4-FFF2-40B4-BE49-F238E27FC236}">
              <a16:creationId xmlns:a16="http://schemas.microsoft.com/office/drawing/2014/main" id="{6B61A530-1DB6-E010-5F58-1350E82D6BC3}"/>
            </a:ext>
          </a:extLst>
        </xdr:cNvPr>
        <xdr:cNvCxnSpPr/>
      </xdr:nvCxnSpPr>
      <xdr:spPr>
        <a:xfrm>
          <a:off x="15060386"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76</xdr:row>
      <xdr:rowOff>19050</xdr:rowOff>
    </xdr:from>
    <xdr:to>
      <xdr:col>62</xdr:col>
      <xdr:colOff>123734</xdr:colOff>
      <xdr:row>76</xdr:row>
      <xdr:rowOff>133350</xdr:rowOff>
    </xdr:to>
    <xdr:sp macro="" textlink="">
      <xdr:nvSpPr>
        <xdr:cNvPr id="31961" name="73">
          <a:extLst>
            <a:ext uri="{FF2B5EF4-FFF2-40B4-BE49-F238E27FC236}">
              <a16:creationId xmlns:a16="http://schemas.microsoft.com/office/drawing/2014/main" id="{57DC1D02-0C39-D534-A07B-F2BDC111DA46}"/>
            </a:ext>
          </a:extLst>
        </xdr:cNvPr>
        <xdr:cNvSpPr/>
      </xdr:nvSpPr>
      <xdr:spPr>
        <a:xfrm>
          <a:off x="17060636" y="118110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76</xdr:row>
      <xdr:rowOff>76200</xdr:rowOff>
    </xdr:from>
    <xdr:to>
      <xdr:col>59</xdr:col>
      <xdr:colOff>20411</xdr:colOff>
      <xdr:row>76</xdr:row>
      <xdr:rowOff>76200</xdr:rowOff>
    </xdr:to>
    <xdr:cxnSp macro="">
      <xdr:nvCxnSpPr>
        <xdr:cNvPr id="31962" name="직선 화살표 연결선 31961">
          <a:extLst>
            <a:ext uri="{FF2B5EF4-FFF2-40B4-BE49-F238E27FC236}">
              <a16:creationId xmlns:a16="http://schemas.microsoft.com/office/drawing/2014/main" id="{1140E76A-D7EF-473E-A72A-7F8912F49D39}"/>
            </a:ext>
          </a:extLst>
        </xdr:cNvPr>
        <xdr:cNvCxnSpPr/>
      </xdr:nvCxnSpPr>
      <xdr:spPr>
        <a:xfrm>
          <a:off x="17060636"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20411</xdr:colOff>
      <xdr:row>75</xdr:row>
      <xdr:rowOff>19050</xdr:rowOff>
    </xdr:from>
    <xdr:to>
      <xdr:col>58</xdr:col>
      <xdr:colOff>123734</xdr:colOff>
      <xdr:row>75</xdr:row>
      <xdr:rowOff>133350</xdr:rowOff>
    </xdr:to>
    <xdr:sp macro="" textlink="">
      <xdr:nvSpPr>
        <xdr:cNvPr id="31963" name="72">
          <a:extLst>
            <a:ext uri="{FF2B5EF4-FFF2-40B4-BE49-F238E27FC236}">
              <a16:creationId xmlns:a16="http://schemas.microsoft.com/office/drawing/2014/main" id="{5998B256-BC99-7137-EE05-4D35B2F0E101}"/>
            </a:ext>
          </a:extLst>
        </xdr:cNvPr>
        <xdr:cNvSpPr/>
      </xdr:nvSpPr>
      <xdr:spPr>
        <a:xfrm>
          <a:off x="16917761" y="11658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20411</xdr:colOff>
      <xdr:row>75</xdr:row>
      <xdr:rowOff>76200</xdr:rowOff>
    </xdr:from>
    <xdr:to>
      <xdr:col>58</xdr:col>
      <xdr:colOff>20411</xdr:colOff>
      <xdr:row>75</xdr:row>
      <xdr:rowOff>76200</xdr:rowOff>
    </xdr:to>
    <xdr:cxnSp macro="">
      <xdr:nvCxnSpPr>
        <xdr:cNvPr id="31964" name="직선 화살표 연결선 31963">
          <a:extLst>
            <a:ext uri="{FF2B5EF4-FFF2-40B4-BE49-F238E27FC236}">
              <a16:creationId xmlns:a16="http://schemas.microsoft.com/office/drawing/2014/main" id="{92314006-23E9-63F1-B965-B48DF900695B}"/>
            </a:ext>
          </a:extLst>
        </xdr:cNvPr>
        <xdr:cNvCxnSpPr/>
      </xdr:nvCxnSpPr>
      <xdr:spPr>
        <a:xfrm>
          <a:off x="16917761" y="1171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20411</xdr:colOff>
      <xdr:row>74</xdr:row>
      <xdr:rowOff>19050</xdr:rowOff>
    </xdr:from>
    <xdr:to>
      <xdr:col>62</xdr:col>
      <xdr:colOff>123734</xdr:colOff>
      <xdr:row>74</xdr:row>
      <xdr:rowOff>133350</xdr:rowOff>
    </xdr:to>
    <xdr:sp macro="" textlink="">
      <xdr:nvSpPr>
        <xdr:cNvPr id="31965" name="71">
          <a:extLst>
            <a:ext uri="{FF2B5EF4-FFF2-40B4-BE49-F238E27FC236}">
              <a16:creationId xmlns:a16="http://schemas.microsoft.com/office/drawing/2014/main" id="{CC57A314-2BBE-9C2E-6E6E-C1BC8D28F078}"/>
            </a:ext>
          </a:extLst>
        </xdr:cNvPr>
        <xdr:cNvSpPr/>
      </xdr:nvSpPr>
      <xdr:spPr>
        <a:xfrm>
          <a:off x="16917761" y="11506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20411</xdr:colOff>
      <xdr:row>74</xdr:row>
      <xdr:rowOff>76200</xdr:rowOff>
    </xdr:from>
    <xdr:to>
      <xdr:col>58</xdr:col>
      <xdr:colOff>20411</xdr:colOff>
      <xdr:row>74</xdr:row>
      <xdr:rowOff>76200</xdr:rowOff>
    </xdr:to>
    <xdr:cxnSp macro="">
      <xdr:nvCxnSpPr>
        <xdr:cNvPr id="31966" name="직선 화살표 연결선 31965">
          <a:extLst>
            <a:ext uri="{FF2B5EF4-FFF2-40B4-BE49-F238E27FC236}">
              <a16:creationId xmlns:a16="http://schemas.microsoft.com/office/drawing/2014/main" id="{2F2D7215-A231-A8F6-6DDD-95EE83DE133F}"/>
            </a:ext>
          </a:extLst>
        </xdr:cNvPr>
        <xdr:cNvCxnSpPr/>
      </xdr:nvCxnSpPr>
      <xdr:spPr>
        <a:xfrm>
          <a:off x="16917761" y="1156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73</xdr:row>
      <xdr:rowOff>19050</xdr:rowOff>
    </xdr:from>
    <xdr:to>
      <xdr:col>56</xdr:col>
      <xdr:colOff>123734</xdr:colOff>
      <xdr:row>73</xdr:row>
      <xdr:rowOff>133350</xdr:rowOff>
    </xdr:to>
    <xdr:sp macro="" textlink="">
      <xdr:nvSpPr>
        <xdr:cNvPr id="31967" name="70">
          <a:extLst>
            <a:ext uri="{FF2B5EF4-FFF2-40B4-BE49-F238E27FC236}">
              <a16:creationId xmlns:a16="http://schemas.microsoft.com/office/drawing/2014/main" id="{5A2F0C6A-CDA7-2231-F015-C07EE53E789E}"/>
            </a:ext>
          </a:extLst>
        </xdr:cNvPr>
        <xdr:cNvSpPr/>
      </xdr:nvSpPr>
      <xdr:spPr>
        <a:xfrm>
          <a:off x="16346261" y="113538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73</xdr:row>
      <xdr:rowOff>76200</xdr:rowOff>
    </xdr:from>
    <xdr:to>
      <xdr:col>54</xdr:col>
      <xdr:colOff>20411</xdr:colOff>
      <xdr:row>73</xdr:row>
      <xdr:rowOff>76200</xdr:rowOff>
    </xdr:to>
    <xdr:cxnSp macro="">
      <xdr:nvCxnSpPr>
        <xdr:cNvPr id="31968" name="직선 화살표 연결선 31967">
          <a:extLst>
            <a:ext uri="{FF2B5EF4-FFF2-40B4-BE49-F238E27FC236}">
              <a16:creationId xmlns:a16="http://schemas.microsoft.com/office/drawing/2014/main" id="{67E7314E-D096-9382-9A05-B70FA0D823A1}"/>
            </a:ext>
          </a:extLst>
        </xdr:cNvPr>
        <xdr:cNvCxnSpPr/>
      </xdr:nvCxnSpPr>
      <xdr:spPr>
        <a:xfrm>
          <a:off x="16346261"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72</xdr:row>
      <xdr:rowOff>19050</xdr:rowOff>
    </xdr:from>
    <xdr:to>
      <xdr:col>56</xdr:col>
      <xdr:colOff>123734</xdr:colOff>
      <xdr:row>72</xdr:row>
      <xdr:rowOff>133350</xdr:rowOff>
    </xdr:to>
    <xdr:sp macro="" textlink="">
      <xdr:nvSpPr>
        <xdr:cNvPr id="31969" name="69">
          <a:extLst>
            <a:ext uri="{FF2B5EF4-FFF2-40B4-BE49-F238E27FC236}">
              <a16:creationId xmlns:a16="http://schemas.microsoft.com/office/drawing/2014/main" id="{FC9F8086-2DBC-B27A-D5AE-88CFDFDBEEC4}"/>
            </a:ext>
          </a:extLst>
        </xdr:cNvPr>
        <xdr:cNvSpPr/>
      </xdr:nvSpPr>
      <xdr:spPr>
        <a:xfrm>
          <a:off x="16346261" y="112014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72</xdr:row>
      <xdr:rowOff>76200</xdr:rowOff>
    </xdr:from>
    <xdr:to>
      <xdr:col>54</xdr:col>
      <xdr:colOff>20411</xdr:colOff>
      <xdr:row>72</xdr:row>
      <xdr:rowOff>76200</xdr:rowOff>
    </xdr:to>
    <xdr:cxnSp macro="">
      <xdr:nvCxnSpPr>
        <xdr:cNvPr id="31970" name="직선 화살표 연결선 31969">
          <a:extLst>
            <a:ext uri="{FF2B5EF4-FFF2-40B4-BE49-F238E27FC236}">
              <a16:creationId xmlns:a16="http://schemas.microsoft.com/office/drawing/2014/main" id="{83BC7FF0-B6E3-A008-60EF-B0ABE77D9DAE}"/>
            </a:ext>
          </a:extLst>
        </xdr:cNvPr>
        <xdr:cNvCxnSpPr/>
      </xdr:nvCxnSpPr>
      <xdr:spPr>
        <a:xfrm>
          <a:off x="16346261"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71</xdr:row>
      <xdr:rowOff>19050</xdr:rowOff>
    </xdr:from>
    <xdr:to>
      <xdr:col>56</xdr:col>
      <xdr:colOff>123734</xdr:colOff>
      <xdr:row>71</xdr:row>
      <xdr:rowOff>133350</xdr:rowOff>
    </xdr:to>
    <xdr:sp macro="" textlink="">
      <xdr:nvSpPr>
        <xdr:cNvPr id="31971" name="68">
          <a:extLst>
            <a:ext uri="{FF2B5EF4-FFF2-40B4-BE49-F238E27FC236}">
              <a16:creationId xmlns:a16="http://schemas.microsoft.com/office/drawing/2014/main" id="{495AA2A5-570D-1425-17B1-27FB3C48D47D}"/>
            </a:ext>
          </a:extLst>
        </xdr:cNvPr>
        <xdr:cNvSpPr/>
      </xdr:nvSpPr>
      <xdr:spPr>
        <a:xfrm>
          <a:off x="16346261" y="110490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71</xdr:row>
      <xdr:rowOff>76200</xdr:rowOff>
    </xdr:from>
    <xdr:to>
      <xdr:col>54</xdr:col>
      <xdr:colOff>20411</xdr:colOff>
      <xdr:row>71</xdr:row>
      <xdr:rowOff>76200</xdr:rowOff>
    </xdr:to>
    <xdr:cxnSp macro="">
      <xdr:nvCxnSpPr>
        <xdr:cNvPr id="31972" name="직선 화살표 연결선 31971">
          <a:extLst>
            <a:ext uri="{FF2B5EF4-FFF2-40B4-BE49-F238E27FC236}">
              <a16:creationId xmlns:a16="http://schemas.microsoft.com/office/drawing/2014/main" id="{BF177DCF-1398-2D7B-077B-8D88C33E71F0}"/>
            </a:ext>
          </a:extLst>
        </xdr:cNvPr>
        <xdr:cNvCxnSpPr/>
      </xdr:nvCxnSpPr>
      <xdr:spPr>
        <a:xfrm>
          <a:off x="16346261"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70</xdr:row>
      <xdr:rowOff>19050</xdr:rowOff>
    </xdr:from>
    <xdr:to>
      <xdr:col>56</xdr:col>
      <xdr:colOff>123734</xdr:colOff>
      <xdr:row>70</xdr:row>
      <xdr:rowOff>133350</xdr:rowOff>
    </xdr:to>
    <xdr:sp macro="" textlink="">
      <xdr:nvSpPr>
        <xdr:cNvPr id="31973" name="67">
          <a:extLst>
            <a:ext uri="{FF2B5EF4-FFF2-40B4-BE49-F238E27FC236}">
              <a16:creationId xmlns:a16="http://schemas.microsoft.com/office/drawing/2014/main" id="{3B89043D-D3A4-6AB8-8FBF-FC3A915DC084}"/>
            </a:ext>
          </a:extLst>
        </xdr:cNvPr>
        <xdr:cNvSpPr/>
      </xdr:nvSpPr>
      <xdr:spPr>
        <a:xfrm>
          <a:off x="15203261" y="108966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70</xdr:row>
      <xdr:rowOff>76200</xdr:rowOff>
    </xdr:from>
    <xdr:to>
      <xdr:col>46</xdr:col>
      <xdr:colOff>20411</xdr:colOff>
      <xdr:row>70</xdr:row>
      <xdr:rowOff>76200</xdr:rowOff>
    </xdr:to>
    <xdr:cxnSp macro="">
      <xdr:nvCxnSpPr>
        <xdr:cNvPr id="31974" name="직선 화살표 연결선 31973">
          <a:extLst>
            <a:ext uri="{FF2B5EF4-FFF2-40B4-BE49-F238E27FC236}">
              <a16:creationId xmlns:a16="http://schemas.microsoft.com/office/drawing/2014/main" id="{21C0DE71-BEB3-CF08-EB3A-4D379F8B7EB6}"/>
            </a:ext>
          </a:extLst>
        </xdr:cNvPr>
        <xdr:cNvCxnSpPr/>
      </xdr:nvCxnSpPr>
      <xdr:spPr>
        <a:xfrm>
          <a:off x="15203261"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69</xdr:row>
      <xdr:rowOff>19050</xdr:rowOff>
    </xdr:from>
    <xdr:to>
      <xdr:col>56</xdr:col>
      <xdr:colOff>123734</xdr:colOff>
      <xdr:row>69</xdr:row>
      <xdr:rowOff>133350</xdr:rowOff>
    </xdr:to>
    <xdr:sp macro="" textlink="">
      <xdr:nvSpPr>
        <xdr:cNvPr id="31975" name="66">
          <a:extLst>
            <a:ext uri="{FF2B5EF4-FFF2-40B4-BE49-F238E27FC236}">
              <a16:creationId xmlns:a16="http://schemas.microsoft.com/office/drawing/2014/main" id="{23453417-503F-860C-E799-2B501C235971}"/>
            </a:ext>
          </a:extLst>
        </xdr:cNvPr>
        <xdr:cNvSpPr/>
      </xdr:nvSpPr>
      <xdr:spPr>
        <a:xfrm>
          <a:off x="15060386" y="107442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69</xdr:row>
      <xdr:rowOff>76200</xdr:rowOff>
    </xdr:from>
    <xdr:to>
      <xdr:col>45</xdr:col>
      <xdr:colOff>20411</xdr:colOff>
      <xdr:row>69</xdr:row>
      <xdr:rowOff>76200</xdr:rowOff>
    </xdr:to>
    <xdr:cxnSp macro="">
      <xdr:nvCxnSpPr>
        <xdr:cNvPr id="31976" name="직선 화살표 연결선 31975">
          <a:extLst>
            <a:ext uri="{FF2B5EF4-FFF2-40B4-BE49-F238E27FC236}">
              <a16:creationId xmlns:a16="http://schemas.microsoft.com/office/drawing/2014/main" id="{1FFDBA3D-47AD-4C48-78AF-643557205BA7}"/>
            </a:ext>
          </a:extLst>
        </xdr:cNvPr>
        <xdr:cNvCxnSpPr/>
      </xdr:nvCxnSpPr>
      <xdr:spPr>
        <a:xfrm>
          <a:off x="15060386"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68</xdr:row>
      <xdr:rowOff>19050</xdr:rowOff>
    </xdr:from>
    <xdr:to>
      <xdr:col>56</xdr:col>
      <xdr:colOff>123734</xdr:colOff>
      <xdr:row>68</xdr:row>
      <xdr:rowOff>133350</xdr:rowOff>
    </xdr:to>
    <xdr:sp macro="" textlink="">
      <xdr:nvSpPr>
        <xdr:cNvPr id="31977" name="65">
          <a:extLst>
            <a:ext uri="{FF2B5EF4-FFF2-40B4-BE49-F238E27FC236}">
              <a16:creationId xmlns:a16="http://schemas.microsoft.com/office/drawing/2014/main" id="{8015AAB2-6A9E-FCA9-8617-4D2B0B23F5F4}"/>
            </a:ext>
          </a:extLst>
        </xdr:cNvPr>
        <xdr:cNvSpPr/>
      </xdr:nvSpPr>
      <xdr:spPr>
        <a:xfrm>
          <a:off x="15060386" y="105918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68</xdr:row>
      <xdr:rowOff>76200</xdr:rowOff>
    </xdr:from>
    <xdr:to>
      <xdr:col>45</xdr:col>
      <xdr:colOff>20411</xdr:colOff>
      <xdr:row>68</xdr:row>
      <xdr:rowOff>76200</xdr:rowOff>
    </xdr:to>
    <xdr:cxnSp macro="">
      <xdr:nvCxnSpPr>
        <xdr:cNvPr id="31978" name="직선 화살표 연결선 31977">
          <a:extLst>
            <a:ext uri="{FF2B5EF4-FFF2-40B4-BE49-F238E27FC236}">
              <a16:creationId xmlns:a16="http://schemas.microsoft.com/office/drawing/2014/main" id="{AB03A719-6997-AB62-C00B-314DB38C46E7}"/>
            </a:ext>
          </a:extLst>
        </xdr:cNvPr>
        <xdr:cNvCxnSpPr/>
      </xdr:nvCxnSpPr>
      <xdr:spPr>
        <a:xfrm>
          <a:off x="15060386"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67</xdr:row>
      <xdr:rowOff>19050</xdr:rowOff>
    </xdr:from>
    <xdr:to>
      <xdr:col>56</xdr:col>
      <xdr:colOff>123734</xdr:colOff>
      <xdr:row>67</xdr:row>
      <xdr:rowOff>133350</xdr:rowOff>
    </xdr:to>
    <xdr:sp macro="" textlink="">
      <xdr:nvSpPr>
        <xdr:cNvPr id="31979" name="64">
          <a:extLst>
            <a:ext uri="{FF2B5EF4-FFF2-40B4-BE49-F238E27FC236}">
              <a16:creationId xmlns:a16="http://schemas.microsoft.com/office/drawing/2014/main" id="{1269F517-518F-EA78-D2F2-B0F73EF233C9}"/>
            </a:ext>
          </a:extLst>
        </xdr:cNvPr>
        <xdr:cNvSpPr/>
      </xdr:nvSpPr>
      <xdr:spPr>
        <a:xfrm>
          <a:off x="15203261" y="104394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67</xdr:row>
      <xdr:rowOff>76200</xdr:rowOff>
    </xdr:from>
    <xdr:to>
      <xdr:col>46</xdr:col>
      <xdr:colOff>20411</xdr:colOff>
      <xdr:row>67</xdr:row>
      <xdr:rowOff>76200</xdr:rowOff>
    </xdr:to>
    <xdr:cxnSp macro="">
      <xdr:nvCxnSpPr>
        <xdr:cNvPr id="31980" name="직선 화살표 연결선 31979">
          <a:extLst>
            <a:ext uri="{FF2B5EF4-FFF2-40B4-BE49-F238E27FC236}">
              <a16:creationId xmlns:a16="http://schemas.microsoft.com/office/drawing/2014/main" id="{A4814FBF-AF45-E645-CFB8-7688BDA39E28}"/>
            </a:ext>
          </a:extLst>
        </xdr:cNvPr>
        <xdr:cNvCxnSpPr/>
      </xdr:nvCxnSpPr>
      <xdr:spPr>
        <a:xfrm>
          <a:off x="15203261"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66</xdr:row>
      <xdr:rowOff>19050</xdr:rowOff>
    </xdr:from>
    <xdr:to>
      <xdr:col>56</xdr:col>
      <xdr:colOff>123734</xdr:colOff>
      <xdr:row>66</xdr:row>
      <xdr:rowOff>133350</xdr:rowOff>
    </xdr:to>
    <xdr:sp macro="" textlink="">
      <xdr:nvSpPr>
        <xdr:cNvPr id="31981" name="63">
          <a:extLst>
            <a:ext uri="{FF2B5EF4-FFF2-40B4-BE49-F238E27FC236}">
              <a16:creationId xmlns:a16="http://schemas.microsoft.com/office/drawing/2014/main" id="{8B5A40C5-6C3B-A29F-2635-BF5BD3BAE9FF}"/>
            </a:ext>
          </a:extLst>
        </xdr:cNvPr>
        <xdr:cNvSpPr/>
      </xdr:nvSpPr>
      <xdr:spPr>
        <a:xfrm>
          <a:off x="15060386" y="102870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66</xdr:row>
      <xdr:rowOff>76200</xdr:rowOff>
    </xdr:from>
    <xdr:to>
      <xdr:col>45</xdr:col>
      <xdr:colOff>20411</xdr:colOff>
      <xdr:row>66</xdr:row>
      <xdr:rowOff>76200</xdr:rowOff>
    </xdr:to>
    <xdr:cxnSp macro="">
      <xdr:nvCxnSpPr>
        <xdr:cNvPr id="31982" name="직선 화살표 연결선 31981">
          <a:extLst>
            <a:ext uri="{FF2B5EF4-FFF2-40B4-BE49-F238E27FC236}">
              <a16:creationId xmlns:a16="http://schemas.microsoft.com/office/drawing/2014/main" id="{32F8132D-47B4-7152-AAB6-2D92E5D4EDAE}"/>
            </a:ext>
          </a:extLst>
        </xdr:cNvPr>
        <xdr:cNvCxnSpPr/>
      </xdr:nvCxnSpPr>
      <xdr:spPr>
        <a:xfrm>
          <a:off x="15060386"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65</xdr:row>
      <xdr:rowOff>19050</xdr:rowOff>
    </xdr:from>
    <xdr:to>
      <xdr:col>56</xdr:col>
      <xdr:colOff>123734</xdr:colOff>
      <xdr:row>65</xdr:row>
      <xdr:rowOff>133350</xdr:rowOff>
    </xdr:to>
    <xdr:sp macro="" textlink="">
      <xdr:nvSpPr>
        <xdr:cNvPr id="31983" name="62">
          <a:extLst>
            <a:ext uri="{FF2B5EF4-FFF2-40B4-BE49-F238E27FC236}">
              <a16:creationId xmlns:a16="http://schemas.microsoft.com/office/drawing/2014/main" id="{51C6C828-8009-672A-343F-A5942786DDC6}"/>
            </a:ext>
          </a:extLst>
        </xdr:cNvPr>
        <xdr:cNvSpPr/>
      </xdr:nvSpPr>
      <xdr:spPr>
        <a:xfrm>
          <a:off x="15060386" y="10134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65</xdr:row>
      <xdr:rowOff>76200</xdr:rowOff>
    </xdr:from>
    <xdr:to>
      <xdr:col>45</xdr:col>
      <xdr:colOff>20411</xdr:colOff>
      <xdr:row>65</xdr:row>
      <xdr:rowOff>76200</xdr:rowOff>
    </xdr:to>
    <xdr:cxnSp macro="">
      <xdr:nvCxnSpPr>
        <xdr:cNvPr id="31984" name="직선 화살표 연결선 31983">
          <a:extLst>
            <a:ext uri="{FF2B5EF4-FFF2-40B4-BE49-F238E27FC236}">
              <a16:creationId xmlns:a16="http://schemas.microsoft.com/office/drawing/2014/main" id="{DF22AB55-764F-709F-569B-52C1FF58F056}"/>
            </a:ext>
          </a:extLst>
        </xdr:cNvPr>
        <xdr:cNvCxnSpPr/>
      </xdr:nvCxnSpPr>
      <xdr:spPr>
        <a:xfrm>
          <a:off x="15060386"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64</xdr:row>
      <xdr:rowOff>19050</xdr:rowOff>
    </xdr:from>
    <xdr:to>
      <xdr:col>56</xdr:col>
      <xdr:colOff>123734</xdr:colOff>
      <xdr:row>64</xdr:row>
      <xdr:rowOff>133350</xdr:rowOff>
    </xdr:to>
    <xdr:sp macro="" textlink="">
      <xdr:nvSpPr>
        <xdr:cNvPr id="31985" name="61">
          <a:extLst>
            <a:ext uri="{FF2B5EF4-FFF2-40B4-BE49-F238E27FC236}">
              <a16:creationId xmlns:a16="http://schemas.microsoft.com/office/drawing/2014/main" id="{66B78675-CB79-6447-7C38-DD4F46C2C309}"/>
            </a:ext>
          </a:extLst>
        </xdr:cNvPr>
        <xdr:cNvSpPr/>
      </xdr:nvSpPr>
      <xdr:spPr>
        <a:xfrm>
          <a:off x="15203261" y="99822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64</xdr:row>
      <xdr:rowOff>76200</xdr:rowOff>
    </xdr:from>
    <xdr:to>
      <xdr:col>46</xdr:col>
      <xdr:colOff>20411</xdr:colOff>
      <xdr:row>64</xdr:row>
      <xdr:rowOff>76200</xdr:rowOff>
    </xdr:to>
    <xdr:cxnSp macro="">
      <xdr:nvCxnSpPr>
        <xdr:cNvPr id="31986" name="직선 화살표 연결선 31985">
          <a:extLst>
            <a:ext uri="{FF2B5EF4-FFF2-40B4-BE49-F238E27FC236}">
              <a16:creationId xmlns:a16="http://schemas.microsoft.com/office/drawing/2014/main" id="{29CF5CC1-B5FE-60CB-2F1E-61304320C1FA}"/>
            </a:ext>
          </a:extLst>
        </xdr:cNvPr>
        <xdr:cNvCxnSpPr/>
      </xdr:nvCxnSpPr>
      <xdr:spPr>
        <a:xfrm>
          <a:off x="15203261"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63</xdr:row>
      <xdr:rowOff>19050</xdr:rowOff>
    </xdr:from>
    <xdr:to>
      <xdr:col>56</xdr:col>
      <xdr:colOff>123734</xdr:colOff>
      <xdr:row>63</xdr:row>
      <xdr:rowOff>133350</xdr:rowOff>
    </xdr:to>
    <xdr:sp macro="" textlink="">
      <xdr:nvSpPr>
        <xdr:cNvPr id="31987" name="60">
          <a:extLst>
            <a:ext uri="{FF2B5EF4-FFF2-40B4-BE49-F238E27FC236}">
              <a16:creationId xmlns:a16="http://schemas.microsoft.com/office/drawing/2014/main" id="{B70211CA-47A8-ABF4-BA9A-8EE47EE9C09C}"/>
            </a:ext>
          </a:extLst>
        </xdr:cNvPr>
        <xdr:cNvSpPr/>
      </xdr:nvSpPr>
      <xdr:spPr>
        <a:xfrm>
          <a:off x="15060386" y="98298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63</xdr:row>
      <xdr:rowOff>76200</xdr:rowOff>
    </xdr:from>
    <xdr:to>
      <xdr:col>45</xdr:col>
      <xdr:colOff>20411</xdr:colOff>
      <xdr:row>63</xdr:row>
      <xdr:rowOff>76200</xdr:rowOff>
    </xdr:to>
    <xdr:cxnSp macro="">
      <xdr:nvCxnSpPr>
        <xdr:cNvPr id="31988" name="직선 화살표 연결선 31987">
          <a:extLst>
            <a:ext uri="{FF2B5EF4-FFF2-40B4-BE49-F238E27FC236}">
              <a16:creationId xmlns:a16="http://schemas.microsoft.com/office/drawing/2014/main" id="{B58D4619-4029-DD04-B5BE-DE13F5359DEE}"/>
            </a:ext>
          </a:extLst>
        </xdr:cNvPr>
        <xdr:cNvCxnSpPr/>
      </xdr:nvCxnSpPr>
      <xdr:spPr>
        <a:xfrm>
          <a:off x="15060386"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62</xdr:row>
      <xdr:rowOff>19050</xdr:rowOff>
    </xdr:from>
    <xdr:to>
      <xdr:col>56</xdr:col>
      <xdr:colOff>123734</xdr:colOff>
      <xdr:row>62</xdr:row>
      <xdr:rowOff>133350</xdr:rowOff>
    </xdr:to>
    <xdr:sp macro="" textlink="">
      <xdr:nvSpPr>
        <xdr:cNvPr id="31989" name="59">
          <a:extLst>
            <a:ext uri="{FF2B5EF4-FFF2-40B4-BE49-F238E27FC236}">
              <a16:creationId xmlns:a16="http://schemas.microsoft.com/office/drawing/2014/main" id="{7C500076-0C58-819E-24D5-FF4D461C1540}"/>
            </a:ext>
          </a:extLst>
        </xdr:cNvPr>
        <xdr:cNvSpPr/>
      </xdr:nvSpPr>
      <xdr:spPr>
        <a:xfrm>
          <a:off x="15060386" y="96774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62</xdr:row>
      <xdr:rowOff>76200</xdr:rowOff>
    </xdr:from>
    <xdr:to>
      <xdr:col>45</xdr:col>
      <xdr:colOff>20411</xdr:colOff>
      <xdr:row>62</xdr:row>
      <xdr:rowOff>76200</xdr:rowOff>
    </xdr:to>
    <xdr:cxnSp macro="">
      <xdr:nvCxnSpPr>
        <xdr:cNvPr id="31990" name="직선 화살표 연결선 31989">
          <a:extLst>
            <a:ext uri="{FF2B5EF4-FFF2-40B4-BE49-F238E27FC236}">
              <a16:creationId xmlns:a16="http://schemas.microsoft.com/office/drawing/2014/main" id="{0FE7EF55-0304-981A-1FE4-216B9CEE81FC}"/>
            </a:ext>
          </a:extLst>
        </xdr:cNvPr>
        <xdr:cNvCxnSpPr/>
      </xdr:nvCxnSpPr>
      <xdr:spPr>
        <a:xfrm>
          <a:off x="15060386"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61</xdr:row>
      <xdr:rowOff>19050</xdr:rowOff>
    </xdr:from>
    <xdr:to>
      <xdr:col>56</xdr:col>
      <xdr:colOff>123734</xdr:colOff>
      <xdr:row>61</xdr:row>
      <xdr:rowOff>133350</xdr:rowOff>
    </xdr:to>
    <xdr:sp macro="" textlink="">
      <xdr:nvSpPr>
        <xdr:cNvPr id="31991" name="58">
          <a:extLst>
            <a:ext uri="{FF2B5EF4-FFF2-40B4-BE49-F238E27FC236}">
              <a16:creationId xmlns:a16="http://schemas.microsoft.com/office/drawing/2014/main" id="{2F9631A4-58F0-86EF-CDD7-20B432623946}"/>
            </a:ext>
          </a:extLst>
        </xdr:cNvPr>
        <xdr:cNvSpPr/>
      </xdr:nvSpPr>
      <xdr:spPr>
        <a:xfrm>
          <a:off x="15203261" y="95250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61</xdr:row>
      <xdr:rowOff>76200</xdr:rowOff>
    </xdr:from>
    <xdr:to>
      <xdr:col>46</xdr:col>
      <xdr:colOff>20411</xdr:colOff>
      <xdr:row>61</xdr:row>
      <xdr:rowOff>76200</xdr:rowOff>
    </xdr:to>
    <xdr:cxnSp macro="">
      <xdr:nvCxnSpPr>
        <xdr:cNvPr id="31992" name="직선 화살표 연결선 31991">
          <a:extLst>
            <a:ext uri="{FF2B5EF4-FFF2-40B4-BE49-F238E27FC236}">
              <a16:creationId xmlns:a16="http://schemas.microsoft.com/office/drawing/2014/main" id="{674F80A2-FF12-6E75-D551-C576F12541CF}"/>
            </a:ext>
          </a:extLst>
        </xdr:cNvPr>
        <xdr:cNvCxnSpPr/>
      </xdr:nvCxnSpPr>
      <xdr:spPr>
        <a:xfrm>
          <a:off x="15203261"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60</xdr:row>
      <xdr:rowOff>19050</xdr:rowOff>
    </xdr:from>
    <xdr:to>
      <xdr:col>56</xdr:col>
      <xdr:colOff>123734</xdr:colOff>
      <xdr:row>60</xdr:row>
      <xdr:rowOff>133350</xdr:rowOff>
    </xdr:to>
    <xdr:sp macro="" textlink="">
      <xdr:nvSpPr>
        <xdr:cNvPr id="31993" name="57">
          <a:extLst>
            <a:ext uri="{FF2B5EF4-FFF2-40B4-BE49-F238E27FC236}">
              <a16:creationId xmlns:a16="http://schemas.microsoft.com/office/drawing/2014/main" id="{C1605466-099C-819C-3CA1-4D8933499FCA}"/>
            </a:ext>
          </a:extLst>
        </xdr:cNvPr>
        <xdr:cNvSpPr/>
      </xdr:nvSpPr>
      <xdr:spPr>
        <a:xfrm>
          <a:off x="15060386" y="93726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60</xdr:row>
      <xdr:rowOff>76200</xdr:rowOff>
    </xdr:from>
    <xdr:to>
      <xdr:col>45</xdr:col>
      <xdr:colOff>20411</xdr:colOff>
      <xdr:row>60</xdr:row>
      <xdr:rowOff>76200</xdr:rowOff>
    </xdr:to>
    <xdr:cxnSp macro="">
      <xdr:nvCxnSpPr>
        <xdr:cNvPr id="31994" name="직선 화살표 연결선 31993">
          <a:extLst>
            <a:ext uri="{FF2B5EF4-FFF2-40B4-BE49-F238E27FC236}">
              <a16:creationId xmlns:a16="http://schemas.microsoft.com/office/drawing/2014/main" id="{38A011C7-D79C-4998-00CB-45EE54353603}"/>
            </a:ext>
          </a:extLst>
        </xdr:cNvPr>
        <xdr:cNvCxnSpPr/>
      </xdr:nvCxnSpPr>
      <xdr:spPr>
        <a:xfrm>
          <a:off x="15060386"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59</xdr:row>
      <xdr:rowOff>19050</xdr:rowOff>
    </xdr:from>
    <xdr:to>
      <xdr:col>56</xdr:col>
      <xdr:colOff>123734</xdr:colOff>
      <xdr:row>59</xdr:row>
      <xdr:rowOff>133350</xdr:rowOff>
    </xdr:to>
    <xdr:sp macro="" textlink="">
      <xdr:nvSpPr>
        <xdr:cNvPr id="31995" name="56">
          <a:extLst>
            <a:ext uri="{FF2B5EF4-FFF2-40B4-BE49-F238E27FC236}">
              <a16:creationId xmlns:a16="http://schemas.microsoft.com/office/drawing/2014/main" id="{7891587D-3ACB-42D7-DAF5-A17D2CD239E1}"/>
            </a:ext>
          </a:extLst>
        </xdr:cNvPr>
        <xdr:cNvSpPr/>
      </xdr:nvSpPr>
      <xdr:spPr>
        <a:xfrm>
          <a:off x="15060386" y="92202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59</xdr:row>
      <xdr:rowOff>76200</xdr:rowOff>
    </xdr:from>
    <xdr:to>
      <xdr:col>45</xdr:col>
      <xdr:colOff>20411</xdr:colOff>
      <xdr:row>59</xdr:row>
      <xdr:rowOff>76200</xdr:rowOff>
    </xdr:to>
    <xdr:cxnSp macro="">
      <xdr:nvCxnSpPr>
        <xdr:cNvPr id="31996" name="직선 화살표 연결선 31995">
          <a:extLst>
            <a:ext uri="{FF2B5EF4-FFF2-40B4-BE49-F238E27FC236}">
              <a16:creationId xmlns:a16="http://schemas.microsoft.com/office/drawing/2014/main" id="{036DD624-BD85-FAA0-20CB-DCD0668D6E0B}"/>
            </a:ext>
          </a:extLst>
        </xdr:cNvPr>
        <xdr:cNvCxnSpPr/>
      </xdr:nvCxnSpPr>
      <xdr:spPr>
        <a:xfrm>
          <a:off x="15060386"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20411</xdr:colOff>
      <xdr:row>58</xdr:row>
      <xdr:rowOff>19050</xdr:rowOff>
    </xdr:from>
    <xdr:to>
      <xdr:col>56</xdr:col>
      <xdr:colOff>123734</xdr:colOff>
      <xdr:row>58</xdr:row>
      <xdr:rowOff>133350</xdr:rowOff>
    </xdr:to>
    <xdr:sp macro="" textlink="">
      <xdr:nvSpPr>
        <xdr:cNvPr id="31997" name="55">
          <a:extLst>
            <a:ext uri="{FF2B5EF4-FFF2-40B4-BE49-F238E27FC236}">
              <a16:creationId xmlns:a16="http://schemas.microsoft.com/office/drawing/2014/main" id="{2FC6B088-73B0-7EB9-03BE-C4CC88BAAA4A}"/>
            </a:ext>
          </a:extLst>
        </xdr:cNvPr>
        <xdr:cNvSpPr/>
      </xdr:nvSpPr>
      <xdr:spPr>
        <a:xfrm>
          <a:off x="15203261" y="9067800"/>
          <a:ext cx="1532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20411</xdr:colOff>
      <xdr:row>58</xdr:row>
      <xdr:rowOff>76200</xdr:rowOff>
    </xdr:from>
    <xdr:to>
      <xdr:col>46</xdr:col>
      <xdr:colOff>20411</xdr:colOff>
      <xdr:row>58</xdr:row>
      <xdr:rowOff>76200</xdr:rowOff>
    </xdr:to>
    <xdr:cxnSp macro="">
      <xdr:nvCxnSpPr>
        <xdr:cNvPr id="31998" name="직선 화살표 연결선 31997">
          <a:extLst>
            <a:ext uri="{FF2B5EF4-FFF2-40B4-BE49-F238E27FC236}">
              <a16:creationId xmlns:a16="http://schemas.microsoft.com/office/drawing/2014/main" id="{9ECB8810-9C5E-82EC-3D7A-3B5A70CD29C5}"/>
            </a:ext>
          </a:extLst>
        </xdr:cNvPr>
        <xdr:cNvCxnSpPr/>
      </xdr:nvCxnSpPr>
      <xdr:spPr>
        <a:xfrm>
          <a:off x="15203261"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57</xdr:row>
      <xdr:rowOff>19050</xdr:rowOff>
    </xdr:from>
    <xdr:to>
      <xdr:col>56</xdr:col>
      <xdr:colOff>123734</xdr:colOff>
      <xdr:row>57</xdr:row>
      <xdr:rowOff>133350</xdr:rowOff>
    </xdr:to>
    <xdr:sp macro="" textlink="">
      <xdr:nvSpPr>
        <xdr:cNvPr id="31999" name="54">
          <a:extLst>
            <a:ext uri="{FF2B5EF4-FFF2-40B4-BE49-F238E27FC236}">
              <a16:creationId xmlns:a16="http://schemas.microsoft.com/office/drawing/2014/main" id="{BC58C8D2-DEAB-AD03-403A-77611FE25330}"/>
            </a:ext>
          </a:extLst>
        </xdr:cNvPr>
        <xdr:cNvSpPr/>
      </xdr:nvSpPr>
      <xdr:spPr>
        <a:xfrm>
          <a:off x="15060386" y="89154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57</xdr:row>
      <xdr:rowOff>76200</xdr:rowOff>
    </xdr:from>
    <xdr:to>
      <xdr:col>45</xdr:col>
      <xdr:colOff>20411</xdr:colOff>
      <xdr:row>57</xdr:row>
      <xdr:rowOff>76200</xdr:rowOff>
    </xdr:to>
    <xdr:cxnSp macro="">
      <xdr:nvCxnSpPr>
        <xdr:cNvPr id="32000" name="직선 화살표 연결선 31999">
          <a:extLst>
            <a:ext uri="{FF2B5EF4-FFF2-40B4-BE49-F238E27FC236}">
              <a16:creationId xmlns:a16="http://schemas.microsoft.com/office/drawing/2014/main" id="{E6929091-14C8-703B-7B9B-6BCA629387C4}"/>
            </a:ext>
          </a:extLst>
        </xdr:cNvPr>
        <xdr:cNvCxnSpPr/>
      </xdr:nvCxnSpPr>
      <xdr:spPr>
        <a:xfrm>
          <a:off x="15060386"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56</xdr:row>
      <xdr:rowOff>19050</xdr:rowOff>
    </xdr:from>
    <xdr:to>
      <xdr:col>56</xdr:col>
      <xdr:colOff>123734</xdr:colOff>
      <xdr:row>56</xdr:row>
      <xdr:rowOff>133350</xdr:rowOff>
    </xdr:to>
    <xdr:sp macro="" textlink="">
      <xdr:nvSpPr>
        <xdr:cNvPr id="32001" name="53">
          <a:extLst>
            <a:ext uri="{FF2B5EF4-FFF2-40B4-BE49-F238E27FC236}">
              <a16:creationId xmlns:a16="http://schemas.microsoft.com/office/drawing/2014/main" id="{FEF7BAD0-28C6-B5DD-1708-77E32C9639EB}"/>
            </a:ext>
          </a:extLst>
        </xdr:cNvPr>
        <xdr:cNvSpPr/>
      </xdr:nvSpPr>
      <xdr:spPr>
        <a:xfrm>
          <a:off x="15060386" y="87630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56</xdr:row>
      <xdr:rowOff>76200</xdr:rowOff>
    </xdr:from>
    <xdr:to>
      <xdr:col>45</xdr:col>
      <xdr:colOff>20411</xdr:colOff>
      <xdr:row>56</xdr:row>
      <xdr:rowOff>76200</xdr:rowOff>
    </xdr:to>
    <xdr:cxnSp macro="">
      <xdr:nvCxnSpPr>
        <xdr:cNvPr id="32002" name="직선 화살표 연결선 32001">
          <a:extLst>
            <a:ext uri="{FF2B5EF4-FFF2-40B4-BE49-F238E27FC236}">
              <a16:creationId xmlns:a16="http://schemas.microsoft.com/office/drawing/2014/main" id="{84F8A125-CDA1-1FF3-3147-0060CA7F00E8}"/>
            </a:ext>
          </a:extLst>
        </xdr:cNvPr>
        <xdr:cNvCxnSpPr/>
      </xdr:nvCxnSpPr>
      <xdr:spPr>
        <a:xfrm>
          <a:off x="15060386"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55</xdr:row>
      <xdr:rowOff>19050</xdr:rowOff>
    </xdr:from>
    <xdr:to>
      <xdr:col>56</xdr:col>
      <xdr:colOff>123734</xdr:colOff>
      <xdr:row>55</xdr:row>
      <xdr:rowOff>133350</xdr:rowOff>
    </xdr:to>
    <xdr:sp macro="" textlink="">
      <xdr:nvSpPr>
        <xdr:cNvPr id="32003" name="52">
          <a:extLst>
            <a:ext uri="{FF2B5EF4-FFF2-40B4-BE49-F238E27FC236}">
              <a16:creationId xmlns:a16="http://schemas.microsoft.com/office/drawing/2014/main" id="{719A1772-2FE9-6B98-19D9-147D8C30091D}"/>
            </a:ext>
          </a:extLst>
        </xdr:cNvPr>
        <xdr:cNvSpPr/>
      </xdr:nvSpPr>
      <xdr:spPr>
        <a:xfrm>
          <a:off x="15060386" y="86106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55</xdr:row>
      <xdr:rowOff>76200</xdr:rowOff>
    </xdr:from>
    <xdr:to>
      <xdr:col>45</xdr:col>
      <xdr:colOff>20411</xdr:colOff>
      <xdr:row>55</xdr:row>
      <xdr:rowOff>76200</xdr:rowOff>
    </xdr:to>
    <xdr:cxnSp macro="">
      <xdr:nvCxnSpPr>
        <xdr:cNvPr id="32004" name="직선 화살표 연결선 32003">
          <a:extLst>
            <a:ext uri="{FF2B5EF4-FFF2-40B4-BE49-F238E27FC236}">
              <a16:creationId xmlns:a16="http://schemas.microsoft.com/office/drawing/2014/main" id="{3C9FB72D-A69D-3BD8-2DAC-4B79FF1E355C}"/>
            </a:ext>
          </a:extLst>
        </xdr:cNvPr>
        <xdr:cNvCxnSpPr/>
      </xdr:nvCxnSpPr>
      <xdr:spPr>
        <a:xfrm>
          <a:off x="15060386"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54</xdr:row>
      <xdr:rowOff>19050</xdr:rowOff>
    </xdr:from>
    <xdr:to>
      <xdr:col>45</xdr:col>
      <xdr:colOff>123734</xdr:colOff>
      <xdr:row>54</xdr:row>
      <xdr:rowOff>133350</xdr:rowOff>
    </xdr:to>
    <xdr:sp macro="" textlink="">
      <xdr:nvSpPr>
        <xdr:cNvPr id="32005" name="51">
          <a:extLst>
            <a:ext uri="{FF2B5EF4-FFF2-40B4-BE49-F238E27FC236}">
              <a16:creationId xmlns:a16="http://schemas.microsoft.com/office/drawing/2014/main" id="{A223F8F6-C7DA-6330-8833-DB493F2CCE8B}"/>
            </a:ext>
          </a:extLst>
        </xdr:cNvPr>
        <xdr:cNvSpPr/>
      </xdr:nvSpPr>
      <xdr:spPr>
        <a:xfrm>
          <a:off x="15060386" y="845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54</xdr:row>
      <xdr:rowOff>76200</xdr:rowOff>
    </xdr:from>
    <xdr:to>
      <xdr:col>45</xdr:col>
      <xdr:colOff>20411</xdr:colOff>
      <xdr:row>54</xdr:row>
      <xdr:rowOff>76200</xdr:rowOff>
    </xdr:to>
    <xdr:cxnSp macro="">
      <xdr:nvCxnSpPr>
        <xdr:cNvPr id="32006" name="직선 화살표 연결선 32005">
          <a:extLst>
            <a:ext uri="{FF2B5EF4-FFF2-40B4-BE49-F238E27FC236}">
              <a16:creationId xmlns:a16="http://schemas.microsoft.com/office/drawing/2014/main" id="{0DC84247-C4D8-AD3F-7C08-A8A917F44448}"/>
            </a:ext>
          </a:extLst>
        </xdr:cNvPr>
        <xdr:cNvCxnSpPr/>
      </xdr:nvCxnSpPr>
      <xdr:spPr>
        <a:xfrm>
          <a:off x="15060386"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53</xdr:row>
      <xdr:rowOff>19050</xdr:rowOff>
    </xdr:from>
    <xdr:to>
      <xdr:col>56</xdr:col>
      <xdr:colOff>123734</xdr:colOff>
      <xdr:row>53</xdr:row>
      <xdr:rowOff>133350</xdr:rowOff>
    </xdr:to>
    <xdr:sp macro="" textlink="">
      <xdr:nvSpPr>
        <xdr:cNvPr id="32007" name="50">
          <a:extLst>
            <a:ext uri="{FF2B5EF4-FFF2-40B4-BE49-F238E27FC236}">
              <a16:creationId xmlns:a16="http://schemas.microsoft.com/office/drawing/2014/main" id="{303DD51F-1CAD-2525-1187-F42AD91C3698}"/>
            </a:ext>
          </a:extLst>
        </xdr:cNvPr>
        <xdr:cNvSpPr/>
      </xdr:nvSpPr>
      <xdr:spPr>
        <a:xfrm>
          <a:off x="15060386" y="83058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53</xdr:row>
      <xdr:rowOff>76200</xdr:rowOff>
    </xdr:from>
    <xdr:to>
      <xdr:col>45</xdr:col>
      <xdr:colOff>20411</xdr:colOff>
      <xdr:row>53</xdr:row>
      <xdr:rowOff>76200</xdr:rowOff>
    </xdr:to>
    <xdr:cxnSp macro="">
      <xdr:nvCxnSpPr>
        <xdr:cNvPr id="32008" name="직선 화살표 연결선 32007">
          <a:extLst>
            <a:ext uri="{FF2B5EF4-FFF2-40B4-BE49-F238E27FC236}">
              <a16:creationId xmlns:a16="http://schemas.microsoft.com/office/drawing/2014/main" id="{97DB14B5-3B56-E367-0B49-D9700564FE8C}"/>
            </a:ext>
          </a:extLst>
        </xdr:cNvPr>
        <xdr:cNvCxnSpPr/>
      </xdr:nvCxnSpPr>
      <xdr:spPr>
        <a:xfrm>
          <a:off x="15060386"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52</xdr:row>
      <xdr:rowOff>19050</xdr:rowOff>
    </xdr:from>
    <xdr:to>
      <xdr:col>62</xdr:col>
      <xdr:colOff>123734</xdr:colOff>
      <xdr:row>52</xdr:row>
      <xdr:rowOff>133350</xdr:rowOff>
    </xdr:to>
    <xdr:sp macro="" textlink="">
      <xdr:nvSpPr>
        <xdr:cNvPr id="32009" name="49">
          <a:extLst>
            <a:ext uri="{FF2B5EF4-FFF2-40B4-BE49-F238E27FC236}">
              <a16:creationId xmlns:a16="http://schemas.microsoft.com/office/drawing/2014/main" id="{6C265B50-163F-2179-8CAC-68F3BD2A954A}"/>
            </a:ext>
          </a:extLst>
        </xdr:cNvPr>
        <xdr:cNvSpPr/>
      </xdr:nvSpPr>
      <xdr:spPr>
        <a:xfrm>
          <a:off x="15060386" y="8153400"/>
          <a:ext cx="2532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52</xdr:row>
      <xdr:rowOff>76200</xdr:rowOff>
    </xdr:from>
    <xdr:to>
      <xdr:col>45</xdr:col>
      <xdr:colOff>20411</xdr:colOff>
      <xdr:row>52</xdr:row>
      <xdr:rowOff>76200</xdr:rowOff>
    </xdr:to>
    <xdr:cxnSp macro="">
      <xdr:nvCxnSpPr>
        <xdr:cNvPr id="32010" name="직선 화살표 연결선 32009">
          <a:extLst>
            <a:ext uri="{FF2B5EF4-FFF2-40B4-BE49-F238E27FC236}">
              <a16:creationId xmlns:a16="http://schemas.microsoft.com/office/drawing/2014/main" id="{D78DC5CA-1D2B-4552-F043-2631BE523763}"/>
            </a:ext>
          </a:extLst>
        </xdr:cNvPr>
        <xdr:cNvCxnSpPr/>
      </xdr:nvCxnSpPr>
      <xdr:spPr>
        <a:xfrm>
          <a:off x="15060386"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51</xdr:row>
      <xdr:rowOff>19050</xdr:rowOff>
    </xdr:from>
    <xdr:to>
      <xdr:col>44</xdr:col>
      <xdr:colOff>123734</xdr:colOff>
      <xdr:row>51</xdr:row>
      <xdr:rowOff>133350</xdr:rowOff>
    </xdr:to>
    <xdr:sp macro="" textlink="">
      <xdr:nvSpPr>
        <xdr:cNvPr id="32011" name="48">
          <a:extLst>
            <a:ext uri="{FF2B5EF4-FFF2-40B4-BE49-F238E27FC236}">
              <a16:creationId xmlns:a16="http://schemas.microsoft.com/office/drawing/2014/main" id="{F6B441E1-38D4-5D50-0CD1-D649D7FCF8D1}"/>
            </a:ext>
          </a:extLst>
        </xdr:cNvPr>
        <xdr:cNvSpPr/>
      </xdr:nvSpPr>
      <xdr:spPr>
        <a:xfrm>
          <a:off x="14774636" y="80010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51</xdr:row>
      <xdr:rowOff>76200</xdr:rowOff>
    </xdr:from>
    <xdr:to>
      <xdr:col>43</xdr:col>
      <xdr:colOff>20411</xdr:colOff>
      <xdr:row>51</xdr:row>
      <xdr:rowOff>76200</xdr:rowOff>
    </xdr:to>
    <xdr:cxnSp macro="">
      <xdr:nvCxnSpPr>
        <xdr:cNvPr id="32012" name="직선 화살표 연결선 32011">
          <a:extLst>
            <a:ext uri="{FF2B5EF4-FFF2-40B4-BE49-F238E27FC236}">
              <a16:creationId xmlns:a16="http://schemas.microsoft.com/office/drawing/2014/main" id="{5472DC1C-394C-C23B-84AA-C20B7731DC9B}"/>
            </a:ext>
          </a:extLst>
        </xdr:cNvPr>
        <xdr:cNvCxnSpPr/>
      </xdr:nvCxnSpPr>
      <xdr:spPr>
        <a:xfrm>
          <a:off x="14774636"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50</xdr:row>
      <xdr:rowOff>19050</xdr:rowOff>
    </xdr:from>
    <xdr:to>
      <xdr:col>56</xdr:col>
      <xdr:colOff>123734</xdr:colOff>
      <xdr:row>50</xdr:row>
      <xdr:rowOff>133350</xdr:rowOff>
    </xdr:to>
    <xdr:sp macro="" textlink="">
      <xdr:nvSpPr>
        <xdr:cNvPr id="32013" name="47">
          <a:extLst>
            <a:ext uri="{FF2B5EF4-FFF2-40B4-BE49-F238E27FC236}">
              <a16:creationId xmlns:a16="http://schemas.microsoft.com/office/drawing/2014/main" id="{81DEDAF1-DB80-48A0-109B-0F2AB770A12B}"/>
            </a:ext>
          </a:extLst>
        </xdr:cNvPr>
        <xdr:cNvSpPr/>
      </xdr:nvSpPr>
      <xdr:spPr>
        <a:xfrm>
          <a:off x="16346261" y="78486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50</xdr:row>
      <xdr:rowOff>76200</xdr:rowOff>
    </xdr:from>
    <xdr:to>
      <xdr:col>54</xdr:col>
      <xdr:colOff>20411</xdr:colOff>
      <xdr:row>50</xdr:row>
      <xdr:rowOff>76200</xdr:rowOff>
    </xdr:to>
    <xdr:cxnSp macro="">
      <xdr:nvCxnSpPr>
        <xdr:cNvPr id="32014" name="직선 화살표 연결선 32013">
          <a:extLst>
            <a:ext uri="{FF2B5EF4-FFF2-40B4-BE49-F238E27FC236}">
              <a16:creationId xmlns:a16="http://schemas.microsoft.com/office/drawing/2014/main" id="{989EA0A0-6142-B9D7-E268-4C8C8F9A8FB4}"/>
            </a:ext>
          </a:extLst>
        </xdr:cNvPr>
        <xdr:cNvCxnSpPr/>
      </xdr:nvCxnSpPr>
      <xdr:spPr>
        <a:xfrm>
          <a:off x="16346261"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49</xdr:row>
      <xdr:rowOff>19050</xdr:rowOff>
    </xdr:from>
    <xdr:to>
      <xdr:col>56</xdr:col>
      <xdr:colOff>123734</xdr:colOff>
      <xdr:row>49</xdr:row>
      <xdr:rowOff>133350</xdr:rowOff>
    </xdr:to>
    <xdr:sp macro="" textlink="">
      <xdr:nvSpPr>
        <xdr:cNvPr id="32015" name="46">
          <a:extLst>
            <a:ext uri="{FF2B5EF4-FFF2-40B4-BE49-F238E27FC236}">
              <a16:creationId xmlns:a16="http://schemas.microsoft.com/office/drawing/2014/main" id="{184D7166-EC85-38BA-F4E9-D1A68A1D4C82}"/>
            </a:ext>
          </a:extLst>
        </xdr:cNvPr>
        <xdr:cNvSpPr/>
      </xdr:nvSpPr>
      <xdr:spPr>
        <a:xfrm>
          <a:off x="15060386" y="76962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49</xdr:row>
      <xdr:rowOff>76200</xdr:rowOff>
    </xdr:from>
    <xdr:to>
      <xdr:col>45</xdr:col>
      <xdr:colOff>20411</xdr:colOff>
      <xdr:row>49</xdr:row>
      <xdr:rowOff>76200</xdr:rowOff>
    </xdr:to>
    <xdr:cxnSp macro="">
      <xdr:nvCxnSpPr>
        <xdr:cNvPr id="32016" name="직선 화살표 연결선 32015">
          <a:extLst>
            <a:ext uri="{FF2B5EF4-FFF2-40B4-BE49-F238E27FC236}">
              <a16:creationId xmlns:a16="http://schemas.microsoft.com/office/drawing/2014/main" id="{E238FB8E-6E69-8FF9-E674-06A7A5A085A4}"/>
            </a:ext>
          </a:extLst>
        </xdr:cNvPr>
        <xdr:cNvCxnSpPr/>
      </xdr:nvCxnSpPr>
      <xdr:spPr>
        <a:xfrm>
          <a:off x="15060386"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48</xdr:row>
      <xdr:rowOff>19050</xdr:rowOff>
    </xdr:from>
    <xdr:to>
      <xdr:col>56</xdr:col>
      <xdr:colOff>123734</xdr:colOff>
      <xdr:row>48</xdr:row>
      <xdr:rowOff>133350</xdr:rowOff>
    </xdr:to>
    <xdr:sp macro="" textlink="">
      <xdr:nvSpPr>
        <xdr:cNvPr id="32017" name="45">
          <a:extLst>
            <a:ext uri="{FF2B5EF4-FFF2-40B4-BE49-F238E27FC236}">
              <a16:creationId xmlns:a16="http://schemas.microsoft.com/office/drawing/2014/main" id="{869E42D8-2612-AECC-A2F8-BD633D764537}"/>
            </a:ext>
          </a:extLst>
        </xdr:cNvPr>
        <xdr:cNvSpPr/>
      </xdr:nvSpPr>
      <xdr:spPr>
        <a:xfrm>
          <a:off x="15060386" y="75438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48</xdr:row>
      <xdr:rowOff>76200</xdr:rowOff>
    </xdr:from>
    <xdr:to>
      <xdr:col>45</xdr:col>
      <xdr:colOff>20411</xdr:colOff>
      <xdr:row>48</xdr:row>
      <xdr:rowOff>76200</xdr:rowOff>
    </xdr:to>
    <xdr:cxnSp macro="">
      <xdr:nvCxnSpPr>
        <xdr:cNvPr id="32018" name="직선 화살표 연결선 32017">
          <a:extLst>
            <a:ext uri="{FF2B5EF4-FFF2-40B4-BE49-F238E27FC236}">
              <a16:creationId xmlns:a16="http://schemas.microsoft.com/office/drawing/2014/main" id="{186A9378-F203-1A69-9672-CA017BD6848C}"/>
            </a:ext>
          </a:extLst>
        </xdr:cNvPr>
        <xdr:cNvCxnSpPr/>
      </xdr:nvCxnSpPr>
      <xdr:spPr>
        <a:xfrm>
          <a:off x="15060386"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47</xdr:row>
      <xdr:rowOff>19050</xdr:rowOff>
    </xdr:from>
    <xdr:to>
      <xdr:col>56</xdr:col>
      <xdr:colOff>123734</xdr:colOff>
      <xdr:row>47</xdr:row>
      <xdr:rowOff>133350</xdr:rowOff>
    </xdr:to>
    <xdr:sp macro="" textlink="">
      <xdr:nvSpPr>
        <xdr:cNvPr id="32019" name="44">
          <a:extLst>
            <a:ext uri="{FF2B5EF4-FFF2-40B4-BE49-F238E27FC236}">
              <a16:creationId xmlns:a16="http://schemas.microsoft.com/office/drawing/2014/main" id="{DE3108A5-5DF0-5EB1-CB6A-836C52446460}"/>
            </a:ext>
          </a:extLst>
        </xdr:cNvPr>
        <xdr:cNvSpPr/>
      </xdr:nvSpPr>
      <xdr:spPr>
        <a:xfrm>
          <a:off x="15060386" y="73914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47</xdr:row>
      <xdr:rowOff>76200</xdr:rowOff>
    </xdr:from>
    <xdr:to>
      <xdr:col>45</xdr:col>
      <xdr:colOff>20411</xdr:colOff>
      <xdr:row>47</xdr:row>
      <xdr:rowOff>76200</xdr:rowOff>
    </xdr:to>
    <xdr:cxnSp macro="">
      <xdr:nvCxnSpPr>
        <xdr:cNvPr id="32020" name="직선 화살표 연결선 32019">
          <a:extLst>
            <a:ext uri="{FF2B5EF4-FFF2-40B4-BE49-F238E27FC236}">
              <a16:creationId xmlns:a16="http://schemas.microsoft.com/office/drawing/2014/main" id="{5C97FA69-4E10-B37A-153F-528AFE3870A6}"/>
            </a:ext>
          </a:extLst>
        </xdr:cNvPr>
        <xdr:cNvCxnSpPr/>
      </xdr:nvCxnSpPr>
      <xdr:spPr>
        <a:xfrm>
          <a:off x="15060386"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46</xdr:row>
      <xdr:rowOff>19050</xdr:rowOff>
    </xdr:from>
    <xdr:to>
      <xdr:col>56</xdr:col>
      <xdr:colOff>123734</xdr:colOff>
      <xdr:row>46</xdr:row>
      <xdr:rowOff>133350</xdr:rowOff>
    </xdr:to>
    <xdr:sp macro="" textlink="">
      <xdr:nvSpPr>
        <xdr:cNvPr id="32021" name="43">
          <a:extLst>
            <a:ext uri="{FF2B5EF4-FFF2-40B4-BE49-F238E27FC236}">
              <a16:creationId xmlns:a16="http://schemas.microsoft.com/office/drawing/2014/main" id="{0E266FB9-EC84-CF80-CEEF-62BD9F11C923}"/>
            </a:ext>
          </a:extLst>
        </xdr:cNvPr>
        <xdr:cNvSpPr/>
      </xdr:nvSpPr>
      <xdr:spPr>
        <a:xfrm>
          <a:off x="15060386" y="72390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46</xdr:row>
      <xdr:rowOff>76200</xdr:rowOff>
    </xdr:from>
    <xdr:to>
      <xdr:col>45</xdr:col>
      <xdr:colOff>20411</xdr:colOff>
      <xdr:row>46</xdr:row>
      <xdr:rowOff>76200</xdr:rowOff>
    </xdr:to>
    <xdr:cxnSp macro="">
      <xdr:nvCxnSpPr>
        <xdr:cNvPr id="32022" name="직선 화살표 연결선 32021">
          <a:extLst>
            <a:ext uri="{FF2B5EF4-FFF2-40B4-BE49-F238E27FC236}">
              <a16:creationId xmlns:a16="http://schemas.microsoft.com/office/drawing/2014/main" id="{08B00E74-4EDF-29E5-6192-6A32AA2E10A3}"/>
            </a:ext>
          </a:extLst>
        </xdr:cNvPr>
        <xdr:cNvCxnSpPr/>
      </xdr:nvCxnSpPr>
      <xdr:spPr>
        <a:xfrm>
          <a:off x="15060386"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45</xdr:row>
      <xdr:rowOff>19050</xdr:rowOff>
    </xdr:from>
    <xdr:to>
      <xdr:col>56</xdr:col>
      <xdr:colOff>123734</xdr:colOff>
      <xdr:row>45</xdr:row>
      <xdr:rowOff>133350</xdr:rowOff>
    </xdr:to>
    <xdr:sp macro="" textlink="">
      <xdr:nvSpPr>
        <xdr:cNvPr id="32023" name="42">
          <a:extLst>
            <a:ext uri="{FF2B5EF4-FFF2-40B4-BE49-F238E27FC236}">
              <a16:creationId xmlns:a16="http://schemas.microsoft.com/office/drawing/2014/main" id="{75011E3C-9161-7E09-4AAC-82FB44B3953B}"/>
            </a:ext>
          </a:extLst>
        </xdr:cNvPr>
        <xdr:cNvSpPr/>
      </xdr:nvSpPr>
      <xdr:spPr>
        <a:xfrm>
          <a:off x="15060386" y="7086600"/>
          <a:ext cx="1674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45</xdr:row>
      <xdr:rowOff>76200</xdr:rowOff>
    </xdr:from>
    <xdr:to>
      <xdr:col>45</xdr:col>
      <xdr:colOff>20411</xdr:colOff>
      <xdr:row>45</xdr:row>
      <xdr:rowOff>76200</xdr:rowOff>
    </xdr:to>
    <xdr:cxnSp macro="">
      <xdr:nvCxnSpPr>
        <xdr:cNvPr id="32024" name="직선 화살표 연결선 32023">
          <a:extLst>
            <a:ext uri="{FF2B5EF4-FFF2-40B4-BE49-F238E27FC236}">
              <a16:creationId xmlns:a16="http://schemas.microsoft.com/office/drawing/2014/main" id="{7CFAE496-8A84-D220-9AD7-E4A1E3C0696F}"/>
            </a:ext>
          </a:extLst>
        </xdr:cNvPr>
        <xdr:cNvCxnSpPr/>
      </xdr:nvCxnSpPr>
      <xdr:spPr>
        <a:xfrm>
          <a:off x="15060386"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44</xdr:row>
      <xdr:rowOff>19050</xdr:rowOff>
    </xdr:from>
    <xdr:to>
      <xdr:col>56</xdr:col>
      <xdr:colOff>123734</xdr:colOff>
      <xdr:row>44</xdr:row>
      <xdr:rowOff>133350</xdr:rowOff>
    </xdr:to>
    <xdr:sp macro="" textlink="">
      <xdr:nvSpPr>
        <xdr:cNvPr id="32025" name="41">
          <a:extLst>
            <a:ext uri="{FF2B5EF4-FFF2-40B4-BE49-F238E27FC236}">
              <a16:creationId xmlns:a16="http://schemas.microsoft.com/office/drawing/2014/main" id="{954DB727-DF61-B297-2D0A-CD530D7BC0A6}"/>
            </a:ext>
          </a:extLst>
        </xdr:cNvPr>
        <xdr:cNvSpPr/>
      </xdr:nvSpPr>
      <xdr:spPr>
        <a:xfrm>
          <a:off x="15060386" y="6934200"/>
          <a:ext cx="16749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44</xdr:row>
      <xdr:rowOff>76200</xdr:rowOff>
    </xdr:from>
    <xdr:to>
      <xdr:col>45</xdr:col>
      <xdr:colOff>20411</xdr:colOff>
      <xdr:row>44</xdr:row>
      <xdr:rowOff>76200</xdr:rowOff>
    </xdr:to>
    <xdr:cxnSp macro="">
      <xdr:nvCxnSpPr>
        <xdr:cNvPr id="32026" name="직선 화살표 연결선 32025">
          <a:extLst>
            <a:ext uri="{FF2B5EF4-FFF2-40B4-BE49-F238E27FC236}">
              <a16:creationId xmlns:a16="http://schemas.microsoft.com/office/drawing/2014/main" id="{C32EE16B-92A5-FA1F-EF86-264729732C8B}"/>
            </a:ext>
          </a:extLst>
        </xdr:cNvPr>
        <xdr:cNvCxnSpPr/>
      </xdr:nvCxnSpPr>
      <xdr:spPr>
        <a:xfrm>
          <a:off x="15060386"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43</xdr:row>
      <xdr:rowOff>19050</xdr:rowOff>
    </xdr:from>
    <xdr:to>
      <xdr:col>43</xdr:col>
      <xdr:colOff>123734</xdr:colOff>
      <xdr:row>43</xdr:row>
      <xdr:rowOff>133350</xdr:rowOff>
    </xdr:to>
    <xdr:sp macro="" textlink="">
      <xdr:nvSpPr>
        <xdr:cNvPr id="32027" name="40">
          <a:extLst>
            <a:ext uri="{FF2B5EF4-FFF2-40B4-BE49-F238E27FC236}">
              <a16:creationId xmlns:a16="http://schemas.microsoft.com/office/drawing/2014/main" id="{0D1F336F-9BB8-EAF8-455B-895136C7E2FF}"/>
            </a:ext>
          </a:extLst>
        </xdr:cNvPr>
        <xdr:cNvSpPr/>
      </xdr:nvSpPr>
      <xdr:spPr>
        <a:xfrm>
          <a:off x="14774636" y="6781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43</xdr:row>
      <xdr:rowOff>76200</xdr:rowOff>
    </xdr:from>
    <xdr:to>
      <xdr:col>43</xdr:col>
      <xdr:colOff>20411</xdr:colOff>
      <xdr:row>43</xdr:row>
      <xdr:rowOff>76200</xdr:rowOff>
    </xdr:to>
    <xdr:cxnSp macro="">
      <xdr:nvCxnSpPr>
        <xdr:cNvPr id="32028" name="직선 화살표 연결선 32027">
          <a:extLst>
            <a:ext uri="{FF2B5EF4-FFF2-40B4-BE49-F238E27FC236}">
              <a16:creationId xmlns:a16="http://schemas.microsoft.com/office/drawing/2014/main" id="{971B6592-B10F-CF3B-C2DE-7EF9113E2D25}"/>
            </a:ext>
          </a:extLst>
        </xdr:cNvPr>
        <xdr:cNvCxnSpPr/>
      </xdr:nvCxnSpPr>
      <xdr:spPr>
        <a:xfrm>
          <a:off x="14774636"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42</xdr:row>
      <xdr:rowOff>19050</xdr:rowOff>
    </xdr:from>
    <xdr:to>
      <xdr:col>36</xdr:col>
      <xdr:colOff>123734</xdr:colOff>
      <xdr:row>42</xdr:row>
      <xdr:rowOff>133350</xdr:rowOff>
    </xdr:to>
    <xdr:sp macro="" textlink="">
      <xdr:nvSpPr>
        <xdr:cNvPr id="32029" name="39">
          <a:extLst>
            <a:ext uri="{FF2B5EF4-FFF2-40B4-BE49-F238E27FC236}">
              <a16:creationId xmlns:a16="http://schemas.microsoft.com/office/drawing/2014/main" id="{23C59F55-3412-7445-B433-E450D7B12208}"/>
            </a:ext>
          </a:extLst>
        </xdr:cNvPr>
        <xdr:cNvSpPr/>
      </xdr:nvSpPr>
      <xdr:spPr>
        <a:xfrm>
          <a:off x="13345886" y="6629400"/>
          <a:ext cx="5319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42</xdr:row>
      <xdr:rowOff>76200</xdr:rowOff>
    </xdr:from>
    <xdr:to>
      <xdr:col>36</xdr:col>
      <xdr:colOff>122464</xdr:colOff>
      <xdr:row>42</xdr:row>
      <xdr:rowOff>76200</xdr:rowOff>
    </xdr:to>
    <xdr:cxnSp macro="">
      <xdr:nvCxnSpPr>
        <xdr:cNvPr id="32030" name="직선 화살표 연결선 32029">
          <a:extLst>
            <a:ext uri="{FF2B5EF4-FFF2-40B4-BE49-F238E27FC236}">
              <a16:creationId xmlns:a16="http://schemas.microsoft.com/office/drawing/2014/main" id="{6C535945-1839-7D14-0F33-6888671C2321}"/>
            </a:ext>
          </a:extLst>
        </xdr:cNvPr>
        <xdr:cNvCxnSpPr/>
      </xdr:nvCxnSpPr>
      <xdr:spPr>
        <a:xfrm>
          <a:off x="13345886" y="66865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41</xdr:row>
      <xdr:rowOff>19050</xdr:rowOff>
    </xdr:from>
    <xdr:to>
      <xdr:col>43</xdr:col>
      <xdr:colOff>123734</xdr:colOff>
      <xdr:row>41</xdr:row>
      <xdr:rowOff>133350</xdr:rowOff>
    </xdr:to>
    <xdr:sp macro="" textlink="">
      <xdr:nvSpPr>
        <xdr:cNvPr id="32031" name="38">
          <a:extLst>
            <a:ext uri="{FF2B5EF4-FFF2-40B4-BE49-F238E27FC236}">
              <a16:creationId xmlns:a16="http://schemas.microsoft.com/office/drawing/2014/main" id="{5D4D34A9-BFFC-C3B4-5A76-E7E7A88301C4}"/>
            </a:ext>
          </a:extLst>
        </xdr:cNvPr>
        <xdr:cNvSpPr/>
      </xdr:nvSpPr>
      <xdr:spPr>
        <a:xfrm>
          <a:off x="13345886" y="6477000"/>
          <a:ext cx="1532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41</xdr:row>
      <xdr:rowOff>76200</xdr:rowOff>
    </xdr:from>
    <xdr:to>
      <xdr:col>41</xdr:col>
      <xdr:colOff>89297</xdr:colOff>
      <xdr:row>41</xdr:row>
      <xdr:rowOff>76200</xdr:rowOff>
    </xdr:to>
    <xdr:cxnSp macro="">
      <xdr:nvCxnSpPr>
        <xdr:cNvPr id="32032" name="직선 화살표 연결선 32031">
          <a:extLst>
            <a:ext uri="{FF2B5EF4-FFF2-40B4-BE49-F238E27FC236}">
              <a16:creationId xmlns:a16="http://schemas.microsoft.com/office/drawing/2014/main" id="{DF4D554B-A7F0-6FF9-3774-43491A74A32E}"/>
            </a:ext>
          </a:extLst>
        </xdr:cNvPr>
        <xdr:cNvCxnSpPr/>
      </xdr:nvCxnSpPr>
      <xdr:spPr>
        <a:xfrm>
          <a:off x="13345886" y="6534150"/>
          <a:ext cx="12118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40</xdr:row>
      <xdr:rowOff>19050</xdr:rowOff>
    </xdr:from>
    <xdr:to>
      <xdr:col>42</xdr:col>
      <xdr:colOff>123734</xdr:colOff>
      <xdr:row>40</xdr:row>
      <xdr:rowOff>133350</xdr:rowOff>
    </xdr:to>
    <xdr:sp macro="" textlink="">
      <xdr:nvSpPr>
        <xdr:cNvPr id="32033" name="37">
          <a:extLst>
            <a:ext uri="{FF2B5EF4-FFF2-40B4-BE49-F238E27FC236}">
              <a16:creationId xmlns:a16="http://schemas.microsoft.com/office/drawing/2014/main" id="{E3A037FA-68CA-A3EB-1419-240D9C2EE351}"/>
            </a:ext>
          </a:extLst>
        </xdr:cNvPr>
        <xdr:cNvSpPr/>
      </xdr:nvSpPr>
      <xdr:spPr>
        <a:xfrm>
          <a:off x="14488886" y="63246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40</xdr:row>
      <xdr:rowOff>76200</xdr:rowOff>
    </xdr:from>
    <xdr:to>
      <xdr:col>41</xdr:col>
      <xdr:colOff>20411</xdr:colOff>
      <xdr:row>40</xdr:row>
      <xdr:rowOff>76200</xdr:rowOff>
    </xdr:to>
    <xdr:cxnSp macro="">
      <xdr:nvCxnSpPr>
        <xdr:cNvPr id="32034" name="직선 화살표 연결선 32033">
          <a:extLst>
            <a:ext uri="{FF2B5EF4-FFF2-40B4-BE49-F238E27FC236}">
              <a16:creationId xmlns:a16="http://schemas.microsoft.com/office/drawing/2014/main" id="{1086224B-0F01-1FFB-7C25-1636B49140F7}"/>
            </a:ext>
          </a:extLst>
        </xdr:cNvPr>
        <xdr:cNvCxnSpPr/>
      </xdr:nvCxnSpPr>
      <xdr:spPr>
        <a:xfrm>
          <a:off x="14488886"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39</xdr:row>
      <xdr:rowOff>19050</xdr:rowOff>
    </xdr:from>
    <xdr:to>
      <xdr:col>40</xdr:col>
      <xdr:colOff>123734</xdr:colOff>
      <xdr:row>39</xdr:row>
      <xdr:rowOff>133350</xdr:rowOff>
    </xdr:to>
    <xdr:sp macro="" textlink="">
      <xdr:nvSpPr>
        <xdr:cNvPr id="32035" name="36">
          <a:extLst>
            <a:ext uri="{FF2B5EF4-FFF2-40B4-BE49-F238E27FC236}">
              <a16:creationId xmlns:a16="http://schemas.microsoft.com/office/drawing/2014/main" id="{BA6F9E44-420A-1A6F-2CA1-8E9D0C5FC4D7}"/>
            </a:ext>
          </a:extLst>
        </xdr:cNvPr>
        <xdr:cNvSpPr/>
      </xdr:nvSpPr>
      <xdr:spPr>
        <a:xfrm>
          <a:off x="14223546" y="61722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39</xdr:row>
      <xdr:rowOff>76200</xdr:rowOff>
    </xdr:from>
    <xdr:to>
      <xdr:col>39</xdr:col>
      <xdr:colOff>115660</xdr:colOff>
      <xdr:row>39</xdr:row>
      <xdr:rowOff>76200</xdr:rowOff>
    </xdr:to>
    <xdr:cxnSp macro="">
      <xdr:nvCxnSpPr>
        <xdr:cNvPr id="32036" name="직선 화살표 연결선 32035">
          <a:extLst>
            <a:ext uri="{FF2B5EF4-FFF2-40B4-BE49-F238E27FC236}">
              <a16:creationId xmlns:a16="http://schemas.microsoft.com/office/drawing/2014/main" id="{1FB1B4AC-26E2-55B3-3B4E-C9A9F5D8C501}"/>
            </a:ext>
          </a:extLst>
        </xdr:cNvPr>
        <xdr:cNvCxnSpPr/>
      </xdr:nvCxnSpPr>
      <xdr:spPr>
        <a:xfrm>
          <a:off x="14223546" y="6229350"/>
          <a:ext cx="74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38</xdr:row>
      <xdr:rowOff>19050</xdr:rowOff>
    </xdr:from>
    <xdr:to>
      <xdr:col>40</xdr:col>
      <xdr:colOff>123734</xdr:colOff>
      <xdr:row>38</xdr:row>
      <xdr:rowOff>133350</xdr:rowOff>
    </xdr:to>
    <xdr:sp macro="" textlink="">
      <xdr:nvSpPr>
        <xdr:cNvPr id="32037" name="35">
          <a:extLst>
            <a:ext uri="{FF2B5EF4-FFF2-40B4-BE49-F238E27FC236}">
              <a16:creationId xmlns:a16="http://schemas.microsoft.com/office/drawing/2014/main" id="{6D6CE613-56B2-8A96-2BAE-196EE170E4AB}"/>
            </a:ext>
          </a:extLst>
        </xdr:cNvPr>
        <xdr:cNvSpPr/>
      </xdr:nvSpPr>
      <xdr:spPr>
        <a:xfrm>
          <a:off x="14223546" y="60198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38</xdr:row>
      <xdr:rowOff>76200</xdr:rowOff>
    </xdr:from>
    <xdr:to>
      <xdr:col>39</xdr:col>
      <xdr:colOff>115660</xdr:colOff>
      <xdr:row>38</xdr:row>
      <xdr:rowOff>76200</xdr:rowOff>
    </xdr:to>
    <xdr:cxnSp macro="">
      <xdr:nvCxnSpPr>
        <xdr:cNvPr id="32038" name="직선 화살표 연결선 32037">
          <a:extLst>
            <a:ext uri="{FF2B5EF4-FFF2-40B4-BE49-F238E27FC236}">
              <a16:creationId xmlns:a16="http://schemas.microsoft.com/office/drawing/2014/main" id="{9BC1947C-CE13-2274-190C-2513FB2BD752}"/>
            </a:ext>
          </a:extLst>
        </xdr:cNvPr>
        <xdr:cNvCxnSpPr/>
      </xdr:nvCxnSpPr>
      <xdr:spPr>
        <a:xfrm>
          <a:off x="14223546" y="6076950"/>
          <a:ext cx="74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37</xdr:row>
      <xdr:rowOff>19050</xdr:rowOff>
    </xdr:from>
    <xdr:to>
      <xdr:col>40</xdr:col>
      <xdr:colOff>123734</xdr:colOff>
      <xdr:row>37</xdr:row>
      <xdr:rowOff>133350</xdr:rowOff>
    </xdr:to>
    <xdr:sp macro="" textlink="">
      <xdr:nvSpPr>
        <xdr:cNvPr id="32039" name="34">
          <a:extLst>
            <a:ext uri="{FF2B5EF4-FFF2-40B4-BE49-F238E27FC236}">
              <a16:creationId xmlns:a16="http://schemas.microsoft.com/office/drawing/2014/main" id="{122E3484-4FA9-4B0B-1A7F-A3C29CD53E66}"/>
            </a:ext>
          </a:extLst>
        </xdr:cNvPr>
        <xdr:cNvSpPr/>
      </xdr:nvSpPr>
      <xdr:spPr>
        <a:xfrm>
          <a:off x="14223546" y="58674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37</xdr:row>
      <xdr:rowOff>76200</xdr:rowOff>
    </xdr:from>
    <xdr:to>
      <xdr:col>39</xdr:col>
      <xdr:colOff>115660</xdr:colOff>
      <xdr:row>37</xdr:row>
      <xdr:rowOff>76200</xdr:rowOff>
    </xdr:to>
    <xdr:cxnSp macro="">
      <xdr:nvCxnSpPr>
        <xdr:cNvPr id="32040" name="직선 화살표 연결선 32039">
          <a:extLst>
            <a:ext uri="{FF2B5EF4-FFF2-40B4-BE49-F238E27FC236}">
              <a16:creationId xmlns:a16="http://schemas.microsoft.com/office/drawing/2014/main" id="{136C46A3-CE93-562C-BA15-2CAB7A7036FE}"/>
            </a:ext>
          </a:extLst>
        </xdr:cNvPr>
        <xdr:cNvCxnSpPr/>
      </xdr:nvCxnSpPr>
      <xdr:spPr>
        <a:xfrm>
          <a:off x="14223546" y="5924550"/>
          <a:ext cx="74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36</xdr:row>
      <xdr:rowOff>19050</xdr:rowOff>
    </xdr:from>
    <xdr:to>
      <xdr:col>40</xdr:col>
      <xdr:colOff>123734</xdr:colOff>
      <xdr:row>36</xdr:row>
      <xdr:rowOff>133350</xdr:rowOff>
    </xdr:to>
    <xdr:sp macro="" textlink="">
      <xdr:nvSpPr>
        <xdr:cNvPr id="32041" name="33">
          <a:extLst>
            <a:ext uri="{FF2B5EF4-FFF2-40B4-BE49-F238E27FC236}">
              <a16:creationId xmlns:a16="http://schemas.microsoft.com/office/drawing/2014/main" id="{A32EF871-EC48-6CFD-937C-44BDB4588048}"/>
            </a:ext>
          </a:extLst>
        </xdr:cNvPr>
        <xdr:cNvSpPr/>
      </xdr:nvSpPr>
      <xdr:spPr>
        <a:xfrm>
          <a:off x="14223546" y="57150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36</xdr:row>
      <xdr:rowOff>76200</xdr:rowOff>
    </xdr:from>
    <xdr:to>
      <xdr:col>39</xdr:col>
      <xdr:colOff>115660</xdr:colOff>
      <xdr:row>36</xdr:row>
      <xdr:rowOff>76200</xdr:rowOff>
    </xdr:to>
    <xdr:cxnSp macro="">
      <xdr:nvCxnSpPr>
        <xdr:cNvPr id="32042" name="직선 화살표 연결선 32041">
          <a:extLst>
            <a:ext uri="{FF2B5EF4-FFF2-40B4-BE49-F238E27FC236}">
              <a16:creationId xmlns:a16="http://schemas.microsoft.com/office/drawing/2014/main" id="{9F4EEC5B-853C-4D8A-F724-73E846290BBA}"/>
            </a:ext>
          </a:extLst>
        </xdr:cNvPr>
        <xdr:cNvCxnSpPr/>
      </xdr:nvCxnSpPr>
      <xdr:spPr>
        <a:xfrm>
          <a:off x="14223546" y="5772150"/>
          <a:ext cx="74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35</xdr:row>
      <xdr:rowOff>19050</xdr:rowOff>
    </xdr:from>
    <xdr:to>
      <xdr:col>40</xdr:col>
      <xdr:colOff>123734</xdr:colOff>
      <xdr:row>35</xdr:row>
      <xdr:rowOff>133350</xdr:rowOff>
    </xdr:to>
    <xdr:sp macro="" textlink="">
      <xdr:nvSpPr>
        <xdr:cNvPr id="32043" name="32">
          <a:extLst>
            <a:ext uri="{FF2B5EF4-FFF2-40B4-BE49-F238E27FC236}">
              <a16:creationId xmlns:a16="http://schemas.microsoft.com/office/drawing/2014/main" id="{69A5B2EB-C93A-508B-9F08-BB768E80E6E4}"/>
            </a:ext>
          </a:extLst>
        </xdr:cNvPr>
        <xdr:cNvSpPr/>
      </xdr:nvSpPr>
      <xdr:spPr>
        <a:xfrm>
          <a:off x="14223546" y="5562600"/>
          <a:ext cx="22578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35</xdr:row>
      <xdr:rowOff>76200</xdr:rowOff>
    </xdr:from>
    <xdr:to>
      <xdr:col>39</xdr:col>
      <xdr:colOff>115660</xdr:colOff>
      <xdr:row>35</xdr:row>
      <xdr:rowOff>76200</xdr:rowOff>
    </xdr:to>
    <xdr:cxnSp macro="">
      <xdr:nvCxnSpPr>
        <xdr:cNvPr id="32044" name="직선 화살표 연결선 32043">
          <a:extLst>
            <a:ext uri="{FF2B5EF4-FFF2-40B4-BE49-F238E27FC236}">
              <a16:creationId xmlns:a16="http://schemas.microsoft.com/office/drawing/2014/main" id="{C1179C86-4538-8F2E-97EF-E2C8A9B2CBE8}"/>
            </a:ext>
          </a:extLst>
        </xdr:cNvPr>
        <xdr:cNvCxnSpPr/>
      </xdr:nvCxnSpPr>
      <xdr:spPr>
        <a:xfrm>
          <a:off x="14223546" y="5619750"/>
          <a:ext cx="74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34</xdr:row>
      <xdr:rowOff>19050</xdr:rowOff>
    </xdr:from>
    <xdr:to>
      <xdr:col>42</xdr:col>
      <xdr:colOff>123734</xdr:colOff>
      <xdr:row>34</xdr:row>
      <xdr:rowOff>133350</xdr:rowOff>
    </xdr:to>
    <xdr:sp macro="" textlink="">
      <xdr:nvSpPr>
        <xdr:cNvPr id="32045" name="31">
          <a:extLst>
            <a:ext uri="{FF2B5EF4-FFF2-40B4-BE49-F238E27FC236}">
              <a16:creationId xmlns:a16="http://schemas.microsoft.com/office/drawing/2014/main" id="{A2539F1D-6BEF-4BC0-E0B8-ACB80B990A22}"/>
            </a:ext>
          </a:extLst>
        </xdr:cNvPr>
        <xdr:cNvSpPr/>
      </xdr:nvSpPr>
      <xdr:spPr>
        <a:xfrm>
          <a:off x="14223546" y="5410200"/>
          <a:ext cx="5115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34</xdr:row>
      <xdr:rowOff>76200</xdr:rowOff>
    </xdr:from>
    <xdr:to>
      <xdr:col>40</xdr:col>
      <xdr:colOff>31059</xdr:colOff>
      <xdr:row>34</xdr:row>
      <xdr:rowOff>76200</xdr:rowOff>
    </xdr:to>
    <xdr:cxnSp macro="">
      <xdr:nvCxnSpPr>
        <xdr:cNvPr id="32046" name="직선 화살표 연결선 32045">
          <a:extLst>
            <a:ext uri="{FF2B5EF4-FFF2-40B4-BE49-F238E27FC236}">
              <a16:creationId xmlns:a16="http://schemas.microsoft.com/office/drawing/2014/main" id="{7CE5DC82-ED65-701A-B7E1-85A82630C450}"/>
            </a:ext>
          </a:extLst>
        </xdr:cNvPr>
        <xdr:cNvCxnSpPr/>
      </xdr:nvCxnSpPr>
      <xdr:spPr>
        <a:xfrm>
          <a:off x="14223546" y="5467350"/>
          <a:ext cx="1331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33</xdr:row>
      <xdr:rowOff>19050</xdr:rowOff>
    </xdr:from>
    <xdr:to>
      <xdr:col>56</xdr:col>
      <xdr:colOff>123734</xdr:colOff>
      <xdr:row>33</xdr:row>
      <xdr:rowOff>133350</xdr:rowOff>
    </xdr:to>
    <xdr:sp macro="" textlink="">
      <xdr:nvSpPr>
        <xdr:cNvPr id="32047" name="30">
          <a:extLst>
            <a:ext uri="{FF2B5EF4-FFF2-40B4-BE49-F238E27FC236}">
              <a16:creationId xmlns:a16="http://schemas.microsoft.com/office/drawing/2014/main" id="{DE2BC5C4-2147-6CC6-2316-2C7B202C4316}"/>
            </a:ext>
          </a:extLst>
        </xdr:cNvPr>
        <xdr:cNvSpPr/>
      </xdr:nvSpPr>
      <xdr:spPr>
        <a:xfrm>
          <a:off x="13345886" y="5257800"/>
          <a:ext cx="338944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33</xdr:row>
      <xdr:rowOff>76200</xdr:rowOff>
    </xdr:from>
    <xdr:to>
      <xdr:col>35</xdr:col>
      <xdr:colOff>8900</xdr:colOff>
      <xdr:row>33</xdr:row>
      <xdr:rowOff>76200</xdr:rowOff>
    </xdr:to>
    <xdr:cxnSp macro="">
      <xdr:nvCxnSpPr>
        <xdr:cNvPr id="32048" name="직선 화살표 연결선 32047">
          <a:extLst>
            <a:ext uri="{FF2B5EF4-FFF2-40B4-BE49-F238E27FC236}">
              <a16:creationId xmlns:a16="http://schemas.microsoft.com/office/drawing/2014/main" id="{F8EAD7DC-9F99-F11C-A98A-81F2908244F0}"/>
            </a:ext>
          </a:extLst>
        </xdr:cNvPr>
        <xdr:cNvCxnSpPr/>
      </xdr:nvCxnSpPr>
      <xdr:spPr>
        <a:xfrm>
          <a:off x="13345886" y="5314950"/>
          <a:ext cx="2742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32</xdr:row>
      <xdr:rowOff>19050</xdr:rowOff>
    </xdr:from>
    <xdr:to>
      <xdr:col>42</xdr:col>
      <xdr:colOff>123734</xdr:colOff>
      <xdr:row>32</xdr:row>
      <xdr:rowOff>133350</xdr:rowOff>
    </xdr:to>
    <xdr:sp macro="" textlink="">
      <xdr:nvSpPr>
        <xdr:cNvPr id="32049" name="29">
          <a:extLst>
            <a:ext uri="{FF2B5EF4-FFF2-40B4-BE49-F238E27FC236}">
              <a16:creationId xmlns:a16="http://schemas.microsoft.com/office/drawing/2014/main" id="{91B16D49-23BC-F607-50BA-D7D846B0485D}"/>
            </a:ext>
          </a:extLst>
        </xdr:cNvPr>
        <xdr:cNvSpPr/>
      </xdr:nvSpPr>
      <xdr:spPr>
        <a:xfrm>
          <a:off x="14631761" y="510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32</xdr:row>
      <xdr:rowOff>76200</xdr:rowOff>
    </xdr:from>
    <xdr:to>
      <xdr:col>42</xdr:col>
      <xdr:colOff>20411</xdr:colOff>
      <xdr:row>32</xdr:row>
      <xdr:rowOff>76200</xdr:rowOff>
    </xdr:to>
    <xdr:cxnSp macro="">
      <xdr:nvCxnSpPr>
        <xdr:cNvPr id="32050" name="직선 화살표 연결선 32049">
          <a:extLst>
            <a:ext uri="{FF2B5EF4-FFF2-40B4-BE49-F238E27FC236}">
              <a16:creationId xmlns:a16="http://schemas.microsoft.com/office/drawing/2014/main" id="{E4B7E180-C4CC-8A37-7B93-F548EACFAA7D}"/>
            </a:ext>
          </a:extLst>
        </xdr:cNvPr>
        <xdr:cNvCxnSpPr/>
      </xdr:nvCxnSpPr>
      <xdr:spPr>
        <a:xfrm>
          <a:off x="14631761"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31</xdr:row>
      <xdr:rowOff>19050</xdr:rowOff>
    </xdr:from>
    <xdr:to>
      <xdr:col>41</xdr:col>
      <xdr:colOff>123734</xdr:colOff>
      <xdr:row>31</xdr:row>
      <xdr:rowOff>133350</xdr:rowOff>
    </xdr:to>
    <xdr:sp macro="" textlink="">
      <xdr:nvSpPr>
        <xdr:cNvPr id="32051" name="28">
          <a:extLst>
            <a:ext uri="{FF2B5EF4-FFF2-40B4-BE49-F238E27FC236}">
              <a16:creationId xmlns:a16="http://schemas.microsoft.com/office/drawing/2014/main" id="{15FBDED7-511E-B4C2-2CC6-7BDACF6247A2}"/>
            </a:ext>
          </a:extLst>
        </xdr:cNvPr>
        <xdr:cNvSpPr/>
      </xdr:nvSpPr>
      <xdr:spPr>
        <a:xfrm>
          <a:off x="14488886" y="495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31</xdr:row>
      <xdr:rowOff>76200</xdr:rowOff>
    </xdr:from>
    <xdr:to>
      <xdr:col>41</xdr:col>
      <xdr:colOff>20411</xdr:colOff>
      <xdr:row>31</xdr:row>
      <xdr:rowOff>76200</xdr:rowOff>
    </xdr:to>
    <xdr:cxnSp macro="">
      <xdr:nvCxnSpPr>
        <xdr:cNvPr id="32052" name="직선 화살표 연결선 32051">
          <a:extLst>
            <a:ext uri="{FF2B5EF4-FFF2-40B4-BE49-F238E27FC236}">
              <a16:creationId xmlns:a16="http://schemas.microsoft.com/office/drawing/2014/main" id="{0F5575CB-FAF3-27F9-FD83-ABF3E083C4DB}"/>
            </a:ext>
          </a:extLst>
        </xdr:cNvPr>
        <xdr:cNvCxnSpPr/>
      </xdr:nvCxnSpPr>
      <xdr:spPr>
        <a:xfrm>
          <a:off x="14488886"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30</xdr:row>
      <xdr:rowOff>19050</xdr:rowOff>
    </xdr:from>
    <xdr:to>
      <xdr:col>42</xdr:col>
      <xdr:colOff>123734</xdr:colOff>
      <xdr:row>30</xdr:row>
      <xdr:rowOff>133350</xdr:rowOff>
    </xdr:to>
    <xdr:sp macro="" textlink="">
      <xdr:nvSpPr>
        <xdr:cNvPr id="32053" name="27">
          <a:extLst>
            <a:ext uri="{FF2B5EF4-FFF2-40B4-BE49-F238E27FC236}">
              <a16:creationId xmlns:a16="http://schemas.microsoft.com/office/drawing/2014/main" id="{F9F293CE-7026-6536-E4F0-87AF72C88244}"/>
            </a:ext>
          </a:extLst>
        </xdr:cNvPr>
        <xdr:cNvSpPr/>
      </xdr:nvSpPr>
      <xdr:spPr>
        <a:xfrm>
          <a:off x="14488886" y="48006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30</xdr:row>
      <xdr:rowOff>76200</xdr:rowOff>
    </xdr:from>
    <xdr:to>
      <xdr:col>41</xdr:col>
      <xdr:colOff>20411</xdr:colOff>
      <xdr:row>30</xdr:row>
      <xdr:rowOff>76200</xdr:rowOff>
    </xdr:to>
    <xdr:cxnSp macro="">
      <xdr:nvCxnSpPr>
        <xdr:cNvPr id="32054" name="직선 화살표 연결선 32053">
          <a:extLst>
            <a:ext uri="{FF2B5EF4-FFF2-40B4-BE49-F238E27FC236}">
              <a16:creationId xmlns:a16="http://schemas.microsoft.com/office/drawing/2014/main" id="{518EF9A1-858C-8472-B7F0-5447E7F2DEBF}"/>
            </a:ext>
          </a:extLst>
        </xdr:cNvPr>
        <xdr:cNvCxnSpPr/>
      </xdr:nvCxnSpPr>
      <xdr:spPr>
        <a:xfrm>
          <a:off x="14488886"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20411</xdr:colOff>
      <xdr:row>29</xdr:row>
      <xdr:rowOff>19050</xdr:rowOff>
    </xdr:from>
    <xdr:to>
      <xdr:col>38</xdr:col>
      <xdr:colOff>123734</xdr:colOff>
      <xdr:row>29</xdr:row>
      <xdr:rowOff>133350</xdr:rowOff>
    </xdr:to>
    <xdr:sp macro="" textlink="">
      <xdr:nvSpPr>
        <xdr:cNvPr id="32055" name="26">
          <a:extLst>
            <a:ext uri="{FF2B5EF4-FFF2-40B4-BE49-F238E27FC236}">
              <a16:creationId xmlns:a16="http://schemas.microsoft.com/office/drawing/2014/main" id="{0EEA8172-4C68-AB13-10DF-FA8B44B5DAF3}"/>
            </a:ext>
          </a:extLst>
        </xdr:cNvPr>
        <xdr:cNvSpPr/>
      </xdr:nvSpPr>
      <xdr:spPr>
        <a:xfrm>
          <a:off x="13488761" y="4648200"/>
          <a:ext cx="6748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20411</xdr:colOff>
      <xdr:row>29</xdr:row>
      <xdr:rowOff>76200</xdr:rowOff>
    </xdr:from>
    <xdr:to>
      <xdr:col>38</xdr:col>
      <xdr:colOff>122464</xdr:colOff>
      <xdr:row>29</xdr:row>
      <xdr:rowOff>76200</xdr:rowOff>
    </xdr:to>
    <xdr:cxnSp macro="">
      <xdr:nvCxnSpPr>
        <xdr:cNvPr id="32056" name="직선 화살표 연결선 32055">
          <a:extLst>
            <a:ext uri="{FF2B5EF4-FFF2-40B4-BE49-F238E27FC236}">
              <a16:creationId xmlns:a16="http://schemas.microsoft.com/office/drawing/2014/main" id="{B99D6D16-3738-A0E7-C695-6B45A7FB461A}"/>
            </a:ext>
          </a:extLst>
        </xdr:cNvPr>
        <xdr:cNvCxnSpPr/>
      </xdr:nvCxnSpPr>
      <xdr:spPr>
        <a:xfrm>
          <a:off x="13488761" y="47053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20411</xdr:colOff>
      <xdr:row>28</xdr:row>
      <xdr:rowOff>19050</xdr:rowOff>
    </xdr:from>
    <xdr:to>
      <xdr:col>42</xdr:col>
      <xdr:colOff>123734</xdr:colOff>
      <xdr:row>28</xdr:row>
      <xdr:rowOff>133350</xdr:rowOff>
    </xdr:to>
    <xdr:sp macro="" textlink="">
      <xdr:nvSpPr>
        <xdr:cNvPr id="32057" name="25">
          <a:extLst>
            <a:ext uri="{FF2B5EF4-FFF2-40B4-BE49-F238E27FC236}">
              <a16:creationId xmlns:a16="http://schemas.microsoft.com/office/drawing/2014/main" id="{BFD96615-FEE0-EECE-5993-04301459F833}"/>
            </a:ext>
          </a:extLst>
        </xdr:cNvPr>
        <xdr:cNvSpPr/>
      </xdr:nvSpPr>
      <xdr:spPr>
        <a:xfrm>
          <a:off x="13488761" y="4495800"/>
          <a:ext cx="1246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20411</xdr:colOff>
      <xdr:row>28</xdr:row>
      <xdr:rowOff>76200</xdr:rowOff>
    </xdr:from>
    <xdr:to>
      <xdr:col>40</xdr:col>
      <xdr:colOff>42022</xdr:colOff>
      <xdr:row>28</xdr:row>
      <xdr:rowOff>76200</xdr:rowOff>
    </xdr:to>
    <xdr:cxnSp macro="">
      <xdr:nvCxnSpPr>
        <xdr:cNvPr id="32058" name="직선 화살표 연결선 32057">
          <a:extLst>
            <a:ext uri="{FF2B5EF4-FFF2-40B4-BE49-F238E27FC236}">
              <a16:creationId xmlns:a16="http://schemas.microsoft.com/office/drawing/2014/main" id="{191FB8E1-B48B-19EF-C5D6-67F57AFAA63F}"/>
            </a:ext>
          </a:extLst>
        </xdr:cNvPr>
        <xdr:cNvCxnSpPr/>
      </xdr:nvCxnSpPr>
      <xdr:spPr>
        <a:xfrm>
          <a:off x="13488761" y="4552950"/>
          <a:ext cx="8788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27</xdr:row>
      <xdr:rowOff>19050</xdr:rowOff>
    </xdr:from>
    <xdr:to>
      <xdr:col>62</xdr:col>
      <xdr:colOff>123734</xdr:colOff>
      <xdr:row>27</xdr:row>
      <xdr:rowOff>133350</xdr:rowOff>
    </xdr:to>
    <xdr:sp macro="" textlink="">
      <xdr:nvSpPr>
        <xdr:cNvPr id="32059" name="24">
          <a:extLst>
            <a:ext uri="{FF2B5EF4-FFF2-40B4-BE49-F238E27FC236}">
              <a16:creationId xmlns:a16="http://schemas.microsoft.com/office/drawing/2014/main" id="{56A9628D-63DA-AF6C-B74D-2085958D239D}"/>
            </a:ext>
          </a:extLst>
        </xdr:cNvPr>
        <xdr:cNvSpPr/>
      </xdr:nvSpPr>
      <xdr:spPr>
        <a:xfrm>
          <a:off x="13345886" y="4343400"/>
          <a:ext cx="42466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27</xdr:row>
      <xdr:rowOff>76200</xdr:rowOff>
    </xdr:from>
    <xdr:to>
      <xdr:col>34</xdr:col>
      <xdr:colOff>102921</xdr:colOff>
      <xdr:row>27</xdr:row>
      <xdr:rowOff>76200</xdr:rowOff>
    </xdr:to>
    <xdr:cxnSp macro="">
      <xdr:nvCxnSpPr>
        <xdr:cNvPr id="32060" name="직선 화살표 연결선 32059">
          <a:extLst>
            <a:ext uri="{FF2B5EF4-FFF2-40B4-BE49-F238E27FC236}">
              <a16:creationId xmlns:a16="http://schemas.microsoft.com/office/drawing/2014/main" id="{648594B5-6B4F-DCC4-1F24-20523894DD6B}"/>
            </a:ext>
          </a:extLst>
        </xdr:cNvPr>
        <xdr:cNvCxnSpPr/>
      </xdr:nvCxnSpPr>
      <xdr:spPr>
        <a:xfrm>
          <a:off x="13345886" y="4400550"/>
          <a:ext cx="2253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20411</xdr:colOff>
      <xdr:row>25</xdr:row>
      <xdr:rowOff>19050</xdr:rowOff>
    </xdr:from>
    <xdr:to>
      <xdr:col>83</xdr:col>
      <xdr:colOff>4536</xdr:colOff>
      <xdr:row>25</xdr:row>
      <xdr:rowOff>146050</xdr:rowOff>
    </xdr:to>
    <xdr:sp macro="" textlink="">
      <xdr:nvSpPr>
        <xdr:cNvPr id="32061" name="22">
          <a:extLst>
            <a:ext uri="{FF2B5EF4-FFF2-40B4-BE49-F238E27FC236}">
              <a16:creationId xmlns:a16="http://schemas.microsoft.com/office/drawing/2014/main" id="{DBF95A48-E468-D61E-7C16-568C17384C6E}"/>
            </a:ext>
          </a:extLst>
        </xdr:cNvPr>
        <xdr:cNvSpPr/>
      </xdr:nvSpPr>
      <xdr:spPr>
        <a:xfrm>
          <a:off x="20346761" y="4038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24</xdr:row>
      <xdr:rowOff>19050</xdr:rowOff>
    </xdr:from>
    <xdr:to>
      <xdr:col>81</xdr:col>
      <xdr:colOff>123734</xdr:colOff>
      <xdr:row>24</xdr:row>
      <xdr:rowOff>133350</xdr:rowOff>
    </xdr:to>
    <xdr:sp macro="" textlink="">
      <xdr:nvSpPr>
        <xdr:cNvPr id="32062" name="21">
          <a:extLst>
            <a:ext uri="{FF2B5EF4-FFF2-40B4-BE49-F238E27FC236}">
              <a16:creationId xmlns:a16="http://schemas.microsoft.com/office/drawing/2014/main" id="{E728727F-A8B1-4C14-C3FE-6A845A82F4C5}"/>
            </a:ext>
          </a:extLst>
        </xdr:cNvPr>
        <xdr:cNvSpPr/>
      </xdr:nvSpPr>
      <xdr:spPr>
        <a:xfrm>
          <a:off x="20203886" y="3886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24</xdr:row>
      <xdr:rowOff>76200</xdr:rowOff>
    </xdr:from>
    <xdr:to>
      <xdr:col>81</xdr:col>
      <xdr:colOff>20411</xdr:colOff>
      <xdr:row>24</xdr:row>
      <xdr:rowOff>76200</xdr:rowOff>
    </xdr:to>
    <xdr:cxnSp macro="">
      <xdr:nvCxnSpPr>
        <xdr:cNvPr id="32063" name="직선 화살표 연결선 32062">
          <a:extLst>
            <a:ext uri="{FF2B5EF4-FFF2-40B4-BE49-F238E27FC236}">
              <a16:creationId xmlns:a16="http://schemas.microsoft.com/office/drawing/2014/main" id="{E1246BAC-9205-BC51-626C-E1BCF88AE7ED}"/>
            </a:ext>
          </a:extLst>
        </xdr:cNvPr>
        <xdr:cNvCxnSpPr/>
      </xdr:nvCxnSpPr>
      <xdr:spPr>
        <a:xfrm>
          <a:off x="20203886"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20411</xdr:colOff>
      <xdr:row>23</xdr:row>
      <xdr:rowOff>19050</xdr:rowOff>
    </xdr:from>
    <xdr:to>
      <xdr:col>80</xdr:col>
      <xdr:colOff>123734</xdr:colOff>
      <xdr:row>23</xdr:row>
      <xdr:rowOff>133350</xdr:rowOff>
    </xdr:to>
    <xdr:sp macro="" textlink="">
      <xdr:nvSpPr>
        <xdr:cNvPr id="32064" name="20">
          <a:extLst>
            <a:ext uri="{FF2B5EF4-FFF2-40B4-BE49-F238E27FC236}">
              <a16:creationId xmlns:a16="http://schemas.microsoft.com/office/drawing/2014/main" id="{B56947A2-C07D-9EAC-2C7E-CF1775B5C072}"/>
            </a:ext>
          </a:extLst>
        </xdr:cNvPr>
        <xdr:cNvSpPr/>
      </xdr:nvSpPr>
      <xdr:spPr>
        <a:xfrm>
          <a:off x="20061011" y="3733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20411</xdr:colOff>
      <xdr:row>23</xdr:row>
      <xdr:rowOff>76200</xdr:rowOff>
    </xdr:from>
    <xdr:to>
      <xdr:col>80</xdr:col>
      <xdr:colOff>20411</xdr:colOff>
      <xdr:row>23</xdr:row>
      <xdr:rowOff>76200</xdr:rowOff>
    </xdr:to>
    <xdr:cxnSp macro="">
      <xdr:nvCxnSpPr>
        <xdr:cNvPr id="32065" name="직선 화살표 연결선 32064">
          <a:extLst>
            <a:ext uri="{FF2B5EF4-FFF2-40B4-BE49-F238E27FC236}">
              <a16:creationId xmlns:a16="http://schemas.microsoft.com/office/drawing/2014/main" id="{9A811D7B-DA79-9D81-B3B7-CFE827083B67}"/>
            </a:ext>
          </a:extLst>
        </xdr:cNvPr>
        <xdr:cNvCxnSpPr/>
      </xdr:nvCxnSpPr>
      <xdr:spPr>
        <a:xfrm>
          <a:off x="20061011"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20411</xdr:colOff>
      <xdr:row>22</xdr:row>
      <xdr:rowOff>19050</xdr:rowOff>
    </xdr:from>
    <xdr:to>
      <xdr:col>83</xdr:col>
      <xdr:colOff>62502</xdr:colOff>
      <xdr:row>22</xdr:row>
      <xdr:rowOff>133350</xdr:rowOff>
    </xdr:to>
    <xdr:sp macro="" textlink="">
      <xdr:nvSpPr>
        <xdr:cNvPr id="32066" name="19">
          <a:extLst>
            <a:ext uri="{FF2B5EF4-FFF2-40B4-BE49-F238E27FC236}">
              <a16:creationId xmlns:a16="http://schemas.microsoft.com/office/drawing/2014/main" id="{D15F0796-F652-0155-C0F7-E3547411F00B}"/>
            </a:ext>
          </a:extLst>
        </xdr:cNvPr>
        <xdr:cNvSpPr/>
      </xdr:nvSpPr>
      <xdr:spPr>
        <a:xfrm>
          <a:off x="20061011" y="3581400"/>
          <a:ext cx="4707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20411</xdr:colOff>
      <xdr:row>22</xdr:row>
      <xdr:rowOff>76200</xdr:rowOff>
    </xdr:from>
    <xdr:to>
      <xdr:col>80</xdr:col>
      <xdr:colOff>20411</xdr:colOff>
      <xdr:row>22</xdr:row>
      <xdr:rowOff>76200</xdr:rowOff>
    </xdr:to>
    <xdr:cxnSp macro="">
      <xdr:nvCxnSpPr>
        <xdr:cNvPr id="32067" name="직선 화살표 연결선 32066">
          <a:extLst>
            <a:ext uri="{FF2B5EF4-FFF2-40B4-BE49-F238E27FC236}">
              <a16:creationId xmlns:a16="http://schemas.microsoft.com/office/drawing/2014/main" id="{CE9D4152-8156-2183-2326-6659CFBB7694}"/>
            </a:ext>
          </a:extLst>
        </xdr:cNvPr>
        <xdr:cNvCxnSpPr/>
      </xdr:nvCxnSpPr>
      <xdr:spPr>
        <a:xfrm>
          <a:off x="20061011"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81643</xdr:colOff>
      <xdr:row>21</xdr:row>
      <xdr:rowOff>19050</xdr:rowOff>
    </xdr:from>
    <xdr:to>
      <xdr:col>82</xdr:col>
      <xdr:colOff>103324</xdr:colOff>
      <xdr:row>21</xdr:row>
      <xdr:rowOff>133350</xdr:rowOff>
    </xdr:to>
    <xdr:sp macro="" textlink="">
      <xdr:nvSpPr>
        <xdr:cNvPr id="32068" name="18">
          <a:extLst>
            <a:ext uri="{FF2B5EF4-FFF2-40B4-BE49-F238E27FC236}">
              <a16:creationId xmlns:a16="http://schemas.microsoft.com/office/drawing/2014/main" id="{34B52D8F-0428-57C3-6B37-82BB9CF7F689}"/>
            </a:ext>
          </a:extLst>
        </xdr:cNvPr>
        <xdr:cNvSpPr/>
      </xdr:nvSpPr>
      <xdr:spPr>
        <a:xfrm>
          <a:off x="20407993" y="3429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81643</xdr:colOff>
      <xdr:row>21</xdr:row>
      <xdr:rowOff>76200</xdr:rowOff>
    </xdr:from>
    <xdr:to>
      <xdr:col>82</xdr:col>
      <xdr:colOff>81643</xdr:colOff>
      <xdr:row>21</xdr:row>
      <xdr:rowOff>76200</xdr:rowOff>
    </xdr:to>
    <xdr:cxnSp macro="">
      <xdr:nvCxnSpPr>
        <xdr:cNvPr id="32069" name="직선 화살표 연결선 32068">
          <a:extLst>
            <a:ext uri="{FF2B5EF4-FFF2-40B4-BE49-F238E27FC236}">
              <a16:creationId xmlns:a16="http://schemas.microsoft.com/office/drawing/2014/main" id="{A67A2C38-9CFD-C2E8-4799-944444FF4D26}"/>
            </a:ext>
          </a:extLst>
        </xdr:cNvPr>
        <xdr:cNvCxnSpPr/>
      </xdr:nvCxnSpPr>
      <xdr:spPr>
        <a:xfrm>
          <a:off x="20407993"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61232</xdr:colOff>
      <xdr:row>20</xdr:row>
      <xdr:rowOff>19050</xdr:rowOff>
    </xdr:from>
    <xdr:to>
      <xdr:col>80</xdr:col>
      <xdr:colOff>82913</xdr:colOff>
      <xdr:row>20</xdr:row>
      <xdr:rowOff>133350</xdr:rowOff>
    </xdr:to>
    <xdr:sp macro="" textlink="">
      <xdr:nvSpPr>
        <xdr:cNvPr id="32070" name="17">
          <a:extLst>
            <a:ext uri="{FF2B5EF4-FFF2-40B4-BE49-F238E27FC236}">
              <a16:creationId xmlns:a16="http://schemas.microsoft.com/office/drawing/2014/main" id="{3B0750E8-4CF3-1E7B-B9BD-D402F2FC0AD7}"/>
            </a:ext>
          </a:extLst>
        </xdr:cNvPr>
        <xdr:cNvSpPr/>
      </xdr:nvSpPr>
      <xdr:spPr>
        <a:xfrm>
          <a:off x="20101832" y="3276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61232</xdr:colOff>
      <xdr:row>20</xdr:row>
      <xdr:rowOff>76200</xdr:rowOff>
    </xdr:from>
    <xdr:to>
      <xdr:col>80</xdr:col>
      <xdr:colOff>61232</xdr:colOff>
      <xdr:row>20</xdr:row>
      <xdr:rowOff>76200</xdr:rowOff>
    </xdr:to>
    <xdr:cxnSp macro="">
      <xdr:nvCxnSpPr>
        <xdr:cNvPr id="32071" name="직선 화살표 연결선 32070">
          <a:extLst>
            <a:ext uri="{FF2B5EF4-FFF2-40B4-BE49-F238E27FC236}">
              <a16:creationId xmlns:a16="http://schemas.microsoft.com/office/drawing/2014/main" id="{73E05BD1-455D-14FE-E010-78B36BE596AB}"/>
            </a:ext>
          </a:extLst>
        </xdr:cNvPr>
        <xdr:cNvCxnSpPr/>
      </xdr:nvCxnSpPr>
      <xdr:spPr>
        <a:xfrm>
          <a:off x="20101832"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40821</xdr:colOff>
      <xdr:row>19</xdr:row>
      <xdr:rowOff>19050</xdr:rowOff>
    </xdr:from>
    <xdr:to>
      <xdr:col>76</xdr:col>
      <xdr:colOff>62502</xdr:colOff>
      <xdr:row>19</xdr:row>
      <xdr:rowOff>133350</xdr:rowOff>
    </xdr:to>
    <xdr:sp macro="" textlink="">
      <xdr:nvSpPr>
        <xdr:cNvPr id="32072" name="16">
          <a:extLst>
            <a:ext uri="{FF2B5EF4-FFF2-40B4-BE49-F238E27FC236}">
              <a16:creationId xmlns:a16="http://schemas.microsoft.com/office/drawing/2014/main" id="{901F1596-4B4B-1911-6C8E-E32C0389F268}"/>
            </a:ext>
          </a:extLst>
        </xdr:cNvPr>
        <xdr:cNvSpPr/>
      </xdr:nvSpPr>
      <xdr:spPr>
        <a:xfrm>
          <a:off x="19509921" y="31242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40821</xdr:colOff>
      <xdr:row>19</xdr:row>
      <xdr:rowOff>76200</xdr:rowOff>
    </xdr:from>
    <xdr:to>
      <xdr:col>76</xdr:col>
      <xdr:colOff>40821</xdr:colOff>
      <xdr:row>19</xdr:row>
      <xdr:rowOff>76200</xdr:rowOff>
    </xdr:to>
    <xdr:cxnSp macro="">
      <xdr:nvCxnSpPr>
        <xdr:cNvPr id="32073" name="직선 화살표 연결선 32072">
          <a:extLst>
            <a:ext uri="{FF2B5EF4-FFF2-40B4-BE49-F238E27FC236}">
              <a16:creationId xmlns:a16="http://schemas.microsoft.com/office/drawing/2014/main" id="{6947ABC7-4882-D07F-7198-22049E3A7C1F}"/>
            </a:ext>
          </a:extLst>
        </xdr:cNvPr>
        <xdr:cNvCxnSpPr/>
      </xdr:nvCxnSpPr>
      <xdr:spPr>
        <a:xfrm>
          <a:off x="19509921"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102054</xdr:colOff>
      <xdr:row>18</xdr:row>
      <xdr:rowOff>19050</xdr:rowOff>
    </xdr:from>
    <xdr:to>
      <xdr:col>75</xdr:col>
      <xdr:colOff>123734</xdr:colOff>
      <xdr:row>18</xdr:row>
      <xdr:rowOff>133350</xdr:rowOff>
    </xdr:to>
    <xdr:sp macro="" textlink="">
      <xdr:nvSpPr>
        <xdr:cNvPr id="32074" name="15">
          <a:extLst>
            <a:ext uri="{FF2B5EF4-FFF2-40B4-BE49-F238E27FC236}">
              <a16:creationId xmlns:a16="http://schemas.microsoft.com/office/drawing/2014/main" id="{F4787FC9-FA2C-B415-BBC5-B8411643F382}"/>
            </a:ext>
          </a:extLst>
        </xdr:cNvPr>
        <xdr:cNvSpPr/>
      </xdr:nvSpPr>
      <xdr:spPr>
        <a:xfrm>
          <a:off x="19428279" y="29718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102054</xdr:colOff>
      <xdr:row>18</xdr:row>
      <xdr:rowOff>76200</xdr:rowOff>
    </xdr:from>
    <xdr:to>
      <xdr:col>75</xdr:col>
      <xdr:colOff>102054</xdr:colOff>
      <xdr:row>18</xdr:row>
      <xdr:rowOff>76200</xdr:rowOff>
    </xdr:to>
    <xdr:cxnSp macro="">
      <xdr:nvCxnSpPr>
        <xdr:cNvPr id="32075" name="직선 화살표 연결선 32074">
          <a:extLst>
            <a:ext uri="{FF2B5EF4-FFF2-40B4-BE49-F238E27FC236}">
              <a16:creationId xmlns:a16="http://schemas.microsoft.com/office/drawing/2014/main" id="{96AF3D67-4056-85F8-CEDB-DD5BAB3ECA89}"/>
            </a:ext>
          </a:extLst>
        </xdr:cNvPr>
        <xdr:cNvCxnSpPr/>
      </xdr:nvCxnSpPr>
      <xdr:spPr>
        <a:xfrm>
          <a:off x="19428279"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61232</xdr:colOff>
      <xdr:row>17</xdr:row>
      <xdr:rowOff>19050</xdr:rowOff>
    </xdr:from>
    <xdr:to>
      <xdr:col>67</xdr:col>
      <xdr:colOff>82913</xdr:colOff>
      <xdr:row>17</xdr:row>
      <xdr:rowOff>133350</xdr:rowOff>
    </xdr:to>
    <xdr:sp macro="" textlink="">
      <xdr:nvSpPr>
        <xdr:cNvPr id="32076" name="14">
          <a:extLst>
            <a:ext uri="{FF2B5EF4-FFF2-40B4-BE49-F238E27FC236}">
              <a16:creationId xmlns:a16="http://schemas.microsoft.com/office/drawing/2014/main" id="{FD65A1C3-021D-A506-1151-98D94DE7D3D6}"/>
            </a:ext>
          </a:extLst>
        </xdr:cNvPr>
        <xdr:cNvSpPr/>
      </xdr:nvSpPr>
      <xdr:spPr>
        <a:xfrm>
          <a:off x="18244457" y="2819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61232</xdr:colOff>
      <xdr:row>17</xdr:row>
      <xdr:rowOff>76200</xdr:rowOff>
    </xdr:from>
    <xdr:to>
      <xdr:col>67</xdr:col>
      <xdr:colOff>61232</xdr:colOff>
      <xdr:row>17</xdr:row>
      <xdr:rowOff>76200</xdr:rowOff>
    </xdr:to>
    <xdr:cxnSp macro="">
      <xdr:nvCxnSpPr>
        <xdr:cNvPr id="32077" name="직선 화살표 연결선 32076">
          <a:extLst>
            <a:ext uri="{FF2B5EF4-FFF2-40B4-BE49-F238E27FC236}">
              <a16:creationId xmlns:a16="http://schemas.microsoft.com/office/drawing/2014/main" id="{867EEDE9-8336-AA60-17E3-3D1FA422F8D8}"/>
            </a:ext>
          </a:extLst>
        </xdr:cNvPr>
        <xdr:cNvCxnSpPr/>
      </xdr:nvCxnSpPr>
      <xdr:spPr>
        <a:xfrm>
          <a:off x="18244457"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61232</xdr:colOff>
      <xdr:row>16</xdr:row>
      <xdr:rowOff>19050</xdr:rowOff>
    </xdr:from>
    <xdr:to>
      <xdr:col>63</xdr:col>
      <xdr:colOff>82913</xdr:colOff>
      <xdr:row>16</xdr:row>
      <xdr:rowOff>133350</xdr:rowOff>
    </xdr:to>
    <xdr:sp macro="" textlink="">
      <xdr:nvSpPr>
        <xdr:cNvPr id="32078" name="13">
          <a:extLst>
            <a:ext uri="{FF2B5EF4-FFF2-40B4-BE49-F238E27FC236}">
              <a16:creationId xmlns:a16="http://schemas.microsoft.com/office/drawing/2014/main" id="{9D59FE1E-2A77-9E8A-AC34-FF7EBFC2780E}"/>
            </a:ext>
          </a:extLst>
        </xdr:cNvPr>
        <xdr:cNvSpPr/>
      </xdr:nvSpPr>
      <xdr:spPr>
        <a:xfrm>
          <a:off x="17672957" y="2667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61232</xdr:colOff>
      <xdr:row>16</xdr:row>
      <xdr:rowOff>76200</xdr:rowOff>
    </xdr:from>
    <xdr:to>
      <xdr:col>63</xdr:col>
      <xdr:colOff>61232</xdr:colOff>
      <xdr:row>16</xdr:row>
      <xdr:rowOff>76200</xdr:rowOff>
    </xdr:to>
    <xdr:cxnSp macro="">
      <xdr:nvCxnSpPr>
        <xdr:cNvPr id="32079" name="직선 화살표 연결선 32078">
          <a:extLst>
            <a:ext uri="{FF2B5EF4-FFF2-40B4-BE49-F238E27FC236}">
              <a16:creationId xmlns:a16="http://schemas.microsoft.com/office/drawing/2014/main" id="{0DF899FF-8121-FEE6-DF54-CDD46B8E918C}"/>
            </a:ext>
          </a:extLst>
        </xdr:cNvPr>
        <xdr:cNvCxnSpPr/>
      </xdr:nvCxnSpPr>
      <xdr:spPr>
        <a:xfrm>
          <a:off x="17672957"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61232</xdr:colOff>
      <xdr:row>15</xdr:row>
      <xdr:rowOff>19050</xdr:rowOff>
    </xdr:from>
    <xdr:to>
      <xdr:col>58</xdr:col>
      <xdr:colOff>82913</xdr:colOff>
      <xdr:row>15</xdr:row>
      <xdr:rowOff>133350</xdr:rowOff>
    </xdr:to>
    <xdr:sp macro="" textlink="">
      <xdr:nvSpPr>
        <xdr:cNvPr id="32080" name="12">
          <a:extLst>
            <a:ext uri="{FF2B5EF4-FFF2-40B4-BE49-F238E27FC236}">
              <a16:creationId xmlns:a16="http://schemas.microsoft.com/office/drawing/2014/main" id="{A98F3A10-9E4B-F9D4-1B18-33F99ED95783}"/>
            </a:ext>
          </a:extLst>
        </xdr:cNvPr>
        <xdr:cNvSpPr/>
      </xdr:nvSpPr>
      <xdr:spPr>
        <a:xfrm>
          <a:off x="16958582" y="2514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61232</xdr:colOff>
      <xdr:row>15</xdr:row>
      <xdr:rowOff>76200</xdr:rowOff>
    </xdr:from>
    <xdr:to>
      <xdr:col>58</xdr:col>
      <xdr:colOff>61232</xdr:colOff>
      <xdr:row>15</xdr:row>
      <xdr:rowOff>76200</xdr:rowOff>
    </xdr:to>
    <xdr:cxnSp macro="">
      <xdr:nvCxnSpPr>
        <xdr:cNvPr id="32081" name="직선 화살표 연결선 32080">
          <a:extLst>
            <a:ext uri="{FF2B5EF4-FFF2-40B4-BE49-F238E27FC236}">
              <a16:creationId xmlns:a16="http://schemas.microsoft.com/office/drawing/2014/main" id="{A20BD78B-EBAE-0560-8834-2018CD9DE378}"/>
            </a:ext>
          </a:extLst>
        </xdr:cNvPr>
        <xdr:cNvCxnSpPr/>
      </xdr:nvCxnSpPr>
      <xdr:spPr>
        <a:xfrm>
          <a:off x="16958582"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14</xdr:row>
      <xdr:rowOff>19050</xdr:rowOff>
    </xdr:from>
    <xdr:to>
      <xdr:col>56</xdr:col>
      <xdr:colOff>42090</xdr:colOff>
      <xdr:row>14</xdr:row>
      <xdr:rowOff>133350</xdr:rowOff>
    </xdr:to>
    <xdr:sp macro="" textlink="">
      <xdr:nvSpPr>
        <xdr:cNvPr id="32082" name="11">
          <a:extLst>
            <a:ext uri="{FF2B5EF4-FFF2-40B4-BE49-F238E27FC236}">
              <a16:creationId xmlns:a16="http://schemas.microsoft.com/office/drawing/2014/main" id="{8BB46475-BBAC-EB96-0008-EE656D609630}"/>
            </a:ext>
          </a:extLst>
        </xdr:cNvPr>
        <xdr:cNvSpPr/>
      </xdr:nvSpPr>
      <xdr:spPr>
        <a:xfrm>
          <a:off x="16632011" y="2362200"/>
          <a:ext cx="2167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14</xdr:row>
      <xdr:rowOff>76200</xdr:rowOff>
    </xdr:from>
    <xdr:to>
      <xdr:col>56</xdr:col>
      <xdr:colOff>20411</xdr:colOff>
      <xdr:row>14</xdr:row>
      <xdr:rowOff>76200</xdr:rowOff>
    </xdr:to>
    <xdr:cxnSp macro="">
      <xdr:nvCxnSpPr>
        <xdr:cNvPr id="32083" name="직선 화살표 연결선 32082">
          <a:extLst>
            <a:ext uri="{FF2B5EF4-FFF2-40B4-BE49-F238E27FC236}">
              <a16:creationId xmlns:a16="http://schemas.microsoft.com/office/drawing/2014/main" id="{6DAA500E-4747-56CE-688A-04BA48091B4F}"/>
            </a:ext>
          </a:extLst>
        </xdr:cNvPr>
        <xdr:cNvCxnSpPr/>
      </xdr:nvCxnSpPr>
      <xdr:spPr>
        <a:xfrm>
          <a:off x="16632011"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61232</xdr:colOff>
      <xdr:row>13</xdr:row>
      <xdr:rowOff>19050</xdr:rowOff>
    </xdr:from>
    <xdr:to>
      <xdr:col>50</xdr:col>
      <xdr:colOff>82913</xdr:colOff>
      <xdr:row>13</xdr:row>
      <xdr:rowOff>133350</xdr:rowOff>
    </xdr:to>
    <xdr:sp macro="" textlink="">
      <xdr:nvSpPr>
        <xdr:cNvPr id="32084" name="10">
          <a:extLst>
            <a:ext uri="{FF2B5EF4-FFF2-40B4-BE49-F238E27FC236}">
              <a16:creationId xmlns:a16="http://schemas.microsoft.com/office/drawing/2014/main" id="{88D21CC4-B3EE-1AFC-2721-DA0CDB28920C}"/>
            </a:ext>
          </a:extLst>
        </xdr:cNvPr>
        <xdr:cNvSpPr/>
      </xdr:nvSpPr>
      <xdr:spPr>
        <a:xfrm>
          <a:off x="15815582" y="2209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61232</xdr:colOff>
      <xdr:row>13</xdr:row>
      <xdr:rowOff>76200</xdr:rowOff>
    </xdr:from>
    <xdr:to>
      <xdr:col>50</xdr:col>
      <xdr:colOff>61232</xdr:colOff>
      <xdr:row>13</xdr:row>
      <xdr:rowOff>76200</xdr:rowOff>
    </xdr:to>
    <xdr:cxnSp macro="">
      <xdr:nvCxnSpPr>
        <xdr:cNvPr id="32085" name="직선 화살표 연결선 32084">
          <a:extLst>
            <a:ext uri="{FF2B5EF4-FFF2-40B4-BE49-F238E27FC236}">
              <a16:creationId xmlns:a16="http://schemas.microsoft.com/office/drawing/2014/main" id="{221DAC21-4F93-4315-AC06-F7FF46C5F2D4}"/>
            </a:ext>
          </a:extLst>
        </xdr:cNvPr>
        <xdr:cNvCxnSpPr/>
      </xdr:nvCxnSpPr>
      <xdr:spPr>
        <a:xfrm>
          <a:off x="15815582"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61232</xdr:colOff>
      <xdr:row>12</xdr:row>
      <xdr:rowOff>19050</xdr:rowOff>
    </xdr:from>
    <xdr:to>
      <xdr:col>45</xdr:col>
      <xdr:colOff>82913</xdr:colOff>
      <xdr:row>12</xdr:row>
      <xdr:rowOff>133350</xdr:rowOff>
    </xdr:to>
    <xdr:sp macro="" textlink="">
      <xdr:nvSpPr>
        <xdr:cNvPr id="32086" name="9">
          <a:extLst>
            <a:ext uri="{FF2B5EF4-FFF2-40B4-BE49-F238E27FC236}">
              <a16:creationId xmlns:a16="http://schemas.microsoft.com/office/drawing/2014/main" id="{7D90D10B-A782-5BD3-32F4-4801BC8C4357}"/>
            </a:ext>
          </a:extLst>
        </xdr:cNvPr>
        <xdr:cNvSpPr/>
      </xdr:nvSpPr>
      <xdr:spPr>
        <a:xfrm>
          <a:off x="15101207" y="2057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61232</xdr:colOff>
      <xdr:row>12</xdr:row>
      <xdr:rowOff>76200</xdr:rowOff>
    </xdr:from>
    <xdr:to>
      <xdr:col>45</xdr:col>
      <xdr:colOff>61232</xdr:colOff>
      <xdr:row>12</xdr:row>
      <xdr:rowOff>76200</xdr:rowOff>
    </xdr:to>
    <xdr:cxnSp macro="">
      <xdr:nvCxnSpPr>
        <xdr:cNvPr id="32087" name="직선 화살표 연결선 32086">
          <a:extLst>
            <a:ext uri="{FF2B5EF4-FFF2-40B4-BE49-F238E27FC236}">
              <a16:creationId xmlns:a16="http://schemas.microsoft.com/office/drawing/2014/main" id="{9BB4D396-DDBF-AEDB-2D2B-0EBEE0EBA731}"/>
            </a:ext>
          </a:extLst>
        </xdr:cNvPr>
        <xdr:cNvCxnSpPr/>
      </xdr:nvCxnSpPr>
      <xdr:spPr>
        <a:xfrm>
          <a:off x="15101207"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11</xdr:row>
      <xdr:rowOff>19050</xdr:rowOff>
    </xdr:from>
    <xdr:to>
      <xdr:col>41</xdr:col>
      <xdr:colOff>82913</xdr:colOff>
      <xdr:row>11</xdr:row>
      <xdr:rowOff>133350</xdr:rowOff>
    </xdr:to>
    <xdr:sp macro="" textlink="">
      <xdr:nvSpPr>
        <xdr:cNvPr id="32088" name="8">
          <a:extLst>
            <a:ext uri="{FF2B5EF4-FFF2-40B4-BE49-F238E27FC236}">
              <a16:creationId xmlns:a16="http://schemas.microsoft.com/office/drawing/2014/main" id="{42555AA0-37F7-AC00-17A4-FFD7AC5AF358}"/>
            </a:ext>
          </a:extLst>
        </xdr:cNvPr>
        <xdr:cNvSpPr/>
      </xdr:nvSpPr>
      <xdr:spPr>
        <a:xfrm>
          <a:off x="14529707" y="1905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11</xdr:row>
      <xdr:rowOff>76200</xdr:rowOff>
    </xdr:from>
    <xdr:to>
      <xdr:col>41</xdr:col>
      <xdr:colOff>61232</xdr:colOff>
      <xdr:row>11</xdr:row>
      <xdr:rowOff>76200</xdr:rowOff>
    </xdr:to>
    <xdr:cxnSp macro="">
      <xdr:nvCxnSpPr>
        <xdr:cNvPr id="32089" name="직선 화살표 연결선 32088">
          <a:extLst>
            <a:ext uri="{FF2B5EF4-FFF2-40B4-BE49-F238E27FC236}">
              <a16:creationId xmlns:a16="http://schemas.microsoft.com/office/drawing/2014/main" id="{387CC22E-4115-D260-66B4-6D73C124193A}"/>
            </a:ext>
          </a:extLst>
        </xdr:cNvPr>
        <xdr:cNvCxnSpPr/>
      </xdr:nvCxnSpPr>
      <xdr:spPr>
        <a:xfrm>
          <a:off x="14529707"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10</xdr:row>
      <xdr:rowOff>19050</xdr:rowOff>
    </xdr:from>
    <xdr:to>
      <xdr:col>82</xdr:col>
      <xdr:colOff>103324</xdr:colOff>
      <xdr:row>10</xdr:row>
      <xdr:rowOff>133350</xdr:rowOff>
    </xdr:to>
    <xdr:sp macro="" textlink="">
      <xdr:nvSpPr>
        <xdr:cNvPr id="32090" name="7">
          <a:extLst>
            <a:ext uri="{FF2B5EF4-FFF2-40B4-BE49-F238E27FC236}">
              <a16:creationId xmlns:a16="http://schemas.microsoft.com/office/drawing/2014/main" id="{A3105D94-E9B9-B2F9-3997-DAEA023429AC}"/>
            </a:ext>
          </a:extLst>
        </xdr:cNvPr>
        <xdr:cNvSpPr/>
      </xdr:nvSpPr>
      <xdr:spPr>
        <a:xfrm>
          <a:off x="14529707" y="1752600"/>
          <a:ext cx="58999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10</xdr:row>
      <xdr:rowOff>76200</xdr:rowOff>
    </xdr:from>
    <xdr:to>
      <xdr:col>41</xdr:col>
      <xdr:colOff>61232</xdr:colOff>
      <xdr:row>10</xdr:row>
      <xdr:rowOff>76200</xdr:rowOff>
    </xdr:to>
    <xdr:cxnSp macro="">
      <xdr:nvCxnSpPr>
        <xdr:cNvPr id="32091" name="직선 화살표 연결선 32090">
          <a:extLst>
            <a:ext uri="{FF2B5EF4-FFF2-40B4-BE49-F238E27FC236}">
              <a16:creationId xmlns:a16="http://schemas.microsoft.com/office/drawing/2014/main" id="{DA6160B0-0B36-3125-0E2B-432C1028C577}"/>
            </a:ext>
          </a:extLst>
        </xdr:cNvPr>
        <xdr:cNvCxnSpPr/>
      </xdr:nvCxnSpPr>
      <xdr:spPr>
        <a:xfrm>
          <a:off x="14529707"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9</xdr:row>
      <xdr:rowOff>19050</xdr:rowOff>
    </xdr:from>
    <xdr:to>
      <xdr:col>33</xdr:col>
      <xdr:colOff>24946</xdr:colOff>
      <xdr:row>9</xdr:row>
      <xdr:rowOff>146050</xdr:rowOff>
    </xdr:to>
    <xdr:sp macro="" textlink="">
      <xdr:nvSpPr>
        <xdr:cNvPr id="32092" name="6">
          <a:extLst>
            <a:ext uri="{FF2B5EF4-FFF2-40B4-BE49-F238E27FC236}">
              <a16:creationId xmlns:a16="http://schemas.microsoft.com/office/drawing/2014/main" id="{2BC3D740-E4EB-CB60-6CEB-CDEC2D14D5EA}"/>
            </a:ext>
          </a:extLst>
        </xdr:cNvPr>
        <xdr:cNvSpPr/>
      </xdr:nvSpPr>
      <xdr:spPr>
        <a:xfrm>
          <a:off x="13223421" y="16002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8</xdr:row>
      <xdr:rowOff>19050</xdr:rowOff>
    </xdr:from>
    <xdr:to>
      <xdr:col>32</xdr:col>
      <xdr:colOff>1270</xdr:colOff>
      <xdr:row>8</xdr:row>
      <xdr:rowOff>133350</xdr:rowOff>
    </xdr:to>
    <xdr:sp macro="" textlink="">
      <xdr:nvSpPr>
        <xdr:cNvPr id="32093" name="5">
          <a:extLst>
            <a:ext uri="{FF2B5EF4-FFF2-40B4-BE49-F238E27FC236}">
              <a16:creationId xmlns:a16="http://schemas.microsoft.com/office/drawing/2014/main" id="{97E1459B-9990-AA65-6DED-B61C802CD6B1}"/>
            </a:ext>
          </a:extLst>
        </xdr:cNvPr>
        <xdr:cNvSpPr/>
      </xdr:nvSpPr>
      <xdr:spPr>
        <a:xfrm>
          <a:off x="13080546" y="14478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8</xdr:row>
      <xdr:rowOff>76200</xdr:rowOff>
    </xdr:from>
    <xdr:to>
      <xdr:col>32</xdr:col>
      <xdr:colOff>0</xdr:colOff>
      <xdr:row>8</xdr:row>
      <xdr:rowOff>76200</xdr:rowOff>
    </xdr:to>
    <xdr:cxnSp macro="">
      <xdr:nvCxnSpPr>
        <xdr:cNvPr id="32094" name="직선 화살표 연결선 32093">
          <a:extLst>
            <a:ext uri="{FF2B5EF4-FFF2-40B4-BE49-F238E27FC236}">
              <a16:creationId xmlns:a16="http://schemas.microsoft.com/office/drawing/2014/main" id="{97B6CEF6-2390-F3C9-8C78-3BC07749FEB1}"/>
            </a:ext>
          </a:extLst>
        </xdr:cNvPr>
        <xdr:cNvCxnSpPr/>
      </xdr:nvCxnSpPr>
      <xdr:spPr>
        <a:xfrm>
          <a:off x="13080546" y="15049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7</xdr:row>
      <xdr:rowOff>19050</xdr:rowOff>
    </xdr:from>
    <xdr:to>
      <xdr:col>32</xdr:col>
      <xdr:colOff>62502</xdr:colOff>
      <xdr:row>7</xdr:row>
      <xdr:rowOff>133350</xdr:rowOff>
    </xdr:to>
    <xdr:sp macro="" textlink="">
      <xdr:nvSpPr>
        <xdr:cNvPr id="32095" name="4">
          <a:extLst>
            <a:ext uri="{FF2B5EF4-FFF2-40B4-BE49-F238E27FC236}">
              <a16:creationId xmlns:a16="http://schemas.microsoft.com/office/drawing/2014/main" id="{C1406305-93DD-7BEE-7FB6-688B64182882}"/>
            </a:ext>
          </a:extLst>
        </xdr:cNvPr>
        <xdr:cNvSpPr/>
      </xdr:nvSpPr>
      <xdr:spPr>
        <a:xfrm>
          <a:off x="13080546" y="12954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7</xdr:row>
      <xdr:rowOff>76200</xdr:rowOff>
    </xdr:from>
    <xdr:to>
      <xdr:col>32</xdr:col>
      <xdr:colOff>61232</xdr:colOff>
      <xdr:row>7</xdr:row>
      <xdr:rowOff>76200</xdr:rowOff>
    </xdr:to>
    <xdr:cxnSp macro="">
      <xdr:nvCxnSpPr>
        <xdr:cNvPr id="32096" name="직선 화살표 연결선 32095">
          <a:extLst>
            <a:ext uri="{FF2B5EF4-FFF2-40B4-BE49-F238E27FC236}">
              <a16:creationId xmlns:a16="http://schemas.microsoft.com/office/drawing/2014/main" id="{86A941DB-971E-DAC9-73E4-DE4D7B43B0A4}"/>
            </a:ext>
          </a:extLst>
        </xdr:cNvPr>
        <xdr:cNvCxnSpPr/>
      </xdr:nvCxnSpPr>
      <xdr:spPr>
        <a:xfrm>
          <a:off x="13080546" y="13525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6</xdr:row>
      <xdr:rowOff>19050</xdr:rowOff>
    </xdr:from>
    <xdr:to>
      <xdr:col>32</xdr:col>
      <xdr:colOff>1270</xdr:colOff>
      <xdr:row>6</xdr:row>
      <xdr:rowOff>133350</xdr:rowOff>
    </xdr:to>
    <xdr:sp macro="" textlink="">
      <xdr:nvSpPr>
        <xdr:cNvPr id="32097" name="3">
          <a:extLst>
            <a:ext uri="{FF2B5EF4-FFF2-40B4-BE49-F238E27FC236}">
              <a16:creationId xmlns:a16="http://schemas.microsoft.com/office/drawing/2014/main" id="{8EF90FDB-D310-0ECA-A0FF-0EEDE2291093}"/>
            </a:ext>
          </a:extLst>
        </xdr:cNvPr>
        <xdr:cNvSpPr/>
      </xdr:nvSpPr>
      <xdr:spPr>
        <a:xfrm>
          <a:off x="13080546" y="1143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6</xdr:row>
      <xdr:rowOff>76200</xdr:rowOff>
    </xdr:from>
    <xdr:to>
      <xdr:col>32</xdr:col>
      <xdr:colOff>0</xdr:colOff>
      <xdr:row>6</xdr:row>
      <xdr:rowOff>76200</xdr:rowOff>
    </xdr:to>
    <xdr:cxnSp macro="">
      <xdr:nvCxnSpPr>
        <xdr:cNvPr id="32098" name="직선 화살표 연결선 32097">
          <a:extLst>
            <a:ext uri="{FF2B5EF4-FFF2-40B4-BE49-F238E27FC236}">
              <a16:creationId xmlns:a16="http://schemas.microsoft.com/office/drawing/2014/main" id="{4A466A78-2289-0BE7-AEE6-EB27B3C45B3E}"/>
            </a:ext>
          </a:extLst>
        </xdr:cNvPr>
        <xdr:cNvCxnSpPr/>
      </xdr:nvCxnSpPr>
      <xdr:spPr>
        <a:xfrm>
          <a:off x="13080546" y="1200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5</xdr:row>
      <xdr:rowOff>19050</xdr:rowOff>
    </xdr:from>
    <xdr:to>
      <xdr:col>32</xdr:col>
      <xdr:colOff>62502</xdr:colOff>
      <xdr:row>5</xdr:row>
      <xdr:rowOff>133350</xdr:rowOff>
    </xdr:to>
    <xdr:sp macro="" textlink="">
      <xdr:nvSpPr>
        <xdr:cNvPr id="32099" name="2">
          <a:extLst>
            <a:ext uri="{FF2B5EF4-FFF2-40B4-BE49-F238E27FC236}">
              <a16:creationId xmlns:a16="http://schemas.microsoft.com/office/drawing/2014/main" id="{20469C12-AAD6-5416-1FF9-B62782AE4CAA}"/>
            </a:ext>
          </a:extLst>
        </xdr:cNvPr>
        <xdr:cNvSpPr/>
      </xdr:nvSpPr>
      <xdr:spPr>
        <a:xfrm>
          <a:off x="13080546" y="9906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5</xdr:row>
      <xdr:rowOff>76200</xdr:rowOff>
    </xdr:from>
    <xdr:to>
      <xdr:col>32</xdr:col>
      <xdr:colOff>61232</xdr:colOff>
      <xdr:row>5</xdr:row>
      <xdr:rowOff>76200</xdr:rowOff>
    </xdr:to>
    <xdr:cxnSp macro="">
      <xdr:nvCxnSpPr>
        <xdr:cNvPr id="32100" name="직선 화살표 연결선 32099">
          <a:extLst>
            <a:ext uri="{FF2B5EF4-FFF2-40B4-BE49-F238E27FC236}">
              <a16:creationId xmlns:a16="http://schemas.microsoft.com/office/drawing/2014/main" id="{B907D0C0-60B8-4382-FB90-B1E5DFE96C99}"/>
            </a:ext>
          </a:extLst>
        </xdr:cNvPr>
        <xdr:cNvCxnSpPr/>
      </xdr:nvCxnSpPr>
      <xdr:spPr>
        <a:xfrm>
          <a:off x="13080546" y="1047750"/>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40821</xdr:colOff>
      <xdr:row>4</xdr:row>
      <xdr:rowOff>19050</xdr:rowOff>
    </xdr:from>
    <xdr:to>
      <xdr:col>83</xdr:col>
      <xdr:colOff>62502</xdr:colOff>
      <xdr:row>4</xdr:row>
      <xdr:rowOff>133350</xdr:rowOff>
    </xdr:to>
    <xdr:sp macro="" textlink="">
      <xdr:nvSpPr>
        <xdr:cNvPr id="32101" name="1">
          <a:extLst>
            <a:ext uri="{FF2B5EF4-FFF2-40B4-BE49-F238E27FC236}">
              <a16:creationId xmlns:a16="http://schemas.microsoft.com/office/drawing/2014/main" id="{781AE21B-9862-AB26-3EB5-97DC20E911CA}"/>
            </a:ext>
          </a:extLst>
        </xdr:cNvPr>
        <xdr:cNvSpPr/>
      </xdr:nvSpPr>
      <xdr:spPr>
        <a:xfrm>
          <a:off x="13080546" y="838200"/>
          <a:ext cx="74511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40821</xdr:colOff>
      <xdr:row>4</xdr:row>
      <xdr:rowOff>76200</xdr:rowOff>
    </xdr:from>
    <xdr:to>
      <xdr:col>45</xdr:col>
      <xdr:colOff>95718</xdr:colOff>
      <xdr:row>4</xdr:row>
      <xdr:rowOff>76200</xdr:rowOff>
    </xdr:to>
    <xdr:cxnSp macro="">
      <xdr:nvCxnSpPr>
        <xdr:cNvPr id="32102" name="직선 화살표 연결선 32101">
          <a:extLst>
            <a:ext uri="{FF2B5EF4-FFF2-40B4-BE49-F238E27FC236}">
              <a16:creationId xmlns:a16="http://schemas.microsoft.com/office/drawing/2014/main" id="{CE5F6E77-7899-4647-4539-3988B5ED2830}"/>
            </a:ext>
          </a:extLst>
        </xdr:cNvPr>
        <xdr:cNvCxnSpPr/>
      </xdr:nvCxnSpPr>
      <xdr:spPr>
        <a:xfrm>
          <a:off x="13080546" y="895350"/>
          <a:ext cx="20551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101600</xdr:colOff>
      <xdr:row>0</xdr:row>
      <xdr:rowOff>88011</xdr:rowOff>
    </xdr:from>
    <xdr:to>
      <xdr:col>30</xdr:col>
      <xdr:colOff>1117600</xdr:colOff>
      <xdr:row>0</xdr:row>
      <xdr:rowOff>265811</xdr:rowOff>
    </xdr:to>
    <xdr:sp macro="" textlink="">
      <xdr:nvSpPr>
        <xdr:cNvPr id="32103" name="ProgressContainer">
          <a:extLst>
            <a:ext uri="{FF2B5EF4-FFF2-40B4-BE49-F238E27FC236}">
              <a16:creationId xmlns:a16="http://schemas.microsoft.com/office/drawing/2014/main" id="{E56DF7FC-0569-CDFD-A257-52B46E8AD24D}"/>
            </a:ext>
          </a:extLst>
        </xdr:cNvPr>
        <xdr:cNvSpPr/>
      </xdr:nvSpPr>
      <xdr:spPr>
        <a:xfrm>
          <a:off x="11960225"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101600</xdr:colOff>
      <xdr:row>0</xdr:row>
      <xdr:rowOff>132461</xdr:rowOff>
    </xdr:from>
    <xdr:to>
      <xdr:col>30</xdr:col>
      <xdr:colOff>129207</xdr:colOff>
      <xdr:row>0</xdr:row>
      <xdr:rowOff>221361</xdr:rowOff>
    </xdr:to>
    <xdr:sp macro="" textlink="">
      <xdr:nvSpPr>
        <xdr:cNvPr id="32104" name="ActualBar">
          <a:extLst>
            <a:ext uri="{FF2B5EF4-FFF2-40B4-BE49-F238E27FC236}">
              <a16:creationId xmlns:a16="http://schemas.microsoft.com/office/drawing/2014/main" id="{8DB333C9-F796-6F0C-710A-8E9D38DEC899}"/>
            </a:ext>
          </a:extLst>
        </xdr:cNvPr>
        <xdr:cNvSpPr/>
      </xdr:nvSpPr>
      <xdr:spPr>
        <a:xfrm>
          <a:off x="11960225" y="132461"/>
          <a:ext cx="27607" cy="88900"/>
        </a:xfrm>
        <a:prstGeom prst="rect">
          <a:avLst/>
        </a:prstGeom>
        <a:solidFill>
          <a:srgbClr val="FFFFFF"/>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129207</xdr:colOff>
      <xdr:row>0</xdr:row>
      <xdr:rowOff>70231</xdr:rowOff>
    </xdr:from>
    <xdr:to>
      <xdr:col>30</xdr:col>
      <xdr:colOff>129207</xdr:colOff>
      <xdr:row>0</xdr:row>
      <xdr:rowOff>301371</xdr:rowOff>
    </xdr:to>
    <xdr:cxnSp macro="">
      <xdr:nvCxnSpPr>
        <xdr:cNvPr id="32105" name="PlannedMarker">
          <a:extLst>
            <a:ext uri="{FF2B5EF4-FFF2-40B4-BE49-F238E27FC236}">
              <a16:creationId xmlns:a16="http://schemas.microsoft.com/office/drawing/2014/main" id="{50F7103B-2B29-ABC8-375C-5401C9D0C7A9}"/>
            </a:ext>
          </a:extLst>
        </xdr:cNvPr>
        <xdr:cNvCxnSpPr/>
      </xdr:nvCxnSpPr>
      <xdr:spPr>
        <a:xfrm>
          <a:off x="11987832"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520700</xdr:colOff>
      <xdr:row>0</xdr:row>
      <xdr:rowOff>265811</xdr:rowOff>
    </xdr:from>
    <xdr:to>
      <xdr:col>30</xdr:col>
      <xdr:colOff>1117600</xdr:colOff>
      <xdr:row>2</xdr:row>
      <xdr:rowOff>14986</xdr:rowOff>
    </xdr:to>
    <xdr:sp macro="" textlink="">
      <xdr:nvSpPr>
        <xdr:cNvPr id="32106" name="ActualLabel">
          <a:extLst>
            <a:ext uri="{FF2B5EF4-FFF2-40B4-BE49-F238E27FC236}">
              <a16:creationId xmlns:a16="http://schemas.microsoft.com/office/drawing/2014/main" id="{E199EC13-FEA8-8E53-2B14-EB129EC89881}"/>
            </a:ext>
          </a:extLst>
        </xdr:cNvPr>
        <xdr:cNvSpPr txBox="1"/>
      </xdr:nvSpPr>
      <xdr:spPr>
        <a:xfrm>
          <a:off x="662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2026-08-20,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2.72%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2.72%</a:t>
          </a:r>
          <a:endParaRPr lang="ko-KR" altLang="en-US" sz="1050">
            <a:solidFill>
              <a:srgbClr val="0070C0"/>
            </a:solidFill>
            <a:latin typeface="Arial" panose="020B0604020202020204" pitchFamily="34" charset="0"/>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heetViews>
  <sheetFormatPr baseColWidth="10" defaultColWidth="9" defaultRowHeight="16"/>
  <cols>
    <col min="1" max="1" width="5.83203125" style="75" customWidth="1"/>
    <col min="2" max="2" width="29.83203125" style="96" customWidth="1"/>
    <col min="3" max="3" width="1.1640625" style="75" customWidth="1"/>
    <col min="4" max="11" width="9" style="75"/>
    <col min="12" max="12" width="19.5" style="75" customWidth="1"/>
    <col min="13" max="21" width="9" style="75"/>
    <col min="22" max="22" width="0" style="75" hidden="1" customWidth="1"/>
    <col min="23" max="26" width="9" style="75"/>
    <col min="27" max="28" width="0" style="75" hidden="1" customWidth="1"/>
    <col min="29" max="16384" width="9" style="75"/>
  </cols>
  <sheetData>
    <row r="1" spans="1:12" ht="45" customHeight="1">
      <c r="A1" s="150"/>
      <c r="B1" s="171" t="s">
        <v>1532</v>
      </c>
      <c r="C1" s="148"/>
      <c r="D1" s="148"/>
      <c r="E1" s="148"/>
      <c r="F1" s="148"/>
      <c r="G1" s="148"/>
      <c r="H1" s="149"/>
      <c r="I1" s="149"/>
      <c r="J1" s="278" t="s">
        <v>1387</v>
      </c>
      <c r="K1" s="279"/>
      <c r="L1" s="279"/>
    </row>
    <row r="2" spans="1:12" s="32" customFormat="1" ht="18" customHeight="1">
      <c r="A2" s="146"/>
      <c r="B2" s="147"/>
      <c r="C2" s="147"/>
      <c r="D2" s="147"/>
      <c r="E2" s="147"/>
      <c r="F2" s="147"/>
      <c r="G2" s="147"/>
      <c r="H2" s="276" t="s">
        <v>1533</v>
      </c>
      <c r="I2" s="277"/>
      <c r="J2" s="277"/>
      <c r="K2" s="277"/>
      <c r="L2" s="277"/>
    </row>
    <row r="4" spans="1:12" ht="17.25" customHeight="1">
      <c r="B4" s="280" t="s">
        <v>1534</v>
      </c>
      <c r="C4" s="281"/>
      <c r="D4" s="281"/>
      <c r="E4" s="281"/>
      <c r="F4" s="281"/>
      <c r="G4" s="281"/>
      <c r="H4" s="281"/>
      <c r="I4" s="281"/>
      <c r="J4" s="281"/>
      <c r="K4" s="281"/>
      <c r="L4" s="281"/>
    </row>
    <row r="5" spans="1:12" ht="27.75" customHeight="1">
      <c r="B5" s="281"/>
      <c r="C5" s="281"/>
      <c r="D5" s="281"/>
      <c r="E5" s="281"/>
      <c r="F5" s="281"/>
      <c r="G5" s="281"/>
      <c r="H5" s="281"/>
      <c r="I5" s="281"/>
      <c r="J5" s="281"/>
      <c r="K5" s="281"/>
      <c r="L5" s="281"/>
    </row>
    <row r="6" spans="1:12" s="32" customFormat="1" ht="14">
      <c r="B6" s="76"/>
    </row>
    <row r="7" spans="1:12" s="32" customFormat="1" ht="19">
      <c r="B7" s="77" t="s">
        <v>1535</v>
      </c>
      <c r="D7" s="78"/>
    </row>
    <row r="8" spans="1:12" s="32" customFormat="1" ht="7.5" customHeight="1">
      <c r="B8" s="76"/>
    </row>
    <row r="9" spans="1:12" s="32" customFormat="1" ht="29.25" customHeight="1" thickBot="1">
      <c r="A9" s="79"/>
      <c r="B9" s="80" t="s">
        <v>434</v>
      </c>
      <c r="C9" s="79"/>
      <c r="D9" s="274" t="s">
        <v>1536</v>
      </c>
      <c r="E9" s="274"/>
      <c r="F9" s="274"/>
      <c r="G9" s="274"/>
      <c r="H9" s="274"/>
      <c r="I9" s="274"/>
      <c r="J9" s="274"/>
      <c r="K9" s="274"/>
      <c r="L9" s="274"/>
    </row>
    <row r="10" spans="1:12" s="32" customFormat="1" ht="29.25" customHeight="1" thickTop="1" thickBot="1">
      <c r="A10" s="79"/>
      <c r="B10" s="81" t="s">
        <v>435</v>
      </c>
      <c r="C10" s="79"/>
      <c r="D10" s="274" t="s">
        <v>1537</v>
      </c>
      <c r="E10" s="274"/>
      <c r="F10" s="274"/>
      <c r="G10" s="274"/>
      <c r="H10" s="274"/>
      <c r="I10" s="274"/>
      <c r="J10" s="274"/>
      <c r="K10" s="274"/>
      <c r="L10" s="274"/>
    </row>
    <row r="11" spans="1:12" s="32" customFormat="1" ht="29.25" customHeight="1" thickTop="1" thickBot="1">
      <c r="A11" s="79"/>
      <c r="B11" s="82" t="s">
        <v>436</v>
      </c>
      <c r="C11" s="79"/>
      <c r="D11" s="274" t="s">
        <v>1538</v>
      </c>
      <c r="E11" s="274"/>
      <c r="F11" s="274"/>
      <c r="G11" s="274"/>
      <c r="H11" s="274"/>
      <c r="I11" s="274"/>
      <c r="J11" s="274"/>
      <c r="K11" s="274"/>
      <c r="L11" s="274"/>
    </row>
    <row r="12" spans="1:12" s="32" customFormat="1" ht="29.25" customHeight="1" thickTop="1" thickBot="1">
      <c r="A12" s="79"/>
      <c r="B12" s="83" t="s">
        <v>437</v>
      </c>
      <c r="C12" s="79"/>
      <c r="D12" s="274" t="s">
        <v>1539</v>
      </c>
      <c r="E12" s="274"/>
      <c r="F12" s="274"/>
      <c r="G12" s="274"/>
      <c r="H12" s="274"/>
      <c r="I12" s="274"/>
      <c r="J12" s="274"/>
      <c r="K12" s="274"/>
      <c r="L12" s="274"/>
    </row>
    <row r="13" spans="1:12" s="32" customFormat="1" ht="29.25" customHeight="1" thickTop="1" thickBot="1">
      <c r="A13" s="79"/>
      <c r="B13" s="84" t="s">
        <v>1500</v>
      </c>
      <c r="C13" s="79"/>
      <c r="D13" s="275" t="s">
        <v>1540</v>
      </c>
      <c r="E13" s="274"/>
      <c r="F13" s="274"/>
      <c r="G13" s="274"/>
      <c r="H13" s="274"/>
      <c r="I13" s="274"/>
      <c r="J13" s="274"/>
      <c r="K13" s="274"/>
      <c r="L13" s="274"/>
    </row>
    <row r="14" spans="1:12" s="32" customFormat="1" ht="29.25" customHeight="1" thickTop="1" thickBot="1">
      <c r="A14" s="79"/>
      <c r="B14" s="85" t="s">
        <v>438</v>
      </c>
      <c r="C14" s="79"/>
      <c r="D14" s="274" t="s">
        <v>1541</v>
      </c>
      <c r="E14" s="274"/>
      <c r="F14" s="274"/>
      <c r="G14" s="274"/>
      <c r="H14" s="274"/>
      <c r="I14" s="274"/>
      <c r="J14" s="274"/>
      <c r="K14" s="274"/>
      <c r="L14" s="274"/>
    </row>
    <row r="15" spans="1:12" ht="17" thickTop="1">
      <c r="A15" s="86"/>
      <c r="B15" s="87"/>
      <c r="C15" s="86"/>
      <c r="D15" s="88"/>
      <c r="E15" s="88"/>
      <c r="F15" s="88"/>
      <c r="G15" s="88"/>
      <c r="H15" s="88"/>
      <c r="I15" s="88"/>
      <c r="J15" s="88"/>
      <c r="K15" s="88"/>
      <c r="L15" s="88"/>
    </row>
    <row r="16" spans="1:12" s="32" customFormat="1" ht="19">
      <c r="B16" s="77" t="s">
        <v>1542</v>
      </c>
      <c r="D16" s="78"/>
    </row>
    <row r="17" spans="2:12" s="32" customFormat="1" ht="5.25" customHeight="1">
      <c r="B17" s="89"/>
      <c r="D17" s="78"/>
    </row>
    <row r="18" spans="2:12" s="32" customFormat="1" ht="26.25" customHeight="1" thickBot="1">
      <c r="B18" s="90" t="s">
        <v>1543</v>
      </c>
      <c r="D18" s="273" t="s">
        <v>1555</v>
      </c>
      <c r="E18" s="273"/>
      <c r="F18" s="273"/>
      <c r="G18" s="273"/>
      <c r="H18" s="273"/>
      <c r="I18" s="273"/>
      <c r="J18" s="273"/>
      <c r="K18" s="273"/>
      <c r="L18" s="97" t="s">
        <v>1567</v>
      </c>
    </row>
    <row r="19" spans="2:12" s="32" customFormat="1" ht="37.5" customHeight="1" thickTop="1" thickBot="1">
      <c r="B19" s="90" t="s">
        <v>1614</v>
      </c>
      <c r="D19" s="273" t="s">
        <v>1556</v>
      </c>
      <c r="E19" s="273"/>
      <c r="F19" s="273"/>
      <c r="G19" s="273"/>
      <c r="H19" s="273"/>
      <c r="I19" s="273"/>
      <c r="J19" s="273"/>
      <c r="K19" s="273"/>
      <c r="L19" s="97" t="s">
        <v>1567</v>
      </c>
    </row>
    <row r="20" spans="2:12" s="32" customFormat="1" ht="26.25" customHeight="1" thickTop="1" thickBot="1">
      <c r="B20" s="90" t="s">
        <v>1544</v>
      </c>
      <c r="D20" s="273" t="s">
        <v>1557</v>
      </c>
      <c r="E20" s="273"/>
      <c r="F20" s="273"/>
      <c r="G20" s="273"/>
      <c r="H20" s="273"/>
      <c r="I20" s="273"/>
      <c r="J20" s="273"/>
      <c r="K20" s="273"/>
      <c r="L20" s="97" t="s">
        <v>1567</v>
      </c>
    </row>
    <row r="21" spans="2:12" s="32" customFormat="1" ht="26.25" customHeight="1" thickTop="1" thickBot="1">
      <c r="B21" s="90" t="s">
        <v>1545</v>
      </c>
      <c r="D21" s="273" t="s">
        <v>1558</v>
      </c>
      <c r="E21" s="273"/>
      <c r="F21" s="273"/>
      <c r="G21" s="273"/>
      <c r="H21" s="273"/>
      <c r="I21" s="273"/>
      <c r="J21" s="273"/>
      <c r="K21" s="273"/>
      <c r="L21" s="97" t="s">
        <v>1567</v>
      </c>
    </row>
    <row r="22" spans="2:12" s="32" customFormat="1" ht="33.75" customHeight="1" thickTop="1" thickBot="1">
      <c r="B22" s="90" t="s">
        <v>1546</v>
      </c>
      <c r="D22" s="273" t="s">
        <v>1559</v>
      </c>
      <c r="E22" s="273"/>
      <c r="F22" s="273"/>
      <c r="G22" s="273"/>
      <c r="H22" s="273"/>
      <c r="I22" s="273"/>
      <c r="J22" s="273"/>
      <c r="K22" s="273"/>
      <c r="L22" s="97" t="s">
        <v>1567</v>
      </c>
    </row>
    <row r="23" spans="2:12" s="32" customFormat="1" ht="52.5" customHeight="1" thickTop="1" thickBot="1">
      <c r="B23" s="90" t="s">
        <v>1547</v>
      </c>
      <c r="D23" s="273" t="s">
        <v>1560</v>
      </c>
      <c r="E23" s="273"/>
      <c r="F23" s="273"/>
      <c r="G23" s="273"/>
      <c r="H23" s="273"/>
      <c r="I23" s="273"/>
      <c r="J23" s="273"/>
      <c r="K23" s="273"/>
      <c r="L23" s="97" t="s">
        <v>1567</v>
      </c>
    </row>
    <row r="24" spans="2:12" s="32" customFormat="1" ht="47.25" customHeight="1" thickTop="1" thickBot="1">
      <c r="B24" s="90" t="s">
        <v>1548</v>
      </c>
      <c r="D24" s="273" t="s">
        <v>1561</v>
      </c>
      <c r="E24" s="273"/>
      <c r="F24" s="273"/>
      <c r="G24" s="273"/>
      <c r="H24" s="273"/>
      <c r="I24" s="273"/>
      <c r="J24" s="273"/>
      <c r="K24" s="273"/>
      <c r="L24" s="97" t="s">
        <v>1567</v>
      </c>
    </row>
    <row r="25" spans="2:12" s="32" customFormat="1" ht="33.75" customHeight="1" thickTop="1" thickBot="1">
      <c r="B25" s="90" t="s">
        <v>1549</v>
      </c>
      <c r="D25" s="273" t="s">
        <v>1562</v>
      </c>
      <c r="E25" s="273"/>
      <c r="F25" s="273"/>
      <c r="G25" s="273"/>
      <c r="H25" s="273"/>
      <c r="I25" s="273"/>
      <c r="J25" s="273"/>
      <c r="K25" s="273"/>
      <c r="L25" s="97" t="s">
        <v>1567</v>
      </c>
    </row>
    <row r="26" spans="2:12" s="32" customFormat="1" ht="53.25" customHeight="1" thickTop="1" thickBot="1">
      <c r="B26" s="90" t="s">
        <v>1550</v>
      </c>
      <c r="D26" s="273" t="s">
        <v>1563</v>
      </c>
      <c r="E26" s="273"/>
      <c r="F26" s="273"/>
      <c r="G26" s="273"/>
      <c r="H26" s="273"/>
      <c r="I26" s="273"/>
      <c r="J26" s="273"/>
      <c r="K26" s="273"/>
      <c r="L26" s="97" t="s">
        <v>1567</v>
      </c>
    </row>
    <row r="27" spans="2:12" s="32" customFormat="1" ht="35.25" customHeight="1" thickTop="1" thickBot="1">
      <c r="B27" s="90" t="s">
        <v>1551</v>
      </c>
      <c r="D27" s="273" t="s">
        <v>1564</v>
      </c>
      <c r="E27" s="273"/>
      <c r="F27" s="273"/>
      <c r="G27" s="273"/>
      <c r="H27" s="273"/>
      <c r="I27" s="273"/>
      <c r="J27" s="273"/>
      <c r="K27" s="273"/>
      <c r="L27" s="97" t="s">
        <v>1567</v>
      </c>
    </row>
    <row r="28" spans="2:12" s="32" customFormat="1" ht="43.5" customHeight="1" thickTop="1" thickBot="1">
      <c r="B28" s="90" t="s">
        <v>437</v>
      </c>
      <c r="D28" s="273" t="s">
        <v>1565</v>
      </c>
      <c r="E28" s="273"/>
      <c r="F28" s="273"/>
      <c r="G28" s="273"/>
      <c r="H28" s="273"/>
      <c r="I28" s="273"/>
      <c r="J28" s="273"/>
      <c r="K28" s="273"/>
      <c r="L28" s="97" t="s">
        <v>1567</v>
      </c>
    </row>
    <row r="29" spans="2:12" s="32" customFormat="1" ht="49.5" customHeight="1" thickTop="1" thickBot="1">
      <c r="B29" s="90" t="s">
        <v>1552</v>
      </c>
      <c r="D29" s="273" t="s">
        <v>1566</v>
      </c>
      <c r="E29" s="273"/>
      <c r="F29" s="273"/>
      <c r="G29" s="273"/>
      <c r="H29" s="273"/>
      <c r="I29" s="273"/>
      <c r="J29" s="273"/>
      <c r="K29" s="273"/>
      <c r="L29" s="97" t="s">
        <v>1567</v>
      </c>
    </row>
    <row r="30" spans="2:12" s="32" customFormat="1" ht="24.75" customHeight="1" thickTop="1" thickBot="1">
      <c r="B30" s="136" t="s">
        <v>1553</v>
      </c>
      <c r="D30" s="273" t="s">
        <v>1223</v>
      </c>
      <c r="E30" s="273"/>
      <c r="F30" s="273"/>
      <c r="G30" s="273"/>
      <c r="H30" s="273"/>
      <c r="I30" s="273"/>
      <c r="J30" s="273"/>
      <c r="K30" s="273"/>
      <c r="L30" s="97" t="s">
        <v>1567</v>
      </c>
    </row>
    <row r="31" spans="2:12" s="32" customFormat="1" ht="24.75" customHeight="1" thickTop="1" thickBot="1">
      <c r="B31" s="90" t="s">
        <v>1554</v>
      </c>
      <c r="D31" s="273" t="s">
        <v>1224</v>
      </c>
      <c r="E31" s="273"/>
      <c r="F31" s="273"/>
      <c r="G31" s="273"/>
      <c r="H31" s="273"/>
      <c r="I31" s="273"/>
      <c r="J31" s="273"/>
      <c r="K31" s="273"/>
      <c r="L31" s="97" t="s">
        <v>1567</v>
      </c>
    </row>
    <row r="32" spans="2:12" s="32" customFormat="1" ht="24.75" customHeight="1" thickTop="1" thickBot="1">
      <c r="B32" s="90" t="s">
        <v>1235</v>
      </c>
      <c r="D32" s="273" t="s">
        <v>1238</v>
      </c>
      <c r="E32" s="273"/>
      <c r="F32" s="273"/>
      <c r="G32" s="273"/>
      <c r="H32" s="273"/>
      <c r="I32" s="273"/>
      <c r="J32" s="273"/>
      <c r="K32" s="273"/>
      <c r="L32" s="97" t="s">
        <v>1567</v>
      </c>
    </row>
    <row r="33" spans="2:12" s="32" customFormat="1" thickTop="1">
      <c r="B33" s="91"/>
      <c r="D33" s="78"/>
      <c r="L33" s="79"/>
    </row>
    <row r="34" spans="2:12" s="32" customFormat="1" ht="18.75" customHeight="1">
      <c r="B34" s="92" t="s">
        <v>1568</v>
      </c>
      <c r="C34" s="93"/>
      <c r="D34" s="94"/>
      <c r="E34" s="93"/>
      <c r="F34" s="93"/>
      <c r="G34" s="93"/>
      <c r="H34" s="93"/>
      <c r="I34" s="93"/>
      <c r="J34" s="93"/>
      <c r="K34" s="93"/>
      <c r="L34" s="95"/>
    </row>
    <row r="35" spans="2:12" s="32" customFormat="1" ht="59.25" customHeight="1">
      <c r="B35" s="282" t="s">
        <v>1569</v>
      </c>
      <c r="C35" s="282"/>
      <c r="D35" s="282"/>
      <c r="E35" s="282"/>
      <c r="F35" s="282"/>
      <c r="G35" s="282"/>
      <c r="H35" s="282"/>
      <c r="I35" s="282"/>
      <c r="J35" s="282"/>
      <c r="K35" s="282"/>
      <c r="L35" s="282"/>
    </row>
  </sheetData>
  <mergeCells count="25">
    <mergeCell ref="D31:K31"/>
    <mergeCell ref="D30:K30"/>
    <mergeCell ref="D28:K28"/>
    <mergeCell ref="D29:K29"/>
    <mergeCell ref="B35:L35"/>
    <mergeCell ref="D32:K32"/>
    <mergeCell ref="H2:L2"/>
    <mergeCell ref="D22:K2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000-000000000000}"/>
    <hyperlink ref="B10" location="Progress!A1" display="Progress" xr:uid="{00000000-0004-0000-0000-000001000000}"/>
    <hyperlink ref="B11" location="AnalysisReport!A1" display="AnalysisReport" xr:uid="{00000000-0004-0000-0000-000002000000}"/>
    <hyperlink ref="L18" r:id="rId1" display="https://xlworks.net/xlgantt-easy-tip/" xr:uid="{00000000-0004-0000-0000-000003000000}"/>
    <hyperlink ref="L19" r:id="rId2" display="https://xlworks.net/xlgantt-howto-02-task/" xr:uid="{00000000-0004-0000-0000-000004000000}"/>
    <hyperlink ref="L20" r:id="rId3" display="https://xlworks.net/xlgantt-howto-03-gantt-chart/" xr:uid="{00000000-0004-0000-0000-000005000000}"/>
    <hyperlink ref="L22" r:id="rId4" display="https://xlworks.net/xlgantt-howto-05-analysis-report/" xr:uid="{00000000-0004-0000-0000-000006000000}"/>
    <hyperlink ref="L23" r:id="rId5" display="https://xlworks.net/xlgantt-howto-06-schedule-change-management/" xr:uid="{00000000-0004-0000-0000-000007000000}"/>
    <hyperlink ref="L24" r:id="rId6" display="https://xlworks.net/xlgantt-howto-07-deliverables/" xr:uid="{00000000-0004-0000-0000-000008000000}"/>
    <hyperlink ref="L25" r:id="rId7" display="https://xlworks.net/xlgantt-howto-08-add-tasks-to-outlook/" xr:uid="{00000000-0004-0000-0000-000009000000}"/>
    <hyperlink ref="L26" r:id="rId8" display="https://xlworks.net/xlgantt-howto-09-multilingual-support/" xr:uid="{00000000-0004-0000-0000-00000A000000}"/>
    <hyperlink ref="L27" r:id="rId9" display="https://xlworks.net/xlgantt-howto-10-import-schedule/" xr:uid="{00000000-0004-0000-0000-00000B000000}"/>
    <hyperlink ref="L28" r:id="rId10" display="https://xlworks.net/xlgantt-howto-11-calendar/" xr:uid="{00000000-0004-0000-0000-00000C000000}"/>
    <hyperlink ref="L29" r:id="rId11" display="https://xlworks.net/xlgantt-howto-12-integration-with-excel/" xr:uid="{00000000-0004-0000-0000-00000D000000}"/>
    <hyperlink ref="L21" r:id="rId12" display="https://xlworks.net/xlgantt-howto-04-project-progress/" xr:uid="{00000000-0004-0000-0000-00000E000000}"/>
    <hyperlink ref="B12" location="Calendar!A1" display="Calendar" xr:uid="{00000000-0004-0000-0000-00000F000000}"/>
    <hyperlink ref="J1" r:id="rId13" display="https://xlworks.net/xlgantt-project-scheduler/" xr:uid="{00000000-0004-0000-0000-000010000000}"/>
    <hyperlink ref="H2" r:id="rId14" display="https://xlworks.net/xlgantt-project-scheduler/" xr:uid="{00000000-0004-0000-0000-000011000000}"/>
    <hyperlink ref="L31" r:id="rId15" display="https://xlworks.net/xlgantt-howto-15-color-theme/" xr:uid="{00000000-0004-0000-0000-000012000000}"/>
    <hyperlink ref="L30" r:id="rId16" display="https://xlworks.net/xlgantt-howto-14-workloads/" xr:uid="{00000000-0004-0000-0000-000013000000}"/>
    <hyperlink ref="L32" r:id="rId17" display="https://xlworks.net/xlgantt-howto-16-task-dependencies/" xr:uid="{00000000-0004-0000-0000-000014000000}"/>
    <hyperlink ref="B13" location="Progress_Data!A1" display="Progress_Data" xr:uid="{00000000-0004-0000-0000-000015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OL136"/>
  <sheetViews>
    <sheetView tabSelected="1" topLeftCell="D1" zoomScale="130" zoomScaleNormal="130" zoomScaleSheetLayoutView="115" zoomScalePageLayoutView="55" workbookViewId="0">
      <pane ySplit="4" topLeftCell="A5" activePane="bottomLeft" state="frozen"/>
      <selection activeCell="D1" sqref="D1"/>
      <selection pane="bottomLeft" activeCell="Q136" sqref="Q136"/>
    </sheetView>
  </sheetViews>
  <sheetFormatPr baseColWidth="10" defaultColWidth="10" defaultRowHeight="12" customHeight="1" outlineLevelRow="5"/>
  <cols>
    <col min="1" max="1" width="1.6640625" style="107" hidden="1" customWidth="1"/>
    <col min="2" max="2" width="9" style="107" hidden="1" customWidth="1"/>
    <col min="3" max="3" width="8.33203125" style="107" hidden="1" customWidth="1"/>
    <col min="4" max="4" width="6.6640625" style="108" customWidth="1"/>
    <col min="5" max="13" width="2.6640625" style="109" customWidth="1"/>
    <col min="14" max="14" width="11.33203125" style="109" customWidth="1"/>
    <col min="15" max="15" width="27" style="108" bestFit="1" customWidth="1"/>
    <col min="16" max="16" width="10.33203125" style="110" bestFit="1" customWidth="1"/>
    <col min="17" max="17" width="10" style="110" bestFit="1" customWidth="1"/>
    <col min="18" max="18" width="7.6640625" style="109" customWidth="1"/>
    <col min="19" max="19" width="7.33203125" style="111" customWidth="1"/>
    <col min="20" max="20" width="7.1640625" style="111" bestFit="1" customWidth="1"/>
    <col min="21" max="21" width="6" style="111" customWidth="1"/>
    <col min="22" max="22" width="5.83203125" style="111" customWidth="1"/>
    <col min="23" max="24" width="9.6640625" style="110" hidden="1" customWidth="1"/>
    <col min="25" max="25" width="7.5" style="112" hidden="1" customWidth="1"/>
    <col min="26" max="26" width="6" style="113" hidden="1" customWidth="1"/>
    <col min="27" max="27" width="7.1640625" style="111" hidden="1" customWidth="1"/>
    <col min="28" max="28" width="12.83203125" style="109" customWidth="1"/>
    <col min="29" max="29" width="10.83203125" style="109" customWidth="1"/>
    <col min="30" max="30" width="7.6640625" style="114" bestFit="1" customWidth="1"/>
    <col min="31" max="31" width="15.5" style="115" customWidth="1"/>
    <col min="32" max="402" width="1.83203125" style="99" customWidth="1"/>
    <col min="403" max="16384" width="10" style="99"/>
  </cols>
  <sheetData>
    <row r="1" spans="1:402" s="100" customFormat="1" ht="25" customHeight="1">
      <c r="A1" s="172"/>
      <c r="B1" s="195"/>
      <c r="C1" s="174"/>
      <c r="D1" s="179" t="e" cm="1">
        <f t="array" aca="1" ref="D1" ca="1">xlgantt.ProjectName()</f>
        <v>#NAME?</v>
      </c>
      <c r="E1" s="180"/>
      <c r="F1" s="180"/>
      <c r="G1" s="180"/>
      <c r="H1" s="180"/>
      <c r="I1" s="180"/>
      <c r="J1" s="180"/>
      <c r="K1" s="180"/>
      <c r="L1" s="180"/>
      <c r="M1" s="180"/>
      <c r="N1" s="180"/>
      <c r="O1" s="232"/>
      <c r="P1" s="180"/>
      <c r="Q1" s="181"/>
      <c r="R1" s="182"/>
      <c r="S1" s="183"/>
      <c r="T1" s="184"/>
      <c r="U1" s="185"/>
      <c r="V1" s="185"/>
      <c r="W1" s="186"/>
      <c r="X1" s="186"/>
      <c r="Y1" s="173"/>
      <c r="Z1" s="187"/>
      <c r="AA1" s="175"/>
      <c r="AB1" s="176"/>
      <c r="AC1" s="192" t="e" cm="1">
        <f t="array" aca="1" ref="AC1" ca="1">xlgantt.ProjectProgress()</f>
        <v>#NAME?</v>
      </c>
      <c r="AD1" s="178"/>
      <c r="AE1" s="177"/>
      <c r="AF1" s="188" t="s">
        <v>1641</v>
      </c>
      <c r="AG1" s="189"/>
      <c r="AH1" s="189"/>
      <c r="AI1" s="189"/>
      <c r="AJ1" s="189"/>
      <c r="AK1" s="189"/>
      <c r="AL1" s="189"/>
      <c r="AM1" s="189"/>
      <c r="AN1" s="189"/>
      <c r="AO1" s="189"/>
      <c r="AP1" s="189"/>
      <c r="AQ1" s="189"/>
      <c r="AR1" s="189"/>
      <c r="AS1" s="189"/>
      <c r="AT1" s="189"/>
      <c r="AU1" s="189"/>
      <c r="AV1" s="189"/>
      <c r="AW1" s="189"/>
      <c r="AX1" s="189"/>
      <c r="AY1" s="189"/>
      <c r="AZ1" s="189"/>
      <c r="BA1" s="189"/>
      <c r="BB1" s="189"/>
      <c r="BC1" s="189"/>
      <c r="BD1" s="189"/>
      <c r="BE1" s="189"/>
      <c r="BF1" s="189"/>
      <c r="BG1" s="189"/>
      <c r="BH1" s="189"/>
      <c r="BI1" s="189"/>
      <c r="BJ1" s="189"/>
    </row>
    <row r="2" spans="1:402" s="100" customFormat="1" ht="15" customHeight="1">
      <c r="A2" s="163"/>
      <c r="B2" s="163"/>
      <c r="C2" s="164"/>
      <c r="D2" s="191"/>
      <c r="E2" s="191"/>
      <c r="F2" s="191"/>
      <c r="G2" s="165"/>
      <c r="H2" s="166"/>
      <c r="I2" s="165"/>
      <c r="J2" s="165"/>
      <c r="K2" s="165"/>
      <c r="L2" s="165"/>
      <c r="M2" s="165"/>
      <c r="N2" s="165"/>
      <c r="O2" s="233"/>
      <c r="P2" s="165"/>
      <c r="Q2" s="165"/>
      <c r="R2" s="165"/>
      <c r="S2" s="167"/>
      <c r="T2" s="167"/>
      <c r="U2" s="167"/>
      <c r="V2" s="167"/>
      <c r="W2" s="165"/>
      <c r="X2" s="165"/>
      <c r="Y2" s="165"/>
      <c r="Z2" s="165"/>
      <c r="AA2" s="165"/>
      <c r="AB2" s="165"/>
      <c r="AC2" s="168"/>
      <c r="AD2" s="169"/>
      <c r="AE2" s="165"/>
      <c r="AF2" s="243" t="s">
        <v>690</v>
      </c>
      <c r="AG2" s="243"/>
      <c r="AH2" s="243"/>
      <c r="AI2" s="243"/>
      <c r="AJ2" s="243" t="s">
        <v>1352</v>
      </c>
      <c r="AK2" s="243"/>
      <c r="AL2" s="243"/>
      <c r="AM2" s="243"/>
      <c r="AN2" s="243" t="s">
        <v>1353</v>
      </c>
      <c r="AO2" s="243"/>
      <c r="AP2" s="243"/>
      <c r="AQ2" s="243"/>
      <c r="AR2" s="243" t="s">
        <v>1489</v>
      </c>
      <c r="AS2" s="243"/>
      <c r="AT2" s="243"/>
      <c r="AU2" s="243"/>
      <c r="AV2" s="243" t="s">
        <v>1490</v>
      </c>
      <c r="AW2" s="243"/>
      <c r="AX2" s="243"/>
      <c r="AY2" s="243"/>
      <c r="AZ2" s="243" t="s">
        <v>1491</v>
      </c>
      <c r="BA2" s="243"/>
      <c r="BB2" s="243"/>
      <c r="BC2" s="243"/>
      <c r="BD2" s="243" t="s">
        <v>1626</v>
      </c>
      <c r="BE2" s="243"/>
      <c r="BF2" s="243"/>
      <c r="BG2" s="243"/>
      <c r="BH2" s="243" t="s">
        <v>1628</v>
      </c>
      <c r="BI2" s="243"/>
      <c r="BJ2" s="243"/>
      <c r="BK2" s="243"/>
      <c r="BL2" s="243" t="s">
        <v>1630</v>
      </c>
      <c r="BM2" s="243"/>
      <c r="BN2" s="243"/>
      <c r="BO2" s="243"/>
      <c r="BP2" s="243" t="s">
        <v>1632</v>
      </c>
      <c r="BQ2" s="243"/>
      <c r="BR2" s="243"/>
      <c r="BS2" s="243"/>
      <c r="BT2" s="243" t="s">
        <v>1634</v>
      </c>
      <c r="BU2" s="243"/>
      <c r="BV2" s="243"/>
      <c r="BW2" s="243"/>
      <c r="BX2" s="243" t="s">
        <v>1636</v>
      </c>
      <c r="BY2" s="243"/>
      <c r="BZ2" s="243"/>
      <c r="CA2" s="243"/>
      <c r="CB2" s="243" t="s">
        <v>1638</v>
      </c>
      <c r="CC2" s="243"/>
      <c r="CD2" s="243"/>
      <c r="CE2" s="243"/>
      <c r="CF2" s="243" t="s">
        <v>1640</v>
      </c>
      <c r="CG2" s="243"/>
      <c r="CH2" s="243"/>
      <c r="CI2" s="243"/>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c r="DQ2" s="205"/>
      <c r="DR2" s="205"/>
      <c r="DS2" s="205"/>
      <c r="DT2" s="205"/>
      <c r="DU2" s="205"/>
      <c r="DV2" s="205"/>
      <c r="DW2" s="205"/>
      <c r="DX2" s="205"/>
      <c r="DY2" s="205"/>
      <c r="DZ2" s="205"/>
      <c r="EA2" s="205"/>
      <c r="EB2" s="205"/>
      <c r="EC2" s="205"/>
      <c r="ED2" s="205"/>
      <c r="EE2" s="205"/>
      <c r="EF2" s="205"/>
      <c r="EG2" s="205"/>
      <c r="EH2" s="205"/>
      <c r="EI2" s="205"/>
      <c r="EJ2" s="205"/>
      <c r="EK2" s="205"/>
      <c r="EL2" s="205"/>
      <c r="EM2" s="205"/>
      <c r="EN2" s="205"/>
      <c r="EO2" s="205"/>
      <c r="EP2" s="205"/>
      <c r="EQ2" s="205"/>
      <c r="ER2" s="205"/>
      <c r="ES2" s="205"/>
      <c r="ET2" s="205"/>
      <c r="EU2" s="205"/>
      <c r="EV2" s="205"/>
      <c r="EW2" s="205"/>
      <c r="EX2" s="205"/>
      <c r="EY2" s="205"/>
      <c r="EZ2" s="205"/>
      <c r="FA2" s="205"/>
      <c r="FB2" s="205"/>
      <c r="FC2" s="205"/>
      <c r="FD2" s="205"/>
      <c r="FE2" s="205"/>
      <c r="FF2" s="205"/>
      <c r="FG2" s="205"/>
      <c r="FH2" s="205"/>
      <c r="FI2" s="205"/>
      <c r="FJ2" s="205"/>
      <c r="FK2" s="205"/>
      <c r="FL2" s="205"/>
      <c r="FM2" s="205"/>
      <c r="FN2" s="205"/>
      <c r="FO2" s="205"/>
      <c r="FP2" s="205"/>
      <c r="FQ2" s="205"/>
      <c r="FR2" s="205"/>
      <c r="FS2" s="205"/>
      <c r="FT2" s="205"/>
      <c r="FU2" s="205"/>
      <c r="FV2" s="205"/>
      <c r="FW2" s="205"/>
      <c r="FX2" s="205"/>
      <c r="FY2" s="205"/>
      <c r="FZ2" s="205"/>
      <c r="GA2" s="205"/>
      <c r="GB2" s="205"/>
      <c r="GC2" s="205"/>
      <c r="GD2" s="205"/>
      <c r="GE2" s="205"/>
      <c r="GF2" s="205"/>
      <c r="GG2" s="205"/>
      <c r="GH2" s="205"/>
      <c r="GI2" s="205"/>
      <c r="GJ2" s="205"/>
      <c r="GK2" s="205"/>
      <c r="GL2" s="205"/>
      <c r="GM2" s="205"/>
      <c r="GN2" s="205"/>
      <c r="GO2" s="205"/>
      <c r="GP2" s="205"/>
      <c r="GQ2" s="205"/>
      <c r="GR2" s="205"/>
      <c r="GS2" s="205"/>
      <c r="GT2" s="205"/>
      <c r="GU2" s="205"/>
      <c r="GV2" s="205"/>
      <c r="GW2" s="205"/>
      <c r="GX2" s="205"/>
      <c r="GY2" s="205"/>
      <c r="GZ2" s="205"/>
      <c r="HA2" s="205"/>
      <c r="HB2" s="205"/>
      <c r="HC2" s="205"/>
      <c r="HD2" s="205"/>
      <c r="HE2" s="205"/>
      <c r="HF2" s="205"/>
      <c r="HG2" s="205"/>
      <c r="HH2" s="205"/>
      <c r="HI2" s="205"/>
      <c r="HJ2" s="205"/>
      <c r="HK2" s="205"/>
      <c r="HL2" s="205"/>
      <c r="HM2" s="205"/>
      <c r="HN2" s="205"/>
      <c r="HO2" s="205"/>
      <c r="HP2" s="205"/>
      <c r="HQ2" s="205"/>
      <c r="HR2" s="205"/>
      <c r="HS2" s="205"/>
      <c r="HT2" s="205"/>
      <c r="HU2" s="205"/>
      <c r="HV2" s="205"/>
      <c r="HW2" s="205"/>
      <c r="HX2" s="205"/>
      <c r="HY2" s="205"/>
      <c r="HZ2" s="205"/>
      <c r="IA2" s="205"/>
      <c r="IB2" s="205"/>
      <c r="IC2" s="205"/>
      <c r="ID2" s="205"/>
      <c r="IE2" s="205"/>
      <c r="IF2" s="205"/>
      <c r="IG2" s="205"/>
      <c r="IH2" s="205"/>
      <c r="II2" s="205"/>
      <c r="IJ2" s="205"/>
      <c r="IK2" s="205"/>
      <c r="IL2" s="205"/>
      <c r="IM2" s="205"/>
      <c r="IN2" s="205"/>
      <c r="IO2" s="205"/>
      <c r="IP2" s="205"/>
      <c r="IQ2" s="205"/>
      <c r="IR2" s="205"/>
      <c r="IS2" s="205"/>
      <c r="IT2" s="205"/>
      <c r="IU2" s="205"/>
      <c r="IV2" s="205"/>
      <c r="IW2" s="205"/>
      <c r="IX2" s="205"/>
      <c r="IY2" s="205"/>
      <c r="IZ2" s="205"/>
      <c r="JA2" s="205"/>
      <c r="JB2" s="205"/>
      <c r="JC2" s="205"/>
      <c r="JD2" s="205"/>
      <c r="JE2" s="205"/>
      <c r="JF2" s="205"/>
      <c r="JG2" s="205"/>
      <c r="JH2" s="205"/>
      <c r="JI2" s="205"/>
      <c r="JJ2" s="205"/>
      <c r="JK2" s="205"/>
      <c r="JL2" s="205"/>
      <c r="JM2" s="205"/>
      <c r="JN2" s="205"/>
      <c r="JO2" s="205"/>
      <c r="JP2" s="205"/>
      <c r="JQ2" s="205"/>
      <c r="JR2" s="205"/>
      <c r="JS2" s="205"/>
      <c r="JT2" s="205"/>
      <c r="JU2" s="205"/>
      <c r="JV2" s="205"/>
      <c r="JW2" s="205"/>
      <c r="JX2" s="205"/>
      <c r="JY2" s="205"/>
      <c r="JZ2" s="205"/>
      <c r="KA2" s="205"/>
      <c r="KB2" s="205"/>
      <c r="KC2" s="205"/>
      <c r="KD2" s="205"/>
      <c r="KE2" s="205"/>
      <c r="KF2" s="205"/>
      <c r="KG2" s="205"/>
      <c r="KH2" s="205"/>
      <c r="KI2" s="205"/>
      <c r="KJ2" s="205"/>
      <c r="KK2" s="205"/>
      <c r="KL2" s="205"/>
      <c r="KM2" s="205"/>
      <c r="KN2" s="205"/>
      <c r="KO2" s="205"/>
      <c r="KP2" s="205"/>
      <c r="KQ2" s="205"/>
      <c r="KR2" s="205"/>
      <c r="KS2" s="205"/>
      <c r="KT2" s="205"/>
      <c r="KU2" s="205"/>
      <c r="KV2" s="205"/>
      <c r="KW2" s="205"/>
      <c r="KX2" s="205"/>
      <c r="KY2" s="205"/>
      <c r="KZ2" s="205"/>
      <c r="LA2" s="205"/>
      <c r="LB2" s="205"/>
      <c r="LC2" s="205"/>
      <c r="LD2" s="205"/>
      <c r="LE2" s="205"/>
      <c r="LF2" s="205"/>
      <c r="LG2" s="205"/>
      <c r="LH2" s="205"/>
      <c r="LI2" s="205"/>
      <c r="LJ2" s="205"/>
      <c r="LK2" s="205"/>
      <c r="LL2" s="205"/>
      <c r="LM2" s="205"/>
      <c r="LN2" s="205"/>
      <c r="LO2" s="205"/>
      <c r="LP2" s="205"/>
      <c r="LQ2" s="205"/>
      <c r="LR2" s="205"/>
      <c r="LS2" s="205"/>
      <c r="LT2" s="205"/>
      <c r="LU2" s="205"/>
      <c r="LV2" s="205"/>
      <c r="LW2" s="205"/>
      <c r="LX2" s="205"/>
      <c r="LY2" s="205"/>
      <c r="LZ2" s="205"/>
      <c r="MA2" s="205"/>
      <c r="MB2" s="205"/>
      <c r="MC2" s="205"/>
      <c r="MD2" s="205"/>
      <c r="ME2" s="205"/>
      <c r="MF2" s="205"/>
      <c r="MG2" s="205"/>
      <c r="MH2" s="205"/>
      <c r="MI2" s="205"/>
      <c r="MJ2" s="205"/>
      <c r="MK2" s="205"/>
      <c r="ML2" s="205"/>
      <c r="MM2" s="205"/>
      <c r="MN2" s="205"/>
      <c r="MO2" s="205"/>
      <c r="MP2" s="205"/>
      <c r="MQ2" s="205"/>
      <c r="MR2" s="205"/>
      <c r="MS2" s="205"/>
      <c r="MT2" s="205"/>
      <c r="MU2" s="205"/>
      <c r="MV2" s="205"/>
      <c r="MW2" s="205"/>
      <c r="MX2" s="205"/>
      <c r="MY2" s="205"/>
      <c r="MZ2" s="205"/>
      <c r="NA2" s="205"/>
      <c r="NB2" s="205"/>
      <c r="NC2" s="205"/>
      <c r="ND2" s="205"/>
      <c r="NE2" s="205"/>
      <c r="NF2" s="205"/>
      <c r="NG2" s="205"/>
      <c r="NH2" s="205"/>
      <c r="NI2" s="205"/>
      <c r="NJ2" s="205"/>
      <c r="NK2" s="205"/>
      <c r="NL2" s="205"/>
      <c r="NM2" s="205"/>
      <c r="NN2" s="205"/>
      <c r="NO2" s="205"/>
      <c r="NP2" s="205"/>
      <c r="NQ2" s="205"/>
      <c r="NR2" s="205"/>
      <c r="NS2" s="205"/>
      <c r="NT2" s="205"/>
      <c r="NU2" s="205"/>
      <c r="NV2" s="205"/>
      <c r="NW2" s="205"/>
      <c r="NX2" s="205"/>
      <c r="NY2" s="205"/>
      <c r="NZ2" s="205"/>
      <c r="OA2" s="205"/>
      <c r="OB2" s="205"/>
      <c r="OC2" s="205"/>
      <c r="OD2" s="205"/>
      <c r="OE2" s="205"/>
      <c r="OF2" s="205"/>
      <c r="OG2" s="205"/>
      <c r="OH2" s="205"/>
      <c r="OI2" s="205"/>
      <c r="OJ2" s="205"/>
      <c r="OK2" s="205"/>
      <c r="OL2" s="205"/>
    </row>
    <row r="3" spans="1:402" s="98" customFormat="1" ht="19" customHeight="1">
      <c r="A3" s="264" t="s">
        <v>1279</v>
      </c>
      <c r="B3" s="266" t="s">
        <v>1280</v>
      </c>
      <c r="C3" s="268" t="s">
        <v>1281</v>
      </c>
      <c r="D3" s="269" t="s">
        <v>1282</v>
      </c>
      <c r="E3" s="270" t="s">
        <v>1587</v>
      </c>
      <c r="F3" s="271"/>
      <c r="G3" s="271"/>
      <c r="H3" s="271"/>
      <c r="I3" s="271"/>
      <c r="J3" s="271"/>
      <c r="K3" s="271"/>
      <c r="L3" s="271"/>
      <c r="M3" s="271"/>
      <c r="N3" s="271"/>
      <c r="O3" s="257" t="s">
        <v>1588</v>
      </c>
      <c r="P3" s="257" t="s">
        <v>1589</v>
      </c>
      <c r="Q3" s="257" t="s">
        <v>1590</v>
      </c>
      <c r="R3" s="251" t="s">
        <v>437</v>
      </c>
      <c r="S3" s="244" t="s">
        <v>1591</v>
      </c>
      <c r="T3" s="262" t="s">
        <v>1592</v>
      </c>
      <c r="U3" s="244" t="s">
        <v>1593</v>
      </c>
      <c r="V3" s="244" t="s">
        <v>1594</v>
      </c>
      <c r="W3" s="246" t="s">
        <v>1595</v>
      </c>
      <c r="X3" s="246" t="s">
        <v>1596</v>
      </c>
      <c r="Y3" s="255" t="s">
        <v>1597</v>
      </c>
      <c r="Z3" s="260" t="s">
        <v>1598</v>
      </c>
      <c r="AA3" s="258" t="s">
        <v>1599</v>
      </c>
      <c r="AB3" s="257" t="s">
        <v>1600</v>
      </c>
      <c r="AC3" s="251" t="s">
        <v>1548</v>
      </c>
      <c r="AD3" s="253" t="s">
        <v>1601</v>
      </c>
      <c r="AE3" s="248" t="s">
        <v>1602</v>
      </c>
      <c r="AF3" s="250" t="s">
        <v>1498</v>
      </c>
      <c r="AG3" s="241"/>
      <c r="AH3" s="241"/>
      <c r="AI3" s="241"/>
      <c r="AJ3" s="240" t="s">
        <v>1499</v>
      </c>
      <c r="AK3" s="241"/>
      <c r="AL3" s="241"/>
      <c r="AM3" s="241"/>
      <c r="AN3" s="240" t="s">
        <v>1621</v>
      </c>
      <c r="AO3" s="241"/>
      <c r="AP3" s="241"/>
      <c r="AQ3" s="241"/>
      <c r="AR3" s="240" t="s">
        <v>1622</v>
      </c>
      <c r="AS3" s="241"/>
      <c r="AT3" s="241"/>
      <c r="AU3" s="241"/>
      <c r="AV3" s="240" t="s">
        <v>1623</v>
      </c>
      <c r="AW3" s="241"/>
      <c r="AX3" s="241"/>
      <c r="AY3" s="241"/>
      <c r="AZ3" s="240" t="s">
        <v>1624</v>
      </c>
      <c r="BA3" s="241"/>
      <c r="BB3" s="241"/>
      <c r="BC3" s="241"/>
      <c r="BD3" s="240" t="s">
        <v>1625</v>
      </c>
      <c r="BE3" s="241"/>
      <c r="BF3" s="241"/>
      <c r="BG3" s="241"/>
      <c r="BH3" s="240" t="s">
        <v>1627</v>
      </c>
      <c r="BI3" s="241"/>
      <c r="BJ3" s="241"/>
      <c r="BK3" s="241"/>
      <c r="BL3" s="240" t="s">
        <v>1629</v>
      </c>
      <c r="BM3" s="241"/>
      <c r="BN3" s="241"/>
      <c r="BO3" s="241"/>
      <c r="BP3" s="240" t="s">
        <v>1631</v>
      </c>
      <c r="BQ3" s="241"/>
      <c r="BR3" s="241"/>
      <c r="BS3" s="241"/>
      <c r="BT3" s="240" t="s">
        <v>1633</v>
      </c>
      <c r="BU3" s="241"/>
      <c r="BV3" s="241"/>
      <c r="BW3" s="241"/>
      <c r="BX3" s="240" t="s">
        <v>1635</v>
      </c>
      <c r="BY3" s="241"/>
      <c r="BZ3" s="241"/>
      <c r="CA3" s="241"/>
      <c r="CB3" s="240" t="s">
        <v>1637</v>
      </c>
      <c r="CC3" s="241"/>
      <c r="CD3" s="241"/>
      <c r="CE3" s="241"/>
      <c r="CF3" s="240" t="s">
        <v>1639</v>
      </c>
      <c r="CG3" s="241"/>
      <c r="CH3" s="241"/>
      <c r="CI3" s="242"/>
    </row>
    <row r="4" spans="1:402" s="98" customFormat="1" ht="6" customHeight="1">
      <c r="A4" s="265"/>
      <c r="B4" s="267"/>
      <c r="C4" s="264"/>
      <c r="D4" s="252"/>
      <c r="E4" s="272"/>
      <c r="F4" s="271"/>
      <c r="G4" s="271"/>
      <c r="H4" s="271"/>
      <c r="I4" s="271"/>
      <c r="J4" s="271"/>
      <c r="K4" s="271"/>
      <c r="L4" s="271"/>
      <c r="M4" s="271"/>
      <c r="N4" s="271"/>
      <c r="O4" s="247"/>
      <c r="P4" s="247"/>
      <c r="Q4" s="247"/>
      <c r="R4" s="252"/>
      <c r="S4" s="245"/>
      <c r="T4" s="263"/>
      <c r="U4" s="245"/>
      <c r="V4" s="245"/>
      <c r="W4" s="247"/>
      <c r="X4" s="247"/>
      <c r="Y4" s="256"/>
      <c r="Z4" s="261"/>
      <c r="AA4" s="259"/>
      <c r="AB4" s="247"/>
      <c r="AC4" s="252"/>
      <c r="AD4" s="254"/>
      <c r="AE4" s="249"/>
      <c r="AF4" s="161">
        <v>46194</v>
      </c>
      <c r="AG4" s="162">
        <v>46201</v>
      </c>
      <c r="AH4" s="162">
        <v>46208</v>
      </c>
      <c r="AI4" s="162">
        <v>46215</v>
      </c>
      <c r="AJ4" s="162">
        <v>46222</v>
      </c>
      <c r="AK4" s="162">
        <v>46229</v>
      </c>
      <c r="AL4" s="162">
        <v>46236</v>
      </c>
      <c r="AM4" s="162">
        <v>46243</v>
      </c>
      <c r="AN4" s="162">
        <v>46250</v>
      </c>
      <c r="AO4" s="162">
        <v>46257</v>
      </c>
      <c r="AP4" s="162">
        <v>46264</v>
      </c>
      <c r="AQ4" s="162">
        <v>46271</v>
      </c>
      <c r="AR4" s="162">
        <v>46278</v>
      </c>
      <c r="AS4" s="162">
        <v>46285</v>
      </c>
      <c r="AT4" s="162">
        <v>46292</v>
      </c>
      <c r="AU4" s="162">
        <v>46299</v>
      </c>
      <c r="AV4" s="162">
        <v>46306</v>
      </c>
      <c r="AW4" s="162">
        <v>46313</v>
      </c>
      <c r="AX4" s="162">
        <v>46320</v>
      </c>
      <c r="AY4" s="162">
        <v>46327</v>
      </c>
      <c r="AZ4" s="162">
        <v>46334</v>
      </c>
      <c r="BA4" s="162">
        <v>46341</v>
      </c>
      <c r="BB4" s="162">
        <v>46348</v>
      </c>
      <c r="BC4" s="162">
        <v>46355</v>
      </c>
      <c r="BD4" s="162">
        <v>46362</v>
      </c>
      <c r="BE4" s="162">
        <v>46369</v>
      </c>
      <c r="BF4" s="162">
        <v>46376</v>
      </c>
      <c r="BG4" s="162">
        <v>46383</v>
      </c>
      <c r="BH4" s="162">
        <v>46390</v>
      </c>
      <c r="BI4" s="162">
        <v>46397</v>
      </c>
      <c r="BJ4" s="162">
        <v>46404</v>
      </c>
      <c r="BK4" s="162">
        <v>46411</v>
      </c>
      <c r="BL4" s="162">
        <v>46418</v>
      </c>
      <c r="BM4" s="162">
        <v>46425</v>
      </c>
      <c r="BN4" s="162">
        <v>46432</v>
      </c>
      <c r="BO4" s="162">
        <v>46439</v>
      </c>
      <c r="BP4" s="162">
        <v>46446</v>
      </c>
      <c r="BQ4" s="162">
        <v>46453</v>
      </c>
      <c r="BR4" s="162">
        <v>46460</v>
      </c>
      <c r="BS4" s="162">
        <v>46467</v>
      </c>
      <c r="BT4" s="162">
        <v>46474</v>
      </c>
      <c r="BU4" s="162">
        <v>46481</v>
      </c>
      <c r="BV4" s="162">
        <v>46488</v>
      </c>
      <c r="BW4" s="162">
        <v>46495</v>
      </c>
      <c r="BX4" s="162">
        <v>46502</v>
      </c>
      <c r="BY4" s="162">
        <v>46509</v>
      </c>
      <c r="BZ4" s="162">
        <v>46516</v>
      </c>
      <c r="CA4" s="162">
        <v>46523</v>
      </c>
      <c r="CB4" s="162">
        <v>46530</v>
      </c>
      <c r="CC4" s="162">
        <v>46537</v>
      </c>
      <c r="CD4" s="162">
        <v>46544</v>
      </c>
      <c r="CE4" s="162">
        <v>46551</v>
      </c>
      <c r="CF4" s="162">
        <v>46558</v>
      </c>
      <c r="CG4" s="219"/>
      <c r="CH4" s="219"/>
      <c r="CI4" s="208"/>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c r="IH4" s="209"/>
      <c r="II4" s="209"/>
      <c r="IJ4" s="209"/>
      <c r="IK4" s="209"/>
      <c r="IL4" s="209"/>
      <c r="IM4" s="209"/>
      <c r="IN4" s="209"/>
      <c r="IO4" s="209"/>
      <c r="IP4" s="209"/>
      <c r="IQ4" s="209"/>
      <c r="IR4" s="209"/>
      <c r="IS4" s="209"/>
      <c r="IT4" s="209"/>
      <c r="IU4" s="209"/>
      <c r="IV4" s="209"/>
      <c r="IW4" s="209"/>
      <c r="IX4" s="209"/>
      <c r="IY4" s="209"/>
      <c r="IZ4" s="209"/>
      <c r="JA4" s="209"/>
      <c r="JB4" s="209"/>
      <c r="JC4" s="209"/>
      <c r="JD4" s="209"/>
      <c r="JE4" s="209"/>
      <c r="JF4" s="209"/>
      <c r="JG4" s="209"/>
      <c r="JH4" s="209"/>
      <c r="JI4" s="209"/>
      <c r="JJ4" s="209"/>
      <c r="JK4" s="209"/>
      <c r="JL4" s="209"/>
      <c r="JM4" s="209"/>
      <c r="JN4" s="209"/>
      <c r="JO4" s="209"/>
      <c r="JP4" s="209"/>
      <c r="JQ4" s="209"/>
      <c r="JR4" s="209"/>
      <c r="JS4" s="209"/>
      <c r="JT4" s="209"/>
      <c r="JU4" s="209"/>
      <c r="JV4" s="209"/>
      <c r="JW4" s="209"/>
      <c r="JX4" s="209"/>
      <c r="JY4" s="209"/>
      <c r="JZ4" s="209"/>
      <c r="KA4" s="209"/>
      <c r="KB4" s="209"/>
      <c r="KC4" s="209"/>
      <c r="KD4" s="209"/>
      <c r="KE4" s="209"/>
      <c r="KF4" s="209"/>
      <c r="KG4" s="209"/>
      <c r="KH4" s="209"/>
      <c r="KI4" s="209"/>
      <c r="KJ4" s="209"/>
      <c r="KK4" s="209"/>
      <c r="KL4" s="209"/>
      <c r="KM4" s="209"/>
      <c r="KN4" s="209"/>
      <c r="KO4" s="209"/>
      <c r="KP4" s="209"/>
      <c r="KQ4" s="209"/>
      <c r="KR4" s="209"/>
      <c r="KS4" s="209"/>
      <c r="KT4" s="209"/>
      <c r="KU4" s="209"/>
      <c r="KV4" s="209"/>
      <c r="KW4" s="209"/>
      <c r="KX4" s="209"/>
      <c r="KY4" s="209"/>
      <c r="KZ4" s="209"/>
      <c r="LA4" s="209"/>
      <c r="LB4" s="209"/>
      <c r="LC4" s="209"/>
      <c r="LD4" s="209"/>
      <c r="LE4" s="209"/>
      <c r="LF4" s="209"/>
      <c r="LG4" s="209"/>
      <c r="LH4" s="209"/>
      <c r="LI4" s="209"/>
      <c r="LJ4" s="209"/>
      <c r="LK4" s="209"/>
      <c r="LL4" s="209"/>
      <c r="LM4" s="209"/>
      <c r="LN4" s="209"/>
      <c r="LO4" s="209"/>
      <c r="LP4" s="209"/>
      <c r="LQ4" s="209"/>
      <c r="LR4" s="209"/>
      <c r="LS4" s="209"/>
      <c r="LT4" s="209"/>
      <c r="LU4" s="209"/>
      <c r="LV4" s="209"/>
      <c r="LW4" s="209"/>
      <c r="LX4" s="209"/>
      <c r="LY4" s="209"/>
      <c r="LZ4" s="209"/>
      <c r="MA4" s="209"/>
      <c r="MB4" s="209"/>
      <c r="MC4" s="209"/>
      <c r="MD4" s="209"/>
      <c r="ME4" s="209"/>
      <c r="MF4" s="209"/>
      <c r="MG4" s="209"/>
      <c r="MH4" s="209"/>
      <c r="MI4" s="209"/>
      <c r="MJ4" s="209"/>
      <c r="MK4" s="209"/>
      <c r="ML4" s="209"/>
      <c r="MM4" s="209"/>
      <c r="MN4" s="209"/>
      <c r="MO4" s="209"/>
      <c r="MP4" s="209"/>
      <c r="MQ4" s="209"/>
      <c r="MR4" s="209"/>
      <c r="MS4" s="209"/>
      <c r="MT4" s="209"/>
      <c r="MU4" s="209"/>
      <c r="MV4" s="209"/>
      <c r="MW4" s="209"/>
      <c r="MX4" s="209"/>
      <c r="MY4" s="209"/>
      <c r="MZ4" s="209"/>
      <c r="NA4" s="209"/>
      <c r="NB4" s="209"/>
      <c r="NC4" s="209"/>
      <c r="ND4" s="209"/>
      <c r="NE4" s="209"/>
      <c r="NF4" s="209"/>
      <c r="NG4" s="209"/>
      <c r="NH4" s="209"/>
      <c r="NI4" s="209"/>
      <c r="NJ4" s="209"/>
      <c r="NK4" s="209"/>
      <c r="NL4" s="209"/>
      <c r="NM4" s="209"/>
      <c r="NN4" s="209"/>
      <c r="NO4" s="209"/>
      <c r="NP4" s="209"/>
      <c r="NQ4" s="209"/>
      <c r="NR4" s="209"/>
      <c r="NS4" s="209"/>
      <c r="NT4" s="209"/>
      <c r="NU4" s="209"/>
      <c r="NV4" s="209"/>
      <c r="NW4" s="209"/>
      <c r="NX4" s="209"/>
      <c r="NY4" s="209"/>
      <c r="NZ4" s="209"/>
      <c r="OA4" s="209"/>
      <c r="OB4" s="209"/>
      <c r="OC4" s="209"/>
      <c r="OD4" s="209"/>
      <c r="OE4" s="209"/>
      <c r="OF4" s="209"/>
      <c r="OG4" s="209"/>
      <c r="OH4" s="209"/>
      <c r="OI4" s="209"/>
      <c r="OJ4" s="209"/>
      <c r="OK4" s="209"/>
      <c r="OL4" s="209"/>
    </row>
    <row r="5" spans="1:402" ht="12" customHeight="1">
      <c r="A5" s="101"/>
      <c r="B5" s="101" t="s">
        <v>1392</v>
      </c>
      <c r="C5" s="101">
        <v>1</v>
      </c>
      <c r="D5" s="117" t="s">
        <v>474</v>
      </c>
      <c r="E5" s="102" t="s">
        <v>1439</v>
      </c>
      <c r="F5" s="102"/>
      <c r="G5" s="102"/>
      <c r="H5" s="102"/>
      <c r="I5" s="102"/>
      <c r="J5" s="102"/>
      <c r="K5" s="102"/>
      <c r="L5" s="102"/>
      <c r="M5" s="102"/>
      <c r="N5" s="102"/>
      <c r="O5" s="234"/>
      <c r="P5" s="103">
        <v>46196</v>
      </c>
      <c r="Q5" s="103">
        <v>46560</v>
      </c>
      <c r="R5" s="102"/>
      <c r="S5" s="104">
        <v>29</v>
      </c>
      <c r="T5" s="104">
        <v>8</v>
      </c>
      <c r="U5" s="104">
        <v>248</v>
      </c>
      <c r="V5" s="104">
        <v>41</v>
      </c>
      <c r="W5" s="103"/>
      <c r="X5" s="103"/>
      <c r="Y5" s="105">
        <v>0</v>
      </c>
      <c r="Z5" s="106">
        <v>0</v>
      </c>
      <c r="AA5" s="104"/>
      <c r="AB5" s="102"/>
      <c r="AC5" s="102"/>
      <c r="AD5" s="116">
        <v>0.27586206896551724</v>
      </c>
      <c r="AE5" s="207">
        <v>0.27586206896551724</v>
      </c>
      <c r="AF5" s="119"/>
      <c r="AG5" s="120"/>
      <c r="AH5" s="120"/>
      <c r="AI5" s="120"/>
      <c r="AJ5" s="120"/>
      <c r="AK5" s="120"/>
      <c r="AL5" s="120"/>
      <c r="AM5" s="120"/>
      <c r="AN5" s="120"/>
      <c r="AO5" s="120"/>
      <c r="AP5" s="120"/>
      <c r="AQ5" s="120"/>
      <c r="AR5" s="120"/>
      <c r="AS5" s="120"/>
      <c r="AT5" s="120" t="str">
        <f>"     " &amp; TEXT(AE5,"#0.00%") &amp; " "</f>
        <v xml:space="preserve">     27.59% </v>
      </c>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t="str">
        <f>"   " &amp; "프로젝트 관리" &amp; " " &amp; IF(P5="","",TEXT(P5,"M/D-")) &amp; IF(Q5="","",TEXT(Q5,"M/D")) &amp; " "</f>
        <v xml:space="preserve">   프로젝트 관리 6/23-6/22 </v>
      </c>
      <c r="CG5" s="120"/>
      <c r="CH5" s="118"/>
      <c r="CI5" s="118"/>
    </row>
    <row r="6" spans="1:402" ht="12" customHeight="1" outlineLevel="1">
      <c r="A6" s="101"/>
      <c r="B6" s="101" t="s">
        <v>1392</v>
      </c>
      <c r="C6" s="101">
        <v>2</v>
      </c>
      <c r="D6" s="117" t="s">
        <v>499</v>
      </c>
      <c r="E6" s="102"/>
      <c r="F6" s="102" t="s">
        <v>1440</v>
      </c>
      <c r="G6" s="102"/>
      <c r="H6" s="102"/>
      <c r="I6" s="102"/>
      <c r="J6" s="102"/>
      <c r="K6" s="102"/>
      <c r="L6" s="102"/>
      <c r="M6" s="102"/>
      <c r="N6" s="102"/>
      <c r="O6" s="234"/>
      <c r="P6" s="103">
        <v>46196</v>
      </c>
      <c r="Q6" s="103">
        <v>46203</v>
      </c>
      <c r="R6" s="102"/>
      <c r="S6" s="104">
        <v>8</v>
      </c>
      <c r="T6" s="104">
        <v>8</v>
      </c>
      <c r="U6" s="104">
        <v>6</v>
      </c>
      <c r="V6" s="104">
        <v>6</v>
      </c>
      <c r="W6" s="103"/>
      <c r="X6" s="103"/>
      <c r="Y6" s="105">
        <v>0</v>
      </c>
      <c r="Z6" s="106">
        <v>0</v>
      </c>
      <c r="AA6" s="104"/>
      <c r="AB6" s="102"/>
      <c r="AC6" s="102"/>
      <c r="AD6" s="116">
        <v>1</v>
      </c>
      <c r="AE6" s="207">
        <v>1</v>
      </c>
      <c r="AF6" s="119"/>
      <c r="AG6" s="120" t="str">
        <f>"   " &amp; TEXT(AE6,"#0.00%") &amp; " " &amp; "프로젝트 착수 및 계획수립" &amp; " " &amp; IF(P6="","",TEXT(P6,"M/D-")) &amp; IF(Q6="","",TEXT(Q6,"M/D")) &amp; " "</f>
        <v xml:space="preserve">   100.00% 프로젝트 착수 및 계획수립 6/23-6/30 </v>
      </c>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row>
    <row r="7" spans="1:402" ht="12" customHeight="1" outlineLevel="2">
      <c r="A7" s="101"/>
      <c r="B7" s="101"/>
      <c r="C7" s="101">
        <v>3</v>
      </c>
      <c r="D7" s="117" t="s">
        <v>1355</v>
      </c>
      <c r="E7" s="102"/>
      <c r="F7" s="102"/>
      <c r="G7" s="102" t="s">
        <v>1441</v>
      </c>
      <c r="H7" s="212"/>
      <c r="I7" s="102"/>
      <c r="J7" s="102"/>
      <c r="K7" s="102"/>
      <c r="L7" s="102"/>
      <c r="M7" s="102"/>
      <c r="N7" s="102"/>
      <c r="O7" s="234"/>
      <c r="P7" s="103">
        <v>46196</v>
      </c>
      <c r="Q7" s="103">
        <v>46200</v>
      </c>
      <c r="R7" s="102"/>
      <c r="S7" s="104">
        <v>4</v>
      </c>
      <c r="T7" s="104">
        <v>4</v>
      </c>
      <c r="U7" s="104">
        <v>4</v>
      </c>
      <c r="V7" s="104">
        <v>4</v>
      </c>
      <c r="W7" s="103">
        <v>46086</v>
      </c>
      <c r="X7" s="103">
        <v>46086</v>
      </c>
      <c r="Y7" s="105">
        <v>1</v>
      </c>
      <c r="Z7" s="106">
        <v>1</v>
      </c>
      <c r="AA7" s="104">
        <v>2</v>
      </c>
      <c r="AB7" s="102"/>
      <c r="AC7" s="102"/>
      <c r="AD7" s="116">
        <v>1</v>
      </c>
      <c r="AE7" s="198">
        <v>1</v>
      </c>
      <c r="AF7" s="119"/>
      <c r="AG7" s="120" t="str">
        <f>"" &amp; TEXT(AE7,"#0.00%") &amp; " " &amp; "프로젝트,착수" &amp; " " &amp; IF(P7="","",TEXT(P7,"M/D-")) &amp; IF(Q7="","",TEXT(Q7,"M/D")) &amp; " "</f>
        <v xml:space="preserve">100.00% 프로젝트,착수 6/23-6/27 </v>
      </c>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20"/>
      <c r="BT7" s="120"/>
      <c r="BU7" s="120"/>
      <c r="BV7" s="120"/>
      <c r="BW7" s="120"/>
      <c r="BX7" s="120"/>
      <c r="BY7" s="120"/>
      <c r="BZ7" s="120"/>
      <c r="CA7" s="120"/>
      <c r="CB7" s="120"/>
      <c r="CC7" s="120"/>
      <c r="CD7" s="120"/>
      <c r="CE7" s="120"/>
      <c r="CF7" s="120"/>
      <c r="CG7" s="120"/>
    </row>
    <row r="8" spans="1:402" ht="12" customHeight="1" outlineLevel="2">
      <c r="A8" s="101"/>
      <c r="B8" s="101" t="s">
        <v>1392</v>
      </c>
      <c r="C8" s="101">
        <v>3</v>
      </c>
      <c r="D8" s="117" t="s">
        <v>1363</v>
      </c>
      <c r="E8" s="102"/>
      <c r="F8" s="102"/>
      <c r="G8" s="102" t="s">
        <v>1442</v>
      </c>
      <c r="H8" s="102"/>
      <c r="I8" s="102"/>
      <c r="J8" s="102"/>
      <c r="K8" s="102"/>
      <c r="L8" s="102"/>
      <c r="M8" s="102"/>
      <c r="N8" s="102"/>
      <c r="O8" s="234"/>
      <c r="P8" s="103">
        <v>46196</v>
      </c>
      <c r="Q8" s="103">
        <v>46203</v>
      </c>
      <c r="R8" s="102"/>
      <c r="S8" s="104">
        <v>4</v>
      </c>
      <c r="T8" s="104">
        <v>4</v>
      </c>
      <c r="U8" s="104">
        <v>6</v>
      </c>
      <c r="V8" s="104">
        <v>6</v>
      </c>
      <c r="W8" s="103"/>
      <c r="X8" s="103"/>
      <c r="Y8" s="105">
        <v>0</v>
      </c>
      <c r="Z8" s="106">
        <v>0</v>
      </c>
      <c r="AA8" s="104"/>
      <c r="AB8" s="102"/>
      <c r="AC8" s="102"/>
      <c r="AD8" s="116">
        <v>1</v>
      </c>
      <c r="AE8" s="207">
        <v>1</v>
      </c>
      <c r="AF8" s="119"/>
      <c r="AG8" s="120" t="str">
        <f>"   " &amp; TEXT(AE8,"#0.00%") &amp; " " &amp; "프로젝트 범위정의" &amp; " " &amp; IF(P8="","",TEXT(P8,"M/D-")) &amp; IF(Q8="","",TEXT(Q8,"M/D")) &amp; " "</f>
        <v xml:space="preserve">   100.00% 프로젝트 범위정의 6/23-6/30 </v>
      </c>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row>
    <row r="9" spans="1:402" ht="12" customHeight="1" outlineLevel="3">
      <c r="A9" s="101"/>
      <c r="B9" s="101"/>
      <c r="C9" s="101">
        <v>4</v>
      </c>
      <c r="D9" s="117" t="s">
        <v>1443</v>
      </c>
      <c r="E9" s="102"/>
      <c r="F9" s="102"/>
      <c r="G9" s="102"/>
      <c r="H9" s="102" t="s">
        <v>1444</v>
      </c>
      <c r="I9" s="102"/>
      <c r="J9" s="102"/>
      <c r="K9" s="102"/>
      <c r="L9" s="102"/>
      <c r="M9" s="102"/>
      <c r="N9" s="102"/>
      <c r="O9" s="234"/>
      <c r="P9" s="103">
        <v>46196</v>
      </c>
      <c r="Q9" s="103">
        <v>46200</v>
      </c>
      <c r="R9" s="102"/>
      <c r="S9" s="104">
        <v>4</v>
      </c>
      <c r="T9" s="104">
        <v>4</v>
      </c>
      <c r="U9" s="104">
        <v>4</v>
      </c>
      <c r="V9" s="104">
        <v>4</v>
      </c>
      <c r="W9" s="103">
        <v>46086</v>
      </c>
      <c r="X9" s="103">
        <v>46097</v>
      </c>
      <c r="Y9" s="105">
        <v>8</v>
      </c>
      <c r="Z9" s="106">
        <v>8</v>
      </c>
      <c r="AA9" s="104">
        <v>1</v>
      </c>
      <c r="AB9" s="102"/>
      <c r="AC9" s="102"/>
      <c r="AD9" s="116">
        <v>1</v>
      </c>
      <c r="AE9" s="198">
        <v>1</v>
      </c>
      <c r="AF9" s="119"/>
      <c r="AG9" s="120" t="str">
        <f>"" &amp; TEXT(AE9,"#0.00%") &amp; " " &amp; "프로젝트 계획 수립" &amp; " " &amp; IF(P9="","",TEXT(P9,"M/D-")) &amp; IF(Q9="","",TEXT(Q9,"M/D")) &amp; " "</f>
        <v xml:space="preserve">100.00% 프로젝트 계획 수립 6/23-6/27 </v>
      </c>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BY9" s="120"/>
      <c r="BZ9" s="120"/>
      <c r="CA9" s="120"/>
      <c r="CB9" s="120"/>
      <c r="CC9" s="120"/>
      <c r="CD9" s="120"/>
      <c r="CE9" s="120"/>
      <c r="CF9" s="120"/>
      <c r="CG9" s="120"/>
    </row>
    <row r="10" spans="1:402" ht="12" customHeight="1" outlineLevel="3">
      <c r="A10" s="101" t="s">
        <v>1445</v>
      </c>
      <c r="B10" s="101"/>
      <c r="C10" s="101">
        <v>4</v>
      </c>
      <c r="D10" s="117" t="s">
        <v>1446</v>
      </c>
      <c r="E10" s="102"/>
      <c r="F10" s="102"/>
      <c r="G10" s="102"/>
      <c r="H10" s="102" t="s">
        <v>1447</v>
      </c>
      <c r="I10" s="102"/>
      <c r="J10" s="102"/>
      <c r="K10" s="102"/>
      <c r="L10" s="102"/>
      <c r="M10" s="102"/>
      <c r="N10" s="102"/>
      <c r="O10" s="234"/>
      <c r="P10" s="103">
        <v>46203</v>
      </c>
      <c r="Q10" s="103">
        <v>46203</v>
      </c>
      <c r="R10" s="102"/>
      <c r="S10" s="104">
        <v>0</v>
      </c>
      <c r="T10" s="104">
        <v>0</v>
      </c>
      <c r="U10" s="104">
        <v>1</v>
      </c>
      <c r="V10" s="104">
        <v>1</v>
      </c>
      <c r="W10" s="103">
        <v>46100</v>
      </c>
      <c r="X10" s="103">
        <v>46100</v>
      </c>
      <c r="Y10" s="105">
        <v>1</v>
      </c>
      <c r="Z10" s="106">
        <v>1</v>
      </c>
      <c r="AA10" s="104">
        <v>1</v>
      </c>
      <c r="AB10" s="102"/>
      <c r="AC10" s="102"/>
      <c r="AD10" s="116">
        <v>1</v>
      </c>
      <c r="AE10" s="198">
        <v>1</v>
      </c>
      <c r="AF10" s="119"/>
      <c r="AG10" s="120" t="str">
        <f>"      " &amp; TEXT(AE10,"#0.00%") &amp; " " &amp; "착수보고(Kick off)" &amp; " " &amp; IF(P10="","",TEXT(P10,"M/D-")) &amp; IF(Q10="","",TEXT(Q10,"M/D")) &amp; " "</f>
        <v xml:space="preserve">      100.00% 착수보고(Kick off) 6/30-6/30 </v>
      </c>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row>
    <row r="11" spans="1:402" ht="12" customHeight="1" outlineLevel="1">
      <c r="A11" s="101"/>
      <c r="B11" s="101" t="s">
        <v>1392</v>
      </c>
      <c r="C11" s="101">
        <v>2</v>
      </c>
      <c r="D11" s="117" t="s">
        <v>1348</v>
      </c>
      <c r="E11" s="102"/>
      <c r="F11" s="102" t="s">
        <v>1448</v>
      </c>
      <c r="G11" s="102"/>
      <c r="H11" s="102"/>
      <c r="I11" s="102"/>
      <c r="J11" s="102"/>
      <c r="K11" s="102"/>
      <c r="L11" s="102"/>
      <c r="M11" s="102"/>
      <c r="N11" s="102"/>
      <c r="O11" s="234"/>
      <c r="P11" s="103">
        <v>46267</v>
      </c>
      <c r="Q11" s="103">
        <v>46555</v>
      </c>
      <c r="R11" s="102"/>
      <c r="S11" s="104">
        <v>11</v>
      </c>
      <c r="T11" s="104">
        <v>0</v>
      </c>
      <c r="U11" s="104">
        <v>196</v>
      </c>
      <c r="V11" s="104">
        <v>0</v>
      </c>
      <c r="W11" s="103"/>
      <c r="X11" s="103"/>
      <c r="Y11" s="105">
        <v>0</v>
      </c>
      <c r="Z11" s="106">
        <v>0</v>
      </c>
      <c r="AA11" s="104"/>
      <c r="AB11" s="102"/>
      <c r="AC11" s="102"/>
      <c r="AD11" s="116">
        <v>0</v>
      </c>
      <c r="AE11" s="213">
        <v>0</v>
      </c>
      <c r="AF11" s="119"/>
      <c r="AG11" s="120"/>
      <c r="AH11" s="120"/>
      <c r="AI11" s="120"/>
      <c r="AJ11" s="120"/>
      <c r="AK11" s="120"/>
      <c r="AL11" s="120"/>
      <c r="AM11" s="120"/>
      <c r="AN11" s="120"/>
      <c r="AO11" s="120"/>
      <c r="AP11" s="120" t="str">
        <f>"   " &amp; TEXT(AE11,"#0.00%") &amp; " "</f>
        <v xml:space="preserve">   0.00% </v>
      </c>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t="str">
        <f>"     " &amp; "프로젝트 수행 및 통제" &amp; " " &amp; IF(P11="","",TEXT(P11,"M/D-")) &amp; IF(Q11="","",TEXT(Q11,"M/D")) &amp; " "</f>
        <v xml:space="preserve">     프로젝트 수행 및 통제 9/2-6/17 </v>
      </c>
      <c r="CF11" s="120"/>
      <c r="CG11" s="120"/>
    </row>
    <row r="12" spans="1:402" ht="12" customHeight="1" outlineLevel="2">
      <c r="A12" s="101"/>
      <c r="B12" s="101"/>
      <c r="C12" s="101">
        <v>3</v>
      </c>
      <c r="D12" s="117" t="s">
        <v>1356</v>
      </c>
      <c r="E12" s="102"/>
      <c r="F12" s="102"/>
      <c r="G12" s="102" t="s">
        <v>1651</v>
      </c>
      <c r="H12" s="102"/>
      <c r="I12" s="102"/>
      <c r="J12" s="102"/>
      <c r="K12" s="102"/>
      <c r="L12" s="102"/>
      <c r="M12" s="102"/>
      <c r="N12" s="102"/>
      <c r="O12" s="234"/>
      <c r="P12" s="103">
        <v>46267</v>
      </c>
      <c r="Q12" s="103">
        <v>46267</v>
      </c>
      <c r="R12" s="102"/>
      <c r="S12" s="104">
        <v>1</v>
      </c>
      <c r="T12" s="104">
        <v>0</v>
      </c>
      <c r="U12" s="104">
        <v>1</v>
      </c>
      <c r="V12" s="104">
        <v>0</v>
      </c>
      <c r="W12" s="103"/>
      <c r="X12" s="103"/>
      <c r="Y12" s="105"/>
      <c r="Z12" s="106">
        <v>0</v>
      </c>
      <c r="AA12" s="104">
        <v>1</v>
      </c>
      <c r="AB12" s="102" t="s">
        <v>1798</v>
      </c>
      <c r="AC12" s="102"/>
      <c r="AD12" s="116">
        <v>0</v>
      </c>
      <c r="AE12" s="198">
        <v>0</v>
      </c>
      <c r="AF12" s="119"/>
      <c r="AG12" s="120"/>
      <c r="AH12" s="120"/>
      <c r="AI12" s="120"/>
      <c r="AJ12" s="120"/>
      <c r="AK12" s="120"/>
      <c r="AL12" s="120"/>
      <c r="AM12" s="120"/>
      <c r="AN12" s="120"/>
      <c r="AO12" s="120"/>
      <c r="AP12" s="120" t="str">
        <f>"   " &amp; TEXT(AE12,"#0.00%") &amp; " " &amp; "월간보고(2026.08)" &amp; "(공통)" &amp; " " &amp; IF(P12="","",TEXT(P12,"M/D-")) &amp; IF(Q12="","",TEXT(Q12,"M/D")) &amp; " "</f>
        <v xml:space="preserve">   0.00% 월간보고(2026.08)(공통) 9/2-9/2 </v>
      </c>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row>
    <row r="13" spans="1:402" ht="12" customHeight="1" outlineLevel="2">
      <c r="A13" s="101"/>
      <c r="B13" s="101"/>
      <c r="C13" s="101">
        <v>3</v>
      </c>
      <c r="D13" s="117" t="s">
        <v>1357</v>
      </c>
      <c r="E13" s="102"/>
      <c r="F13" s="102"/>
      <c r="G13" s="102" t="s">
        <v>1652</v>
      </c>
      <c r="H13" s="102"/>
      <c r="I13" s="102"/>
      <c r="J13" s="102"/>
      <c r="K13" s="102"/>
      <c r="L13" s="102"/>
      <c r="M13" s="102"/>
      <c r="N13" s="102"/>
      <c r="O13" s="234"/>
      <c r="P13" s="103">
        <v>46295</v>
      </c>
      <c r="Q13" s="103">
        <v>46295</v>
      </c>
      <c r="R13" s="102"/>
      <c r="S13" s="104">
        <v>1</v>
      </c>
      <c r="T13" s="104">
        <v>0</v>
      </c>
      <c r="U13" s="104">
        <v>1</v>
      </c>
      <c r="V13" s="104">
        <v>0</v>
      </c>
      <c r="W13" s="103"/>
      <c r="X13" s="103"/>
      <c r="Y13" s="105"/>
      <c r="Z13" s="106">
        <v>0</v>
      </c>
      <c r="AA13" s="104">
        <v>1</v>
      </c>
      <c r="AB13" s="102" t="s">
        <v>1798</v>
      </c>
      <c r="AC13" s="102"/>
      <c r="AD13" s="116">
        <v>0</v>
      </c>
      <c r="AE13" s="198">
        <v>0</v>
      </c>
      <c r="AF13" s="119"/>
      <c r="AG13" s="120"/>
      <c r="AH13" s="120"/>
      <c r="AI13" s="120"/>
      <c r="AJ13" s="120"/>
      <c r="AK13" s="120"/>
      <c r="AL13" s="120"/>
      <c r="AM13" s="120"/>
      <c r="AN13" s="120"/>
      <c r="AO13" s="120"/>
      <c r="AP13" s="120"/>
      <c r="AQ13" s="120"/>
      <c r="AR13" s="120"/>
      <c r="AS13" s="120"/>
      <c r="AT13" s="120" t="str">
        <f>"   " &amp; TEXT(AE13,"#0.00%") &amp; " " &amp; "월간보고(2026.09)" &amp; "(공통)" &amp; " " &amp; IF(P13="","",TEXT(P13,"M/D-")) &amp; IF(Q13="","",TEXT(Q13,"M/D")) &amp; " "</f>
        <v xml:space="preserve">   0.00% 월간보고(2026.09)(공통) 9/30-9/30 </v>
      </c>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row>
    <row r="14" spans="1:402" ht="12" customHeight="1" outlineLevel="2">
      <c r="A14" s="101"/>
      <c r="B14" s="101"/>
      <c r="C14" s="101">
        <v>3</v>
      </c>
      <c r="D14" s="117" t="s">
        <v>1364</v>
      </c>
      <c r="E14" s="102"/>
      <c r="F14" s="102"/>
      <c r="G14" s="102" t="s">
        <v>1653</v>
      </c>
      <c r="H14" s="102"/>
      <c r="I14" s="102"/>
      <c r="J14" s="102"/>
      <c r="K14" s="102"/>
      <c r="L14" s="102"/>
      <c r="M14" s="102"/>
      <c r="N14" s="102"/>
      <c r="O14" s="234"/>
      <c r="P14" s="103">
        <v>46330</v>
      </c>
      <c r="Q14" s="103">
        <v>46330</v>
      </c>
      <c r="R14" s="102"/>
      <c r="S14" s="104">
        <v>1</v>
      </c>
      <c r="T14" s="104">
        <v>0</v>
      </c>
      <c r="U14" s="104">
        <v>1</v>
      </c>
      <c r="V14" s="104">
        <v>0</v>
      </c>
      <c r="W14" s="103"/>
      <c r="X14" s="103"/>
      <c r="Y14" s="105"/>
      <c r="Z14" s="106">
        <v>0</v>
      </c>
      <c r="AA14" s="104">
        <v>1</v>
      </c>
      <c r="AB14" s="102" t="s">
        <v>1798</v>
      </c>
      <c r="AC14" s="102"/>
      <c r="AD14" s="116">
        <v>0</v>
      </c>
      <c r="AE14" s="198">
        <v>0</v>
      </c>
      <c r="AF14" s="119"/>
      <c r="AG14" s="120"/>
      <c r="AH14" s="120"/>
      <c r="AI14" s="120"/>
      <c r="AJ14" s="120"/>
      <c r="AK14" s="120"/>
      <c r="AL14" s="120"/>
      <c r="AM14" s="120"/>
      <c r="AN14" s="120"/>
      <c r="AO14" s="120"/>
      <c r="AP14" s="120"/>
      <c r="AQ14" s="120"/>
      <c r="AR14" s="120"/>
      <c r="AS14" s="120"/>
      <c r="AT14" s="120"/>
      <c r="AU14" s="120"/>
      <c r="AV14" s="120"/>
      <c r="AW14" s="120"/>
      <c r="AX14" s="120"/>
      <c r="AY14" s="120" t="str">
        <f>"   " &amp; TEXT(AE14,"#0.00%") &amp; " " &amp; "월간보고(2026.10)" &amp; "(공통)" &amp; " " &amp; IF(P14="","",TEXT(P14,"M/D-")) &amp; IF(Q14="","",TEXT(Q14,"M/D")) &amp; " "</f>
        <v xml:space="preserve">   0.00% 월간보고(2026.10)(공통) 11/4-11/4 </v>
      </c>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row>
    <row r="15" spans="1:402" ht="12" customHeight="1" outlineLevel="2">
      <c r="A15" s="101"/>
      <c r="B15" s="101"/>
      <c r="C15" s="101">
        <v>3</v>
      </c>
      <c r="D15" s="117" t="s">
        <v>1365</v>
      </c>
      <c r="E15" s="102"/>
      <c r="F15" s="102"/>
      <c r="G15" s="102" t="s">
        <v>1449</v>
      </c>
      <c r="H15" s="102"/>
      <c r="I15" s="102"/>
      <c r="J15" s="102"/>
      <c r="K15" s="102"/>
      <c r="L15" s="102"/>
      <c r="M15" s="102"/>
      <c r="N15" s="102"/>
      <c r="O15" s="234"/>
      <c r="P15" s="103">
        <v>46370</v>
      </c>
      <c r="Q15" s="103">
        <v>46370</v>
      </c>
      <c r="R15" s="102"/>
      <c r="S15" s="104">
        <v>1</v>
      </c>
      <c r="T15" s="104">
        <v>0</v>
      </c>
      <c r="U15" s="104">
        <v>1</v>
      </c>
      <c r="V15" s="104">
        <v>0</v>
      </c>
      <c r="W15" s="103"/>
      <c r="X15" s="103"/>
      <c r="Y15" s="105"/>
      <c r="Z15" s="106">
        <v>0</v>
      </c>
      <c r="AA15" s="104">
        <v>1</v>
      </c>
      <c r="AB15" s="102" t="s">
        <v>1798</v>
      </c>
      <c r="AC15" s="102"/>
      <c r="AD15" s="116">
        <v>0</v>
      </c>
      <c r="AE15" s="198">
        <v>0</v>
      </c>
      <c r="AF15" s="119"/>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t="str">
        <f>" " &amp; TEXT(AE15,"#0.00%") &amp; " " &amp; "중간보고" &amp; "(공통)" &amp; " " &amp; IF(P15="","",TEXT(P15,"M/D-")) &amp; IF(Q15="","",TEXT(Q15,"M/D")) &amp; " "</f>
        <v xml:space="preserve"> 0.00% 중간보고(공통) 12/14-12/14 </v>
      </c>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row>
    <row r="16" spans="1:402" ht="12" customHeight="1" outlineLevel="2">
      <c r="A16" s="101"/>
      <c r="B16" s="101"/>
      <c r="C16" s="101">
        <v>3</v>
      </c>
      <c r="D16" s="117" t="s">
        <v>1642</v>
      </c>
      <c r="E16" s="102"/>
      <c r="F16" s="102"/>
      <c r="G16" s="102" t="s">
        <v>1654</v>
      </c>
      <c r="H16" s="102"/>
      <c r="I16" s="102"/>
      <c r="J16" s="102"/>
      <c r="K16" s="102"/>
      <c r="L16" s="102"/>
      <c r="M16" s="102"/>
      <c r="N16" s="102"/>
      <c r="O16" s="234"/>
      <c r="P16" s="103">
        <v>46386</v>
      </c>
      <c r="Q16" s="103">
        <v>46386</v>
      </c>
      <c r="R16" s="102"/>
      <c r="S16" s="104">
        <v>1</v>
      </c>
      <c r="T16" s="104">
        <v>0</v>
      </c>
      <c r="U16" s="104">
        <v>1</v>
      </c>
      <c r="V16" s="104">
        <v>0</v>
      </c>
      <c r="W16" s="103"/>
      <c r="X16" s="103"/>
      <c r="Y16" s="105"/>
      <c r="Z16" s="106">
        <v>0</v>
      </c>
      <c r="AA16" s="104"/>
      <c r="AB16" s="102" t="s">
        <v>1798</v>
      </c>
      <c r="AC16" s="102"/>
      <c r="AD16" s="116">
        <v>0</v>
      </c>
      <c r="AE16" s="198">
        <v>0</v>
      </c>
      <c r="AF16" s="119"/>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t="str">
        <f>"   " &amp; TEXT(AE16,"#0.00%") &amp; " " &amp; "월간보고(2026.12)" &amp; "(공통)" &amp; " " &amp; IF(P16="","",TEXT(P16,"M/D-")) &amp; IF(Q16="","",TEXT(Q16,"M/D")) &amp; " "</f>
        <v xml:space="preserve">   0.00% 월간보고(2026.12)(공통) 12/30-12/30 </v>
      </c>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row>
    <row r="17" spans="1:85" ht="12" customHeight="1" outlineLevel="2">
      <c r="A17" s="101"/>
      <c r="B17" s="101"/>
      <c r="C17" s="101">
        <v>3</v>
      </c>
      <c r="D17" s="117" t="s">
        <v>1643</v>
      </c>
      <c r="E17" s="102"/>
      <c r="F17" s="102"/>
      <c r="G17" s="102" t="s">
        <v>1655</v>
      </c>
      <c r="H17" s="102"/>
      <c r="I17" s="102"/>
      <c r="J17" s="102"/>
      <c r="K17" s="102"/>
      <c r="L17" s="102"/>
      <c r="M17" s="102"/>
      <c r="N17" s="102"/>
      <c r="O17" s="234"/>
      <c r="P17" s="103">
        <v>46421</v>
      </c>
      <c r="Q17" s="103">
        <v>46421</v>
      </c>
      <c r="R17" s="102"/>
      <c r="S17" s="104">
        <v>1</v>
      </c>
      <c r="T17" s="104">
        <v>0</v>
      </c>
      <c r="U17" s="104">
        <v>1</v>
      </c>
      <c r="V17" s="104">
        <v>0</v>
      </c>
      <c r="W17" s="103"/>
      <c r="X17" s="103"/>
      <c r="Y17" s="105"/>
      <c r="Z17" s="106">
        <v>0</v>
      </c>
      <c r="AA17" s="104"/>
      <c r="AB17" s="102" t="s">
        <v>1798</v>
      </c>
      <c r="AC17" s="102"/>
      <c r="AD17" s="116">
        <v>0</v>
      </c>
      <c r="AE17" s="198">
        <v>0</v>
      </c>
      <c r="AF17" s="119"/>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t="str">
        <f>"   " &amp; TEXT(AE17,"#0.00%") &amp; " " &amp; "월간보고(2027.01)" &amp; "(공통)" &amp; " " &amp; IF(P17="","",TEXT(P17,"M/D-")) &amp; IF(Q17="","",TEXT(Q17,"M/D")) &amp; " "</f>
        <v xml:space="preserve">   0.00% 월간보고(2027.01)(공통) 2/3-2/3 </v>
      </c>
      <c r="BM17" s="120"/>
      <c r="BN17" s="120"/>
      <c r="BO17" s="120"/>
      <c r="BP17" s="120"/>
      <c r="BQ17" s="120"/>
      <c r="BR17" s="120"/>
      <c r="BS17" s="120"/>
      <c r="BT17" s="120"/>
      <c r="BU17" s="120"/>
      <c r="BV17" s="120"/>
      <c r="BW17" s="120"/>
      <c r="BX17" s="120"/>
      <c r="BY17" s="120"/>
      <c r="BZ17" s="120"/>
      <c r="CA17" s="120"/>
      <c r="CB17" s="120"/>
      <c r="CC17" s="120"/>
      <c r="CD17" s="120"/>
      <c r="CE17" s="120"/>
      <c r="CF17" s="120"/>
      <c r="CG17" s="120"/>
    </row>
    <row r="18" spans="1:85" ht="12" customHeight="1" outlineLevel="2">
      <c r="A18" s="101"/>
      <c r="B18" s="101"/>
      <c r="C18" s="101">
        <v>3</v>
      </c>
      <c r="D18" s="117" t="s">
        <v>1644</v>
      </c>
      <c r="E18" s="102"/>
      <c r="F18" s="102"/>
      <c r="G18" s="102" t="s">
        <v>1656</v>
      </c>
      <c r="H18" s="102"/>
      <c r="I18" s="102"/>
      <c r="J18" s="102"/>
      <c r="K18" s="102"/>
      <c r="L18" s="102"/>
      <c r="M18" s="102"/>
      <c r="N18" s="102"/>
      <c r="O18" s="234"/>
      <c r="P18" s="103">
        <v>46449</v>
      </c>
      <c r="Q18" s="103">
        <v>46449</v>
      </c>
      <c r="R18" s="102"/>
      <c r="S18" s="104">
        <v>1</v>
      </c>
      <c r="T18" s="104">
        <v>0</v>
      </c>
      <c r="U18" s="104">
        <v>1</v>
      </c>
      <c r="V18" s="104">
        <v>0</v>
      </c>
      <c r="W18" s="103"/>
      <c r="X18" s="103"/>
      <c r="Y18" s="105"/>
      <c r="Z18" s="106">
        <v>0</v>
      </c>
      <c r="AA18" s="104"/>
      <c r="AB18" s="102" t="s">
        <v>1798</v>
      </c>
      <c r="AC18" s="102"/>
      <c r="AD18" s="116">
        <v>0</v>
      </c>
      <c r="AE18" s="198">
        <v>0</v>
      </c>
      <c r="AF18" s="119"/>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t="str">
        <f>"   " &amp; TEXT(AE18,"#0.00%") &amp; " " &amp; "월간보고(2027.02)" &amp; "(공통)" &amp; " " &amp; IF(P18="","",TEXT(P18,"M/D-")) &amp; IF(Q18="","",TEXT(Q18,"M/D")) &amp; " "</f>
        <v xml:space="preserve">   0.00% 월간보고(2027.02)(공통) 3/3-3/3 </v>
      </c>
      <c r="BQ18" s="120"/>
      <c r="BR18" s="120"/>
      <c r="BS18" s="120"/>
      <c r="BT18" s="120"/>
      <c r="BU18" s="120"/>
      <c r="BV18" s="120"/>
      <c r="BW18" s="120"/>
      <c r="BX18" s="120"/>
      <c r="BY18" s="120"/>
      <c r="BZ18" s="120"/>
      <c r="CA18" s="120"/>
      <c r="CB18" s="120"/>
      <c r="CC18" s="120"/>
      <c r="CD18" s="120"/>
      <c r="CE18" s="120"/>
      <c r="CF18" s="120"/>
      <c r="CG18" s="120"/>
    </row>
    <row r="19" spans="1:85" ht="12" customHeight="1" outlineLevel="2">
      <c r="A19" s="101"/>
      <c r="B19" s="101"/>
      <c r="C19" s="101">
        <v>3</v>
      </c>
      <c r="D19" s="117" t="s">
        <v>1645</v>
      </c>
      <c r="E19" s="102"/>
      <c r="F19" s="102"/>
      <c r="G19" s="102" t="s">
        <v>1657</v>
      </c>
      <c r="H19" s="102"/>
      <c r="I19" s="102"/>
      <c r="J19" s="102"/>
      <c r="K19" s="102"/>
      <c r="L19" s="102"/>
      <c r="M19" s="102"/>
      <c r="N19" s="102"/>
      <c r="O19" s="234"/>
      <c r="P19" s="103">
        <v>46507</v>
      </c>
      <c r="Q19" s="103">
        <v>46507</v>
      </c>
      <c r="R19" s="102"/>
      <c r="S19" s="104">
        <v>1</v>
      </c>
      <c r="T19" s="104">
        <v>0</v>
      </c>
      <c r="U19" s="104">
        <v>1</v>
      </c>
      <c r="V19" s="104">
        <v>0</v>
      </c>
      <c r="W19" s="103"/>
      <c r="X19" s="103"/>
      <c r="Y19" s="105"/>
      <c r="Z19" s="106">
        <v>0</v>
      </c>
      <c r="AA19" s="104"/>
      <c r="AB19" s="102" t="s">
        <v>1798</v>
      </c>
      <c r="AC19" s="102"/>
      <c r="AD19" s="116">
        <v>0</v>
      </c>
      <c r="AE19" s="198">
        <v>0</v>
      </c>
      <c r="AF19" s="119"/>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t="str">
        <f>"     " &amp; TEXT(AE19,"#0.00%") &amp; " " &amp; "월간보고(2027.03)" &amp; "(공통)" &amp; " " &amp; IF(P19="","",TEXT(P19,"M/D-")) &amp; IF(Q19="","",TEXT(Q19,"M/D")) &amp; " "</f>
        <v xml:space="preserve">     0.00% 월간보고(2027.03)(공통) 4/30-4/30 </v>
      </c>
      <c r="BY19" s="120"/>
      <c r="BZ19" s="120"/>
      <c r="CA19" s="120"/>
      <c r="CB19" s="120"/>
      <c r="CC19" s="120"/>
      <c r="CD19" s="120"/>
      <c r="CE19" s="120"/>
      <c r="CF19" s="120"/>
      <c r="CG19" s="120"/>
    </row>
    <row r="20" spans="1:85" ht="12" customHeight="1" outlineLevel="2">
      <c r="A20" s="101"/>
      <c r="B20" s="101"/>
      <c r="C20" s="101">
        <v>3</v>
      </c>
      <c r="D20" s="117" t="s">
        <v>1646</v>
      </c>
      <c r="E20" s="102"/>
      <c r="F20" s="102"/>
      <c r="G20" s="102" t="s">
        <v>1658</v>
      </c>
      <c r="H20" s="102"/>
      <c r="I20" s="102"/>
      <c r="J20" s="102"/>
      <c r="K20" s="102"/>
      <c r="L20" s="102"/>
      <c r="M20" s="102"/>
      <c r="N20" s="102"/>
      <c r="O20" s="234"/>
      <c r="P20" s="103">
        <v>46511</v>
      </c>
      <c r="Q20" s="103">
        <v>46511</v>
      </c>
      <c r="R20" s="102"/>
      <c r="S20" s="104">
        <v>1</v>
      </c>
      <c r="T20" s="104">
        <v>0</v>
      </c>
      <c r="U20" s="104">
        <v>1</v>
      </c>
      <c r="V20" s="104">
        <v>0</v>
      </c>
      <c r="W20" s="103"/>
      <c r="X20" s="103"/>
      <c r="Y20" s="105"/>
      <c r="Z20" s="106">
        <v>0</v>
      </c>
      <c r="AA20" s="104"/>
      <c r="AB20" s="102" t="s">
        <v>1798</v>
      </c>
      <c r="AC20" s="102"/>
      <c r="AD20" s="116">
        <v>0</v>
      </c>
      <c r="AE20" s="198">
        <v>0</v>
      </c>
      <c r="AF20" s="119"/>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t="str">
        <f>"  " &amp; TEXT(AE20,"#0.00%") &amp; " " &amp; "월간보고(2027.04)" &amp; "(공통)" &amp; " " &amp; IF(P20="","",TEXT(P20,"M/D-")) &amp; IF(Q20="","",TEXT(Q20,"M/D")) &amp; " "</f>
        <v xml:space="preserve">  0.00% 월간보고(2027.04)(공통) 5/4-5/4 </v>
      </c>
      <c r="BZ20" s="120"/>
      <c r="CA20" s="120"/>
      <c r="CB20" s="120"/>
      <c r="CC20" s="120"/>
      <c r="CD20" s="120"/>
      <c r="CE20" s="120"/>
      <c r="CF20" s="120"/>
      <c r="CG20" s="120"/>
    </row>
    <row r="21" spans="1:85" ht="12" customHeight="1" outlineLevel="2">
      <c r="A21" s="101"/>
      <c r="B21" s="101"/>
      <c r="C21" s="101">
        <v>3</v>
      </c>
      <c r="D21" s="117" t="s">
        <v>1647</v>
      </c>
      <c r="E21" s="102"/>
      <c r="F21" s="102"/>
      <c r="G21" s="102" t="s">
        <v>1659</v>
      </c>
      <c r="H21" s="102"/>
      <c r="I21" s="102"/>
      <c r="J21" s="102"/>
      <c r="K21" s="102"/>
      <c r="L21" s="102"/>
      <c r="M21" s="102"/>
      <c r="N21" s="102"/>
      <c r="O21" s="234"/>
      <c r="P21" s="103">
        <v>46540</v>
      </c>
      <c r="Q21" s="103">
        <v>46540</v>
      </c>
      <c r="R21" s="102"/>
      <c r="S21" s="104">
        <v>1</v>
      </c>
      <c r="T21" s="104">
        <v>0</v>
      </c>
      <c r="U21" s="104">
        <v>1</v>
      </c>
      <c r="V21" s="104">
        <v>0</v>
      </c>
      <c r="W21" s="103"/>
      <c r="X21" s="103"/>
      <c r="Y21" s="105"/>
      <c r="Z21" s="106">
        <v>0</v>
      </c>
      <c r="AA21" s="104"/>
      <c r="AB21" s="102" t="s">
        <v>1798</v>
      </c>
      <c r="AC21" s="102"/>
      <c r="AD21" s="116">
        <v>0</v>
      </c>
      <c r="AE21" s="198">
        <v>0</v>
      </c>
      <c r="AF21" s="119"/>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t="str">
        <f>"   " &amp; TEXT(AE21,"#0.00%") &amp; " " &amp; "월간보고(2027.05)" &amp; "(공통)" &amp; " " &amp; IF(P21="","",TEXT(P21,"M/D-")) &amp; IF(Q21="","",TEXT(Q21,"M/D")) &amp; " "</f>
        <v xml:space="preserve">   0.00% 월간보고(2027.05)(공통) 6/2-6/2 </v>
      </c>
      <c r="CD21" s="120"/>
      <c r="CE21" s="120"/>
      <c r="CF21" s="120"/>
      <c r="CG21" s="120"/>
    </row>
    <row r="22" spans="1:85" ht="12" customHeight="1" outlineLevel="2">
      <c r="A22" s="101"/>
      <c r="B22" s="101"/>
      <c r="C22" s="101">
        <v>3</v>
      </c>
      <c r="D22" s="117" t="s">
        <v>1648</v>
      </c>
      <c r="E22" s="102"/>
      <c r="F22" s="102"/>
      <c r="G22" s="102" t="s">
        <v>1660</v>
      </c>
      <c r="H22" s="102"/>
      <c r="I22" s="102"/>
      <c r="J22" s="102"/>
      <c r="K22" s="102"/>
      <c r="L22" s="102"/>
      <c r="M22" s="102"/>
      <c r="N22" s="102"/>
      <c r="O22" s="234"/>
      <c r="P22" s="103">
        <v>46555</v>
      </c>
      <c r="Q22" s="103">
        <v>46555</v>
      </c>
      <c r="R22" s="102"/>
      <c r="S22" s="104">
        <v>1</v>
      </c>
      <c r="T22" s="104">
        <v>0</v>
      </c>
      <c r="U22" s="104">
        <v>1</v>
      </c>
      <c r="V22" s="104">
        <v>0</v>
      </c>
      <c r="W22" s="103"/>
      <c r="X22" s="103"/>
      <c r="Y22" s="105"/>
      <c r="Z22" s="106">
        <v>0</v>
      </c>
      <c r="AA22" s="104"/>
      <c r="AB22" s="102" t="s">
        <v>1798</v>
      </c>
      <c r="AC22" s="102"/>
      <c r="AD22" s="116">
        <v>0</v>
      </c>
      <c r="AE22" s="198">
        <v>0</v>
      </c>
      <c r="AF22" s="119"/>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t="str">
        <f>"    " &amp; TEXT(AE22,"#0.00%") &amp; " " &amp; "완료보고" &amp; "(공통)" &amp; " " &amp; IF(P22="","",TEXT(P22,"M/D-")) &amp; IF(Q22="","",TEXT(Q22,"M/D")) &amp; " "</f>
        <v xml:space="preserve">    0.00% 완료보고(공통) 6/17-6/17 </v>
      </c>
      <c r="CF22" s="120"/>
      <c r="CG22" s="120"/>
    </row>
    <row r="23" spans="1:85" ht="12" customHeight="1" outlineLevel="1">
      <c r="A23" s="101"/>
      <c r="B23" s="101" t="s">
        <v>1392</v>
      </c>
      <c r="C23" s="101">
        <v>2</v>
      </c>
      <c r="D23" s="117" t="s">
        <v>1492</v>
      </c>
      <c r="E23" s="102"/>
      <c r="F23" s="102" t="s">
        <v>1450</v>
      </c>
      <c r="G23" s="102"/>
      <c r="H23" s="102"/>
      <c r="I23" s="102"/>
      <c r="J23" s="102"/>
      <c r="K23" s="102"/>
      <c r="L23" s="102"/>
      <c r="M23" s="102"/>
      <c r="N23" s="102"/>
      <c r="O23" s="234"/>
      <c r="P23" s="103">
        <v>46538</v>
      </c>
      <c r="Q23" s="103">
        <v>46560</v>
      </c>
      <c r="R23" s="102"/>
      <c r="S23" s="104">
        <v>10</v>
      </c>
      <c r="T23" s="104">
        <v>0</v>
      </c>
      <c r="U23" s="104">
        <v>17</v>
      </c>
      <c r="V23" s="104">
        <v>0</v>
      </c>
      <c r="W23" s="103"/>
      <c r="X23" s="103"/>
      <c r="Y23" s="105">
        <v>0</v>
      </c>
      <c r="Z23" s="106">
        <v>0</v>
      </c>
      <c r="AA23" s="104"/>
      <c r="AB23" s="102"/>
      <c r="AC23" s="102"/>
      <c r="AD23" s="116">
        <v>0</v>
      </c>
      <c r="AE23" s="207">
        <v>0</v>
      </c>
      <c r="AF23" s="119"/>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t="str">
        <f>" " &amp; TEXT(AE23,"#0.00%") &amp; " "</f>
        <v xml:space="preserve"> 0.00% </v>
      </c>
      <c r="CD23" s="120"/>
      <c r="CE23" s="120"/>
      <c r="CF23" s="120" t="str">
        <f>"   " &amp; "프로젝트 종료" &amp; " " &amp; IF(P23="","",TEXT(P23,"M/D-")) &amp; IF(Q23="","",TEXT(Q23,"M/D")) &amp; " "</f>
        <v xml:space="preserve">   프로젝트 종료 5/31-6/22 </v>
      </c>
      <c r="CG23" s="120"/>
    </row>
    <row r="24" spans="1:85" ht="12" customHeight="1" outlineLevel="2">
      <c r="A24" s="101"/>
      <c r="B24" s="101"/>
      <c r="C24" s="101">
        <v>3</v>
      </c>
      <c r="D24" s="117" t="s">
        <v>1451</v>
      </c>
      <c r="E24" s="102"/>
      <c r="F24" s="102"/>
      <c r="G24" s="102" t="s">
        <v>1452</v>
      </c>
      <c r="H24" s="102"/>
      <c r="I24" s="102"/>
      <c r="J24" s="102"/>
      <c r="K24" s="102"/>
      <c r="L24" s="102"/>
      <c r="M24" s="102"/>
      <c r="N24" s="102"/>
      <c r="O24" s="234"/>
      <c r="P24" s="103">
        <v>46538</v>
      </c>
      <c r="Q24" s="103">
        <v>46542</v>
      </c>
      <c r="R24" s="102"/>
      <c r="S24" s="104">
        <v>5</v>
      </c>
      <c r="T24" s="104">
        <v>0</v>
      </c>
      <c r="U24" s="104">
        <v>5</v>
      </c>
      <c r="V24" s="104">
        <v>0</v>
      </c>
      <c r="W24" s="103"/>
      <c r="X24" s="103"/>
      <c r="Y24" s="105"/>
      <c r="Z24" s="106">
        <v>0</v>
      </c>
      <c r="AA24" s="104">
        <v>1</v>
      </c>
      <c r="AB24" s="102"/>
      <c r="AC24" s="102"/>
      <c r="AD24" s="116">
        <v>0</v>
      </c>
      <c r="AE24" s="198">
        <v>0</v>
      </c>
      <c r="AF24" s="119"/>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t="str">
        <f>" " &amp; TEXT(AE24,"#0.00%") &amp; " " &amp; "종료계획수립" &amp; " " &amp; IF(P24="","",TEXT(P24,"M/D-")) &amp; IF(Q24="","",TEXT(Q24,"M/D")) &amp; " "</f>
        <v xml:space="preserve"> 0.00% 종료계획수립 5/31-6/4 </v>
      </c>
      <c r="CD24" s="120"/>
      <c r="CE24" s="120"/>
      <c r="CF24" s="120"/>
      <c r="CG24" s="120"/>
    </row>
    <row r="25" spans="1:85" ht="12" customHeight="1" outlineLevel="2">
      <c r="A25" s="101"/>
      <c r="B25" s="101"/>
      <c r="C25" s="101">
        <v>3</v>
      </c>
      <c r="D25" s="117" t="s">
        <v>1453</v>
      </c>
      <c r="E25" s="102"/>
      <c r="F25" s="102"/>
      <c r="G25" s="102" t="s">
        <v>1454</v>
      </c>
      <c r="H25" s="102"/>
      <c r="I25" s="102"/>
      <c r="J25" s="102"/>
      <c r="K25" s="102"/>
      <c r="L25" s="102"/>
      <c r="M25" s="102"/>
      <c r="N25" s="102"/>
      <c r="O25" s="234"/>
      <c r="P25" s="103">
        <v>46545</v>
      </c>
      <c r="Q25" s="103">
        <v>46549</v>
      </c>
      <c r="R25" s="102"/>
      <c r="S25" s="104">
        <v>5</v>
      </c>
      <c r="T25" s="104">
        <v>0</v>
      </c>
      <c r="U25" s="104">
        <v>5</v>
      </c>
      <c r="V25" s="104">
        <v>0</v>
      </c>
      <c r="W25" s="103"/>
      <c r="X25" s="103"/>
      <c r="Y25" s="105"/>
      <c r="Z25" s="106">
        <v>0</v>
      </c>
      <c r="AA25" s="104">
        <v>1</v>
      </c>
      <c r="AB25" s="102"/>
      <c r="AC25" s="102"/>
      <c r="AD25" s="116">
        <v>0</v>
      </c>
      <c r="AE25" s="198">
        <v>0</v>
      </c>
      <c r="AF25" s="119"/>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t="str">
        <f>" " &amp; TEXT(AE25,"#0.00%") &amp; " " &amp; "시스템 인수인계" &amp; " " &amp; IF(P25="","",TEXT(P25,"M/D-")) &amp; IF(Q25="","",TEXT(Q25,"M/D")) &amp; " "</f>
        <v xml:space="preserve"> 0.00% 시스템 인수인계 6/7-6/11 </v>
      </c>
      <c r="CE25" s="120"/>
      <c r="CF25" s="120"/>
      <c r="CG25" s="120"/>
    </row>
    <row r="26" spans="1:85" ht="12" customHeight="1" outlineLevel="2">
      <c r="A26" s="101" t="s">
        <v>1456</v>
      </c>
      <c r="B26" s="101"/>
      <c r="C26" s="101">
        <v>3</v>
      </c>
      <c r="D26" s="117" t="s">
        <v>1455</v>
      </c>
      <c r="E26" s="102"/>
      <c r="F26" s="102"/>
      <c r="G26" s="102" t="s">
        <v>1457</v>
      </c>
      <c r="H26" s="102"/>
      <c r="I26" s="102"/>
      <c r="J26" s="102"/>
      <c r="K26" s="102"/>
      <c r="L26" s="102"/>
      <c r="M26" s="102"/>
      <c r="N26" s="102"/>
      <c r="O26" s="234"/>
      <c r="P26" s="103">
        <v>46552</v>
      </c>
      <c r="Q26" s="103">
        <v>46560</v>
      </c>
      <c r="R26" s="102"/>
      <c r="S26" s="104">
        <v>0</v>
      </c>
      <c r="T26" s="104">
        <v>0</v>
      </c>
      <c r="U26" s="104">
        <v>7</v>
      </c>
      <c r="V26" s="104">
        <v>0</v>
      </c>
      <c r="W26" s="103"/>
      <c r="X26" s="103"/>
      <c r="Y26" s="105"/>
      <c r="Z26" s="106">
        <v>0</v>
      </c>
      <c r="AA26" s="104">
        <v>1</v>
      </c>
      <c r="AB26" s="102"/>
      <c r="AC26" s="102"/>
      <c r="AD26" s="116">
        <v>0</v>
      </c>
      <c r="AE26" s="198">
        <v>0</v>
      </c>
      <c r="AF26" s="119"/>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t="str">
        <f>"     " &amp; TEXT(AE26,"#0.00%") &amp; " " &amp; "검수 및 종료" &amp; " " &amp; IF(P26="","",TEXT(P26,"M/D-")) &amp; IF(Q26="","",TEXT(Q26,"M/D")) &amp; " "</f>
        <v xml:space="preserve">     0.00% 검수 및 종료 6/14-6/22 </v>
      </c>
      <c r="CF26" s="120"/>
      <c r="CG26" s="120"/>
    </row>
    <row r="27" spans="1:85" ht="12" customHeight="1" outlineLevel="2">
      <c r="A27" s="101"/>
      <c r="B27" s="101"/>
      <c r="C27" s="101">
        <v>0</v>
      </c>
      <c r="D27" s="117"/>
      <c r="E27" s="102"/>
      <c r="F27" s="102"/>
      <c r="G27" s="102"/>
      <c r="H27" s="102"/>
      <c r="I27" s="102"/>
      <c r="J27" s="102"/>
      <c r="K27" s="102"/>
      <c r="L27" s="102"/>
      <c r="M27" s="102"/>
      <c r="N27" s="102"/>
      <c r="O27" s="234"/>
      <c r="P27" s="103"/>
      <c r="Q27" s="103"/>
      <c r="R27" s="102"/>
      <c r="S27" s="104"/>
      <c r="T27" s="104"/>
      <c r="U27" s="104">
        <v>0</v>
      </c>
      <c r="V27" s="104">
        <v>0</v>
      </c>
      <c r="W27" s="103"/>
      <c r="X27" s="103"/>
      <c r="Y27" s="105"/>
      <c r="Z27" s="106">
        <v>0</v>
      </c>
      <c r="AA27" s="104"/>
      <c r="AB27" s="102"/>
      <c r="AC27" s="102"/>
      <c r="AD27" s="116"/>
      <c r="AE27" s="206"/>
      <c r="AF27" s="119"/>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row>
    <row r="28" spans="1:85" ht="12" customHeight="1">
      <c r="A28" s="101"/>
      <c r="B28" s="101" t="s">
        <v>1392</v>
      </c>
      <c r="C28" s="101">
        <v>1</v>
      </c>
      <c r="D28" s="117" t="s">
        <v>1493</v>
      </c>
      <c r="E28" s="102" t="s">
        <v>1674</v>
      </c>
      <c r="F28" s="102"/>
      <c r="G28" s="102"/>
      <c r="H28" s="102"/>
      <c r="I28" s="102"/>
      <c r="J28" s="102"/>
      <c r="K28" s="102"/>
      <c r="L28" s="102"/>
      <c r="M28" s="102"/>
      <c r="N28" s="102"/>
      <c r="O28" s="234"/>
      <c r="P28" s="103">
        <v>46209</v>
      </c>
      <c r="Q28" s="103">
        <v>46416</v>
      </c>
      <c r="R28" s="102"/>
      <c r="S28" s="104">
        <v>1036</v>
      </c>
      <c r="T28" s="104">
        <v>55</v>
      </c>
      <c r="U28" s="104">
        <v>142</v>
      </c>
      <c r="V28" s="104">
        <v>32</v>
      </c>
      <c r="W28" s="103"/>
      <c r="X28" s="103"/>
      <c r="Y28" s="105">
        <v>0</v>
      </c>
      <c r="Z28" s="106">
        <v>0</v>
      </c>
      <c r="AA28" s="104"/>
      <c r="AB28" s="102"/>
      <c r="AC28" s="102"/>
      <c r="AD28" s="116">
        <v>5.3088803088803087E-2</v>
      </c>
      <c r="AE28" s="207">
        <v>5.3088803088803073E-2</v>
      </c>
      <c r="AF28" s="119"/>
      <c r="AG28" s="120"/>
      <c r="AH28" s="120"/>
      <c r="AI28" s="120" t="str">
        <f>"     " &amp; TEXT(AE28,"#0.00%") &amp; " "</f>
        <v xml:space="preserve">     5.31% </v>
      </c>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t="str">
        <f>"      " &amp; "1단계 시스템 개발" &amp; " " &amp; IF(P28="","",TEXT(P28,"M/D-")) &amp; IF(Q28="","",TEXT(Q28,"M/D")) &amp; " "</f>
        <v xml:space="preserve">      1단계 시스템 개발 7/6-1/29 </v>
      </c>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row>
    <row r="29" spans="1:85" ht="12" customHeight="1" outlineLevel="1">
      <c r="A29" s="101"/>
      <c r="B29" s="101" t="s">
        <v>1392</v>
      </c>
      <c r="C29" s="101">
        <v>2</v>
      </c>
      <c r="D29" s="117" t="s">
        <v>1494</v>
      </c>
      <c r="E29" s="102"/>
      <c r="F29" s="102" t="s">
        <v>1354</v>
      </c>
      <c r="G29" s="102"/>
      <c r="H29" s="102"/>
      <c r="I29" s="102"/>
      <c r="J29" s="102"/>
      <c r="K29" s="102"/>
      <c r="L29" s="102"/>
      <c r="M29" s="102"/>
      <c r="N29" s="102"/>
      <c r="O29" s="234"/>
      <c r="P29" s="103">
        <v>46216</v>
      </c>
      <c r="Q29" s="103">
        <v>46276</v>
      </c>
      <c r="R29" s="102"/>
      <c r="S29" s="104">
        <v>34</v>
      </c>
      <c r="T29" s="104">
        <v>24</v>
      </c>
      <c r="U29" s="104">
        <v>43</v>
      </c>
      <c r="V29" s="104">
        <v>27</v>
      </c>
      <c r="W29" s="103"/>
      <c r="X29" s="103"/>
      <c r="Y29" s="105">
        <v>0</v>
      </c>
      <c r="Z29" s="106">
        <v>0</v>
      </c>
      <c r="AA29" s="104"/>
      <c r="AB29" s="102"/>
      <c r="AC29" s="102"/>
      <c r="AD29" s="116">
        <v>0.70588235294117652</v>
      </c>
      <c r="AE29" s="207">
        <v>0.70588235294117652</v>
      </c>
      <c r="AF29" s="119"/>
      <c r="AG29" s="120"/>
      <c r="AH29" s="120"/>
      <c r="AI29" s="120"/>
      <c r="AJ29" s="120"/>
      <c r="AK29" s="120"/>
      <c r="AL29" s="120"/>
      <c r="AM29" s="120"/>
      <c r="AN29" s="120"/>
      <c r="AO29" s="120" t="str">
        <f>"  " &amp; TEXT(AE29,"#0.00%") &amp; " " &amp; "분석" &amp; " " &amp; IF(P29="","",TEXT(P29,"M/D-")) &amp; IF(Q29="","",TEXT(Q29,"M/D")) &amp; " "</f>
        <v xml:space="preserve">  70.59% 분석 7/13-9/11 </v>
      </c>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row>
    <row r="30" spans="1:85" ht="12" customHeight="1" outlineLevel="2">
      <c r="A30" s="101"/>
      <c r="B30" s="101"/>
      <c r="C30" s="101">
        <v>3</v>
      </c>
      <c r="D30" s="117" t="s">
        <v>1458</v>
      </c>
      <c r="E30" s="102"/>
      <c r="F30" s="102"/>
      <c r="G30" s="236" t="s">
        <v>1816</v>
      </c>
      <c r="H30" s="236"/>
      <c r="I30" s="236"/>
      <c r="J30" s="236"/>
      <c r="K30" s="236"/>
      <c r="L30" s="236"/>
      <c r="M30" s="236"/>
      <c r="N30" s="236"/>
      <c r="O30" s="234"/>
      <c r="P30" s="103">
        <v>46216</v>
      </c>
      <c r="Q30" s="235">
        <v>46262</v>
      </c>
      <c r="R30" s="102"/>
      <c r="S30" s="104">
        <v>24</v>
      </c>
      <c r="T30" s="104">
        <v>24</v>
      </c>
      <c r="U30" s="104">
        <v>24</v>
      </c>
      <c r="V30" s="104">
        <v>24</v>
      </c>
      <c r="W30" s="103">
        <v>46093</v>
      </c>
      <c r="X30" s="103">
        <v>46111</v>
      </c>
      <c r="Y30" s="105">
        <v>13</v>
      </c>
      <c r="Z30" s="106">
        <v>13</v>
      </c>
      <c r="AA30" s="104">
        <v>3</v>
      </c>
      <c r="AB30" s="102"/>
      <c r="AC30" s="102"/>
      <c r="AD30" s="116">
        <v>1</v>
      </c>
      <c r="AE30" s="231">
        <v>1</v>
      </c>
      <c r="AF30" s="119"/>
      <c r="AG30" s="120"/>
      <c r="AH30" s="120"/>
      <c r="AI30" s="120"/>
      <c r="AJ30" s="120"/>
      <c r="AK30" s="120"/>
      <c r="AL30" s="120"/>
      <c r="AM30" s="120" t="str">
        <f>"      " &amp; TEXT(AE30,"#0.00%") &amp; " " &amp; "요구사항정의" &amp; " " &amp; IF(P30="","",TEXT(P30,"M/D-")) &amp; IF(Q30="","",TEXT(Q30,"M/D")) &amp; " "</f>
        <v xml:space="preserve">      100.00% 요구사항정의 7/13-8/28 </v>
      </c>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row>
    <row r="31" spans="1:85" ht="12" customHeight="1" outlineLevel="2">
      <c r="A31" s="101"/>
      <c r="B31" s="101" t="s">
        <v>1392</v>
      </c>
      <c r="C31" s="101">
        <v>3</v>
      </c>
      <c r="D31" s="117" t="s">
        <v>1459</v>
      </c>
      <c r="E31" s="102"/>
      <c r="F31" s="102"/>
      <c r="G31" s="102" t="s">
        <v>1358</v>
      </c>
      <c r="H31" s="102"/>
      <c r="I31" s="102"/>
      <c r="J31" s="102"/>
      <c r="K31" s="102"/>
      <c r="L31" s="102"/>
      <c r="M31" s="102"/>
      <c r="N31" s="102"/>
      <c r="O31" s="234"/>
      <c r="P31" s="103">
        <v>46265</v>
      </c>
      <c r="Q31" s="103">
        <v>46276</v>
      </c>
      <c r="R31" s="102"/>
      <c r="S31" s="104">
        <v>10</v>
      </c>
      <c r="T31" s="104">
        <v>0</v>
      </c>
      <c r="U31" s="104">
        <v>10</v>
      </c>
      <c r="V31" s="104">
        <v>0</v>
      </c>
      <c r="W31" s="103"/>
      <c r="X31" s="103"/>
      <c r="Y31" s="105">
        <v>0</v>
      </c>
      <c r="Z31" s="106">
        <v>0</v>
      </c>
      <c r="AA31" s="104"/>
      <c r="AB31" s="102"/>
      <c r="AC31" s="102"/>
      <c r="AD31" s="116">
        <v>0</v>
      </c>
      <c r="AE31" s="207">
        <v>0</v>
      </c>
      <c r="AF31" s="119"/>
      <c r="AG31" s="120"/>
      <c r="AH31" s="120"/>
      <c r="AI31" s="120"/>
      <c r="AJ31" s="120"/>
      <c r="AK31" s="120"/>
      <c r="AL31" s="120"/>
      <c r="AM31" s="120"/>
      <c r="AN31" s="120"/>
      <c r="AO31" s="120"/>
      <c r="AP31" s="120" t="str">
        <f>" " &amp; TEXT(AE31,"#0.00%") &amp; " " &amp; "논리모델구축" &amp; " " &amp; IF(P31="","",TEXT(P31,"M/D-")) &amp; IF(Q31="","",TEXT(Q31,"M/D")) &amp; " "</f>
        <v xml:space="preserve"> 0.00% 논리모델구축 8/31-9/11 </v>
      </c>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row>
    <row r="32" spans="1:85" ht="12" customHeight="1" outlineLevel="3">
      <c r="A32" s="101"/>
      <c r="B32" s="101"/>
      <c r="C32" s="101">
        <v>4</v>
      </c>
      <c r="D32" s="117" t="s">
        <v>1460</v>
      </c>
      <c r="E32" s="102"/>
      <c r="F32" s="102"/>
      <c r="G32" s="102"/>
      <c r="H32" s="102" t="s">
        <v>1683</v>
      </c>
      <c r="I32" s="102"/>
      <c r="J32" s="102"/>
      <c r="K32" s="102"/>
      <c r="L32" s="102"/>
      <c r="M32" s="102"/>
      <c r="N32" s="102"/>
      <c r="O32" s="234"/>
      <c r="P32" s="103">
        <v>46265</v>
      </c>
      <c r="Q32" s="103">
        <v>46269</v>
      </c>
      <c r="R32" s="102"/>
      <c r="S32" s="104">
        <v>5</v>
      </c>
      <c r="T32" s="104">
        <v>0</v>
      </c>
      <c r="U32" s="104">
        <v>5</v>
      </c>
      <c r="V32" s="104">
        <v>0</v>
      </c>
      <c r="W32" s="103"/>
      <c r="X32" s="103"/>
      <c r="Y32" s="105"/>
      <c r="Z32" s="106">
        <v>0</v>
      </c>
      <c r="AA32" s="104"/>
      <c r="AB32" s="102"/>
      <c r="AC32" s="102"/>
      <c r="AD32" s="116">
        <v>0</v>
      </c>
      <c r="AE32" s="198">
        <v>0</v>
      </c>
      <c r="AF32" s="119"/>
      <c r="AG32" s="120"/>
      <c r="AH32" s="120"/>
      <c r="AI32" s="120"/>
      <c r="AJ32" s="120"/>
      <c r="AK32" s="120"/>
      <c r="AL32" s="120"/>
      <c r="AM32" s="120"/>
      <c r="AN32" s="120"/>
      <c r="AO32" s="120"/>
      <c r="AP32" s="120" t="str">
        <f>" " &amp; TEXT(AE32,"#0.00%") &amp; " " &amp; "현행 DB 수집/분석" &amp; " " &amp; IF(P32="","",TEXT(P32,"M/D-")) &amp; IF(Q32="","",TEXT(Q32,"M/D")) &amp; " "</f>
        <v xml:space="preserve"> 0.00% 현행 DB 수집/분석 8/31-9/4 </v>
      </c>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row>
    <row r="33" spans="1:85" ht="12" customHeight="1" outlineLevel="3">
      <c r="A33" s="101"/>
      <c r="B33" s="101"/>
      <c r="C33" s="101">
        <v>4</v>
      </c>
      <c r="D33" s="117" t="s">
        <v>1684</v>
      </c>
      <c r="E33" s="102"/>
      <c r="F33" s="102"/>
      <c r="G33" s="102"/>
      <c r="H33" s="102" t="s">
        <v>1461</v>
      </c>
      <c r="I33" s="102"/>
      <c r="J33" s="102"/>
      <c r="K33" s="102"/>
      <c r="L33" s="102"/>
      <c r="M33" s="102"/>
      <c r="N33" s="102"/>
      <c r="O33" s="234"/>
      <c r="P33" s="103">
        <v>46272</v>
      </c>
      <c r="Q33" s="103">
        <v>46276</v>
      </c>
      <c r="R33" s="102"/>
      <c r="S33" s="104">
        <v>5</v>
      </c>
      <c r="T33" s="104">
        <v>0</v>
      </c>
      <c r="U33" s="104">
        <v>5</v>
      </c>
      <c r="V33" s="104">
        <v>0</v>
      </c>
      <c r="W33" s="103">
        <v>46107</v>
      </c>
      <c r="X33" s="103"/>
      <c r="Y33" s="105">
        <v>-32929</v>
      </c>
      <c r="Z33" s="106">
        <v>0</v>
      </c>
      <c r="AA33" s="104">
        <v>1</v>
      </c>
      <c r="AB33" s="102"/>
      <c r="AC33" s="102"/>
      <c r="AD33" s="116">
        <v>0</v>
      </c>
      <c r="AE33" s="198">
        <v>0</v>
      </c>
      <c r="AF33" s="119"/>
      <c r="AG33" s="120"/>
      <c r="AH33" s="120"/>
      <c r="AI33" s="120"/>
      <c r="AJ33" s="120"/>
      <c r="AK33" s="120"/>
      <c r="AL33" s="120"/>
      <c r="AM33" s="120"/>
      <c r="AN33" s="120"/>
      <c r="AO33" s="120"/>
      <c r="AP33" s="120"/>
      <c r="AQ33" s="120" t="str">
        <f>" " &amp; TEXT(AE33,"#0.00%") &amp; " " &amp; "데이터모델링" &amp; " " &amp; IF(P33="","",TEXT(P33,"M/D-")) &amp; IF(Q33="","",TEXT(Q33,"M/D")) &amp; " "</f>
        <v xml:space="preserve"> 0.00% 데이터모델링 9/7-9/11 </v>
      </c>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row>
    <row r="34" spans="1:85" ht="12" customHeight="1" outlineLevel="1">
      <c r="A34" s="101"/>
      <c r="B34" s="101" t="s">
        <v>1392</v>
      </c>
      <c r="C34" s="101">
        <v>2</v>
      </c>
      <c r="D34" s="117" t="s">
        <v>1495</v>
      </c>
      <c r="E34" s="102"/>
      <c r="F34" s="102" t="s">
        <v>1359</v>
      </c>
      <c r="G34" s="102"/>
      <c r="H34" s="102"/>
      <c r="I34" s="102"/>
      <c r="J34" s="102"/>
      <c r="K34" s="102"/>
      <c r="L34" s="102"/>
      <c r="M34" s="102"/>
      <c r="N34" s="102"/>
      <c r="O34" s="234"/>
      <c r="P34" s="103">
        <v>46209</v>
      </c>
      <c r="Q34" s="103">
        <v>46374</v>
      </c>
      <c r="R34" s="102"/>
      <c r="S34" s="104">
        <v>383</v>
      </c>
      <c r="T34" s="104">
        <v>31</v>
      </c>
      <c r="U34" s="104">
        <v>114</v>
      </c>
      <c r="V34" s="104">
        <v>32</v>
      </c>
      <c r="W34" s="103"/>
      <c r="X34" s="103"/>
      <c r="Y34" s="105">
        <v>0</v>
      </c>
      <c r="Z34" s="106">
        <v>0</v>
      </c>
      <c r="AA34" s="104"/>
      <c r="AB34" s="102"/>
      <c r="AC34" s="102"/>
      <c r="AD34" s="116">
        <v>8.0939947780678853E-2</v>
      </c>
      <c r="AE34" s="207">
        <v>8.0939947780678811E-2</v>
      </c>
      <c r="AF34" s="119"/>
      <c r="AG34" s="120"/>
      <c r="AH34" s="120"/>
      <c r="AI34" s="120"/>
      <c r="AJ34" s="120" t="str">
        <f>"" &amp; TEXT(AE34,"#0.00%") &amp; " "</f>
        <v xml:space="preserve">8.09% </v>
      </c>
      <c r="AK34" s="120"/>
      <c r="AL34" s="120"/>
      <c r="AM34" s="120"/>
      <c r="AN34" s="120"/>
      <c r="AO34" s="120"/>
      <c r="AP34" s="120"/>
      <c r="AQ34" s="120"/>
      <c r="AR34" s="120"/>
      <c r="AS34" s="120"/>
      <c r="AT34" s="120"/>
      <c r="AU34" s="120"/>
      <c r="AV34" s="120"/>
      <c r="AW34" s="120"/>
      <c r="AX34" s="120"/>
      <c r="AY34" s="120"/>
      <c r="AZ34" s="120"/>
      <c r="BA34" s="120"/>
      <c r="BB34" s="120"/>
      <c r="BC34" s="120"/>
      <c r="BD34" s="120"/>
      <c r="BE34" s="120" t="str">
        <f>"      " &amp; "설계" &amp; " " &amp; IF(P34="","",TEXT(P34,"M/D-")) &amp; IF(Q34="","",TEXT(Q34,"M/D")) &amp; " "</f>
        <v xml:space="preserve">      설계 7/6-12/18 </v>
      </c>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row>
    <row r="35" spans="1:85" ht="12" customHeight="1" outlineLevel="2">
      <c r="A35" s="101"/>
      <c r="B35" s="101" t="s">
        <v>1392</v>
      </c>
      <c r="C35" s="101">
        <v>3</v>
      </c>
      <c r="D35" s="117" t="s">
        <v>1462</v>
      </c>
      <c r="E35" s="102"/>
      <c r="F35" s="102"/>
      <c r="G35" s="102" t="s">
        <v>1360</v>
      </c>
      <c r="H35" s="102"/>
      <c r="I35" s="102"/>
      <c r="J35" s="102"/>
      <c r="K35" s="102"/>
      <c r="L35" s="102"/>
      <c r="M35" s="102"/>
      <c r="N35" s="102"/>
      <c r="O35" s="234"/>
      <c r="P35" s="103">
        <v>46252</v>
      </c>
      <c r="Q35" s="103">
        <v>46276</v>
      </c>
      <c r="R35" s="102"/>
      <c r="S35" s="104">
        <v>46</v>
      </c>
      <c r="T35" s="104">
        <v>12</v>
      </c>
      <c r="U35" s="104">
        <v>19</v>
      </c>
      <c r="V35" s="104">
        <v>3</v>
      </c>
      <c r="W35" s="103"/>
      <c r="X35" s="103"/>
      <c r="Y35" s="105">
        <v>0</v>
      </c>
      <c r="Z35" s="106">
        <v>0</v>
      </c>
      <c r="AA35" s="104"/>
      <c r="AB35" s="102"/>
      <c r="AC35" s="102"/>
      <c r="AD35" s="116">
        <v>0.2608695652173913</v>
      </c>
      <c r="AE35" s="207">
        <v>0.26086956521739102</v>
      </c>
      <c r="AF35" s="119"/>
      <c r="AG35" s="120"/>
      <c r="AH35" s="120"/>
      <c r="AI35" s="120"/>
      <c r="AJ35" s="120"/>
      <c r="AK35" s="120"/>
      <c r="AL35" s="120"/>
      <c r="AM35" s="120"/>
      <c r="AN35" s="120"/>
      <c r="AO35" s="120" t="str">
        <f>"  " &amp; TEXT(AE35,"#0.00%") &amp; " " &amp; "UI 설계" &amp; " " &amp; IF(P35="","",TEXT(P35,"M/D-")) &amp; IF(Q35="","",TEXT(Q35,"M/D")) &amp; " "</f>
        <v xml:space="preserve">  26.09% UI 설계 8/18-9/11 </v>
      </c>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row>
    <row r="36" spans="1:85" ht="12" customHeight="1" outlineLevel="3">
      <c r="A36" s="101"/>
      <c r="B36" s="101" t="s">
        <v>1392</v>
      </c>
      <c r="C36" s="101">
        <v>4</v>
      </c>
      <c r="D36" s="117" t="s">
        <v>1676</v>
      </c>
      <c r="E36" s="102"/>
      <c r="F36" s="102"/>
      <c r="G36" s="102"/>
      <c r="H36" s="102" t="s">
        <v>1687</v>
      </c>
      <c r="I36" s="102"/>
      <c r="J36" s="102"/>
      <c r="K36" s="102"/>
      <c r="L36" s="102"/>
      <c r="M36" s="102"/>
      <c r="N36" s="102"/>
      <c r="O36" s="234"/>
      <c r="P36" s="103">
        <v>46252</v>
      </c>
      <c r="Q36" s="103">
        <v>46262</v>
      </c>
      <c r="R36" s="102"/>
      <c r="S36" s="104">
        <v>36</v>
      </c>
      <c r="T36" s="104">
        <v>12</v>
      </c>
      <c r="U36" s="104">
        <v>9</v>
      </c>
      <c r="V36" s="104">
        <v>3</v>
      </c>
      <c r="W36" s="103"/>
      <c r="X36" s="103"/>
      <c r="Y36" s="105">
        <v>0</v>
      </c>
      <c r="Z36" s="106">
        <v>0</v>
      </c>
      <c r="AA36" s="104"/>
      <c r="AB36" s="102"/>
      <c r="AC36" s="102"/>
      <c r="AD36" s="116">
        <v>0.33333333333333331</v>
      </c>
      <c r="AE36" s="207">
        <v>0.33333333333333298</v>
      </c>
      <c r="AF36" s="119"/>
      <c r="AG36" s="120"/>
      <c r="AH36" s="120"/>
      <c r="AI36" s="120"/>
      <c r="AJ36" s="120"/>
      <c r="AK36" s="120"/>
      <c r="AL36" s="120"/>
      <c r="AM36" s="120"/>
      <c r="AN36" s="120" t="str">
        <f>"      " &amp; TEXT(AE36,"#0.00%") &amp; " " &amp; "동행맵 APP 설계" &amp; " " &amp; IF(P36="","",TEXT(P36,"M/D-")) &amp; IF(Q36="","",TEXT(Q36,"M/D")) &amp; " "</f>
        <v xml:space="preserve">      33.33% 동행맵 APP 설계 8/18-8/28 </v>
      </c>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row>
    <row r="37" spans="1:85" ht="12" customHeight="1" outlineLevel="4">
      <c r="A37" s="101"/>
      <c r="B37" s="101"/>
      <c r="C37" s="101">
        <v>5</v>
      </c>
      <c r="D37" s="117" t="s">
        <v>1688</v>
      </c>
      <c r="E37" s="102"/>
      <c r="F37" s="102"/>
      <c r="G37" s="102"/>
      <c r="H37" s="102"/>
      <c r="I37" s="102" t="s">
        <v>1692</v>
      </c>
      <c r="J37" s="102"/>
      <c r="K37" s="102"/>
      <c r="L37" s="102"/>
      <c r="M37" s="102"/>
      <c r="N37" s="102"/>
      <c r="O37" s="234"/>
      <c r="P37" s="103">
        <v>46252</v>
      </c>
      <c r="Q37" s="235">
        <v>46282</v>
      </c>
      <c r="R37" s="102"/>
      <c r="S37" s="104">
        <v>9</v>
      </c>
      <c r="T37" s="104">
        <v>3</v>
      </c>
      <c r="U37" s="104">
        <v>9</v>
      </c>
      <c r="V37" s="104">
        <v>3</v>
      </c>
      <c r="W37" s="103"/>
      <c r="X37" s="103"/>
      <c r="Y37" s="105"/>
      <c r="Z37" s="106">
        <v>0</v>
      </c>
      <c r="AA37" s="104"/>
      <c r="AB37" s="102"/>
      <c r="AC37" s="102"/>
      <c r="AD37" s="116">
        <v>0.33333333333333331</v>
      </c>
      <c r="AE37" s="231">
        <v>0.33333333333333298</v>
      </c>
      <c r="AF37" s="119"/>
      <c r="AG37" s="120"/>
      <c r="AH37" s="120"/>
      <c r="AI37" s="120"/>
      <c r="AJ37" s="120"/>
      <c r="AK37" s="120"/>
      <c r="AL37" s="120"/>
      <c r="AM37" s="120"/>
      <c r="AN37" s="120" t="str">
        <f>"      " &amp; TEXT(AE37,"#0.00%") &amp; " " &amp; "APP UI 설계" &amp; " " &amp; IF(P37="","",TEXT(P37,"M/D-")) &amp; IF(Q37="","",TEXT(Q37,"M/D")) &amp; " "</f>
        <v xml:space="preserve">      33.33% APP UI 설계 8/18-9/17 </v>
      </c>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row>
    <row r="38" spans="1:85" ht="12" customHeight="1" outlineLevel="4">
      <c r="A38" s="101"/>
      <c r="B38" s="101"/>
      <c r="C38" s="101">
        <v>5</v>
      </c>
      <c r="D38" s="117" t="s">
        <v>1689</v>
      </c>
      <c r="E38" s="102"/>
      <c r="F38" s="102"/>
      <c r="G38" s="102"/>
      <c r="H38" s="102"/>
      <c r="I38" s="102" t="s">
        <v>1693</v>
      </c>
      <c r="J38" s="102"/>
      <c r="K38" s="102"/>
      <c r="L38" s="102"/>
      <c r="M38" s="102"/>
      <c r="N38" s="102"/>
      <c r="O38" s="234"/>
      <c r="P38" s="103">
        <v>46252</v>
      </c>
      <c r="Q38" s="103">
        <v>46262</v>
      </c>
      <c r="R38" s="102"/>
      <c r="S38" s="104">
        <v>9</v>
      </c>
      <c r="T38" s="104">
        <v>3</v>
      </c>
      <c r="U38" s="104">
        <v>9</v>
      </c>
      <c r="V38" s="104">
        <v>3</v>
      </c>
      <c r="W38" s="103"/>
      <c r="X38" s="103"/>
      <c r="Y38" s="105"/>
      <c r="Z38" s="106">
        <v>0</v>
      </c>
      <c r="AA38" s="104"/>
      <c r="AB38" s="102"/>
      <c r="AC38" s="102"/>
      <c r="AD38" s="116">
        <v>0.33333333333333331</v>
      </c>
      <c r="AE38" s="231">
        <v>0.33333333333333298</v>
      </c>
      <c r="AF38" s="119"/>
      <c r="AG38" s="120"/>
      <c r="AH38" s="120"/>
      <c r="AI38" s="120"/>
      <c r="AJ38" s="120"/>
      <c r="AK38" s="120"/>
      <c r="AL38" s="120"/>
      <c r="AM38" s="120"/>
      <c r="AN38" s="120" t="str">
        <f>"      " &amp; TEXT(AE38,"#0.00%") &amp; " " &amp; "교통약자 도보 내비게이션 UI 설계" &amp; " " &amp; IF(P38="","",TEXT(P38,"M/D-")) &amp; IF(Q38="","",TEXT(Q38,"M/D")) &amp; " "</f>
        <v xml:space="preserve">      33.33% 교통약자 도보 내비게이션 UI 설계 8/18-8/28 </v>
      </c>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row>
    <row r="39" spans="1:85" ht="12" customHeight="1" outlineLevel="4">
      <c r="A39" s="101"/>
      <c r="B39" s="101"/>
      <c r="C39" s="101">
        <v>5</v>
      </c>
      <c r="D39" s="117" t="s">
        <v>1690</v>
      </c>
      <c r="E39" s="102"/>
      <c r="F39" s="102"/>
      <c r="G39" s="102"/>
      <c r="H39" s="102"/>
      <c r="I39" s="236" t="s">
        <v>1814</v>
      </c>
      <c r="J39" s="236"/>
      <c r="K39" s="236"/>
      <c r="L39" s="236"/>
      <c r="M39" s="236"/>
      <c r="N39" s="236"/>
      <c r="O39" s="234"/>
      <c r="P39" s="103">
        <v>46252</v>
      </c>
      <c r="Q39" s="235">
        <v>46272</v>
      </c>
      <c r="R39" s="102"/>
      <c r="S39" s="104">
        <v>9</v>
      </c>
      <c r="T39" s="104">
        <v>3</v>
      </c>
      <c r="U39" s="104">
        <v>9</v>
      </c>
      <c r="V39" s="104">
        <v>3</v>
      </c>
      <c r="W39" s="103"/>
      <c r="X39" s="103"/>
      <c r="Y39" s="105"/>
      <c r="Z39" s="106">
        <v>0</v>
      </c>
      <c r="AA39" s="104"/>
      <c r="AB39" s="102"/>
      <c r="AC39" s="102"/>
      <c r="AD39" s="116">
        <v>0.33333333333333331</v>
      </c>
      <c r="AE39" s="231">
        <v>0.33333333333333298</v>
      </c>
      <c r="AF39" s="119"/>
      <c r="AG39" s="120"/>
      <c r="AH39" s="120"/>
      <c r="AI39" s="120"/>
      <c r="AJ39" s="120"/>
      <c r="AK39" s="120"/>
      <c r="AL39" s="120"/>
      <c r="AM39" s="120"/>
      <c r="AN39" s="120" t="str">
        <f>"      " &amp; TEXT(AE39,"#0.00%") &amp; " " &amp; "대중교통 내비게이션 UI 설계" &amp; " " &amp; IF(P39="","",TEXT(P39,"M/D-")) &amp; IF(Q39="","",TEXT(Q39,"M/D")) &amp; " "</f>
        <v xml:space="preserve">      33.33% 대중교통 내비게이션 UI 설계 8/18-9/7 </v>
      </c>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row>
    <row r="40" spans="1:85" ht="12" customHeight="1" outlineLevel="4">
      <c r="A40" s="101"/>
      <c r="B40" s="101"/>
      <c r="C40" s="101">
        <v>5</v>
      </c>
      <c r="D40" s="117" t="s">
        <v>1691</v>
      </c>
      <c r="E40" s="102"/>
      <c r="F40" s="102"/>
      <c r="G40" s="102"/>
      <c r="H40" s="102"/>
      <c r="I40" s="102" t="s">
        <v>1694</v>
      </c>
      <c r="J40" s="102"/>
      <c r="K40" s="102"/>
      <c r="L40" s="102"/>
      <c r="M40" s="102"/>
      <c r="N40" s="102"/>
      <c r="O40" s="234"/>
      <c r="P40" s="103">
        <v>46252</v>
      </c>
      <c r="Q40" s="235">
        <v>46267</v>
      </c>
      <c r="R40" s="102"/>
      <c r="S40" s="104">
        <v>9</v>
      </c>
      <c r="T40" s="104">
        <v>3</v>
      </c>
      <c r="U40" s="104">
        <v>9</v>
      </c>
      <c r="V40" s="104">
        <v>3</v>
      </c>
      <c r="W40" s="103"/>
      <c r="X40" s="103"/>
      <c r="Y40" s="105"/>
      <c r="Z40" s="106">
        <v>0</v>
      </c>
      <c r="AA40" s="104"/>
      <c r="AB40" s="102"/>
      <c r="AC40" s="102"/>
      <c r="AD40" s="116">
        <v>0.33333333333333331</v>
      </c>
      <c r="AE40" s="231">
        <v>0.33333333333333298</v>
      </c>
      <c r="AF40" s="119"/>
      <c r="AG40" s="120"/>
      <c r="AH40" s="120"/>
      <c r="AI40" s="120"/>
      <c r="AJ40" s="120"/>
      <c r="AK40" s="120"/>
      <c r="AL40" s="120"/>
      <c r="AM40" s="120"/>
      <c r="AN40" s="120" t="str">
        <f>"      " &amp; TEXT(AE40,"#0.00%") &amp; " " &amp; "지하철 실내 내비게이션 UI 설계" &amp; " " &amp; IF(P40="","",TEXT(P40,"M/D-")) &amp; IF(Q40="","",TEXT(Q40,"M/D")) &amp; " "</f>
        <v xml:space="preserve">      33.33% 지하철 실내 내비게이션 UI 설계 8/18-9/2 </v>
      </c>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row>
    <row r="41" spans="1:85" ht="12" customHeight="1" outlineLevel="3">
      <c r="A41" s="101"/>
      <c r="B41" s="101"/>
      <c r="C41" s="101">
        <v>4</v>
      </c>
      <c r="D41" s="117" t="s">
        <v>1677</v>
      </c>
      <c r="E41" s="102"/>
      <c r="F41" s="102"/>
      <c r="G41" s="102"/>
      <c r="H41" s="102" t="s">
        <v>1673</v>
      </c>
      <c r="I41" s="102"/>
      <c r="J41" s="102"/>
      <c r="K41" s="102"/>
      <c r="L41" s="102"/>
      <c r="M41" s="102"/>
      <c r="N41" s="102"/>
      <c r="O41" s="234"/>
      <c r="P41" s="103">
        <v>46265</v>
      </c>
      <c r="Q41" s="103">
        <v>46276</v>
      </c>
      <c r="R41" s="102"/>
      <c r="S41" s="104">
        <v>10</v>
      </c>
      <c r="T41" s="104">
        <v>0</v>
      </c>
      <c r="U41" s="104">
        <v>10</v>
      </c>
      <c r="V41" s="104">
        <v>0</v>
      </c>
      <c r="W41" s="103"/>
      <c r="X41" s="103"/>
      <c r="Y41" s="105"/>
      <c r="Z41" s="106">
        <v>0</v>
      </c>
      <c r="AA41" s="104"/>
      <c r="AB41" s="102"/>
      <c r="AC41" s="102"/>
      <c r="AD41" s="116">
        <v>0</v>
      </c>
      <c r="AE41" s="198">
        <v>0</v>
      </c>
      <c r="AF41" s="119"/>
      <c r="AG41" s="120"/>
      <c r="AH41" s="120"/>
      <c r="AI41" s="120"/>
      <c r="AJ41" s="120"/>
      <c r="AK41" s="120"/>
      <c r="AL41" s="120"/>
      <c r="AM41" s="120"/>
      <c r="AN41" s="120"/>
      <c r="AO41" s="120"/>
      <c r="AP41" s="120" t="str">
        <f>" " &amp; TEXT(AE41,"#0.00%") &amp; " " &amp; "관리자페이지 UI 설계" &amp; " " &amp; IF(P41="","",TEXT(P41,"M/D-")) &amp; IF(Q41="","",TEXT(Q41,"M/D")) &amp; " "</f>
        <v xml:space="preserve"> 0.00% 관리자페이지 UI 설계 8/31-9/11 </v>
      </c>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row>
    <row r="42" spans="1:85" ht="12" customHeight="1" outlineLevel="2">
      <c r="A42" s="101"/>
      <c r="B42" s="101" t="s">
        <v>1392</v>
      </c>
      <c r="C42" s="101">
        <v>3</v>
      </c>
      <c r="D42" s="117" t="s">
        <v>1463</v>
      </c>
      <c r="E42" s="102"/>
      <c r="F42" s="102"/>
      <c r="G42" s="102" t="s">
        <v>1464</v>
      </c>
      <c r="H42" s="102"/>
      <c r="I42" s="102"/>
      <c r="J42" s="102"/>
      <c r="K42" s="102"/>
      <c r="L42" s="102"/>
      <c r="M42" s="102"/>
      <c r="N42" s="102"/>
      <c r="O42" s="234"/>
      <c r="P42" s="103">
        <v>46209</v>
      </c>
      <c r="Q42" s="103">
        <v>46283</v>
      </c>
      <c r="R42" s="102"/>
      <c r="S42" s="104">
        <v>24</v>
      </c>
      <c r="T42" s="104">
        <v>19</v>
      </c>
      <c r="U42" s="104">
        <v>53</v>
      </c>
      <c r="V42" s="104">
        <v>32</v>
      </c>
      <c r="W42" s="103"/>
      <c r="X42" s="103"/>
      <c r="Y42" s="105">
        <v>0</v>
      </c>
      <c r="Z42" s="106">
        <v>0</v>
      </c>
      <c r="AA42" s="104"/>
      <c r="AB42" s="102"/>
      <c r="AC42" s="102"/>
      <c r="AD42" s="116">
        <v>0.79166666666666663</v>
      </c>
      <c r="AE42" s="207">
        <v>0.79166666666666663</v>
      </c>
      <c r="AF42" s="119"/>
      <c r="AG42" s="120"/>
      <c r="AH42" s="120"/>
      <c r="AI42" s="120"/>
      <c r="AJ42" s="120"/>
      <c r="AK42" s="120"/>
      <c r="AL42" s="120"/>
      <c r="AM42" s="120"/>
      <c r="AN42" s="120"/>
      <c r="AO42" s="120"/>
      <c r="AP42" s="120" t="str">
        <f>"    " &amp; TEXT(AE42,"#0.00%") &amp; " " &amp; "시스템 설계" &amp; " " &amp; IF(P42="","",TEXT(P42,"M/D-")) &amp; IF(Q42="","",TEXT(Q42,"M/D")) &amp; " "</f>
        <v xml:space="preserve">    79.17% 시스템 설계 7/6-9/18 </v>
      </c>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row>
    <row r="43" spans="1:85" ht="12" customHeight="1" outlineLevel="3">
      <c r="A43" s="101"/>
      <c r="B43" s="101"/>
      <c r="C43" s="101">
        <v>4</v>
      </c>
      <c r="D43" s="117" t="s">
        <v>1465</v>
      </c>
      <c r="E43" s="102"/>
      <c r="F43" s="102"/>
      <c r="G43" s="102"/>
      <c r="H43" s="102" t="s">
        <v>1466</v>
      </c>
      <c r="I43" s="102"/>
      <c r="J43" s="102"/>
      <c r="K43" s="102"/>
      <c r="L43" s="102"/>
      <c r="M43" s="102"/>
      <c r="N43" s="102"/>
      <c r="O43" s="234"/>
      <c r="P43" s="103">
        <v>46209</v>
      </c>
      <c r="Q43" s="103">
        <v>46234</v>
      </c>
      <c r="R43" s="102"/>
      <c r="S43" s="104">
        <v>19</v>
      </c>
      <c r="T43" s="104">
        <v>19</v>
      </c>
      <c r="U43" s="104">
        <v>19</v>
      </c>
      <c r="V43" s="104">
        <v>19</v>
      </c>
      <c r="W43" s="103">
        <v>46107</v>
      </c>
      <c r="X43" s="103">
        <v>46120</v>
      </c>
      <c r="Y43" s="105">
        <v>10</v>
      </c>
      <c r="Z43" s="106">
        <v>10</v>
      </c>
      <c r="AA43" s="104">
        <v>1</v>
      </c>
      <c r="AB43" s="102"/>
      <c r="AC43" s="102"/>
      <c r="AD43" s="116">
        <v>1</v>
      </c>
      <c r="AE43" s="231">
        <v>1</v>
      </c>
      <c r="AF43" s="119"/>
      <c r="AG43" s="120"/>
      <c r="AH43" s="120"/>
      <c r="AI43" s="120"/>
      <c r="AJ43" s="120"/>
      <c r="AK43" s="120" t="str">
        <f>"      " &amp; TEXT(AE43,"#0.00%") &amp; " " &amp; "Architecture설계" &amp; " " &amp; IF(P43="","",TEXT(P43,"M/D-")) &amp; IF(Q43="","",TEXT(Q43,"M/D")) &amp; " "</f>
        <v xml:space="preserve">      100.00% Architecture설계 7/6-7/31 </v>
      </c>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row>
    <row r="44" spans="1:85" ht="12" customHeight="1" outlineLevel="3">
      <c r="A44" s="101"/>
      <c r="B44" s="101"/>
      <c r="C44" s="101">
        <v>4</v>
      </c>
      <c r="D44" s="117" t="s">
        <v>1467</v>
      </c>
      <c r="E44" s="102"/>
      <c r="F44" s="102"/>
      <c r="G44" s="102"/>
      <c r="H44" s="102" t="s">
        <v>1361</v>
      </c>
      <c r="I44" s="102"/>
      <c r="J44" s="102"/>
      <c r="K44" s="102"/>
      <c r="L44" s="102"/>
      <c r="M44" s="102"/>
      <c r="N44" s="102"/>
      <c r="O44" s="234"/>
      <c r="P44" s="103">
        <v>46279</v>
      </c>
      <c r="Q44" s="103">
        <v>46283</v>
      </c>
      <c r="R44" s="102"/>
      <c r="S44" s="104">
        <v>5</v>
      </c>
      <c r="T44" s="104">
        <v>0</v>
      </c>
      <c r="U44" s="104">
        <v>5</v>
      </c>
      <c r="V44" s="104">
        <v>0</v>
      </c>
      <c r="W44" s="103">
        <v>46114</v>
      </c>
      <c r="X44" s="103">
        <v>46125</v>
      </c>
      <c r="Y44" s="105">
        <v>8</v>
      </c>
      <c r="Z44" s="106">
        <v>8</v>
      </c>
      <c r="AA44" s="104">
        <v>1</v>
      </c>
      <c r="AB44" s="102"/>
      <c r="AC44" s="102"/>
      <c r="AD44" s="116">
        <v>0</v>
      </c>
      <c r="AE44" s="198">
        <v>0</v>
      </c>
      <c r="AF44" s="119"/>
      <c r="AG44" s="120"/>
      <c r="AH44" s="120"/>
      <c r="AI44" s="120"/>
      <c r="AJ44" s="120"/>
      <c r="AK44" s="120"/>
      <c r="AL44" s="120"/>
      <c r="AM44" s="120"/>
      <c r="AN44" s="120"/>
      <c r="AO44" s="120"/>
      <c r="AP44" s="120"/>
      <c r="AQ44" s="120"/>
      <c r="AR44" s="120" t="str">
        <f>" " &amp; TEXT(AE44,"#0.00%") &amp; " " &amp; "데이터베이스설계" &amp; " " &amp; IF(P44="","",TEXT(P44,"M/D-")) &amp; IF(Q44="","",TEXT(Q44,"M/D")) &amp; " "</f>
        <v xml:space="preserve"> 0.00% 데이터베이스설계 9/14-9/18 </v>
      </c>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row>
    <row r="45" spans="1:85" ht="12" customHeight="1" outlineLevel="2">
      <c r="A45" s="101"/>
      <c r="B45" s="101" t="s">
        <v>1392</v>
      </c>
      <c r="C45" s="101">
        <v>3</v>
      </c>
      <c r="D45" s="117" t="s">
        <v>1468</v>
      </c>
      <c r="E45" s="102"/>
      <c r="F45" s="102"/>
      <c r="G45" s="102" t="s">
        <v>1695</v>
      </c>
      <c r="H45" s="102"/>
      <c r="I45" s="102"/>
      <c r="J45" s="102"/>
      <c r="K45" s="102"/>
      <c r="L45" s="102"/>
      <c r="M45" s="102"/>
      <c r="N45" s="102"/>
      <c r="O45" s="234"/>
      <c r="P45" s="103">
        <v>46293</v>
      </c>
      <c r="Q45" s="103">
        <v>46374</v>
      </c>
      <c r="R45" s="102"/>
      <c r="S45" s="104">
        <v>305</v>
      </c>
      <c r="T45" s="104">
        <v>0</v>
      </c>
      <c r="U45" s="104">
        <v>58</v>
      </c>
      <c r="V45" s="104">
        <v>0</v>
      </c>
      <c r="W45" s="103"/>
      <c r="X45" s="103"/>
      <c r="Y45" s="105">
        <v>0</v>
      </c>
      <c r="Z45" s="106">
        <v>0</v>
      </c>
      <c r="AA45" s="104"/>
      <c r="AB45" s="102"/>
      <c r="AC45" s="102"/>
      <c r="AD45" s="116">
        <v>0</v>
      </c>
      <c r="AE45" s="207">
        <v>0</v>
      </c>
      <c r="AF45" s="119"/>
      <c r="AG45" s="120"/>
      <c r="AH45" s="120"/>
      <c r="AI45" s="120"/>
      <c r="AJ45" s="120"/>
      <c r="AK45" s="120"/>
      <c r="AL45" s="120"/>
      <c r="AM45" s="120"/>
      <c r="AN45" s="120"/>
      <c r="AO45" s="120"/>
      <c r="AP45" s="120"/>
      <c r="AQ45" s="120"/>
      <c r="AR45" s="120"/>
      <c r="AS45" s="120"/>
      <c r="AT45" s="120" t="str">
        <f t="shared" ref="AT45:AT50" si="0">" " &amp; TEXT(AE45,"#0.00%") &amp; " "</f>
        <v xml:space="preserve"> 0.00% </v>
      </c>
      <c r="AU45" s="120"/>
      <c r="AV45" s="120"/>
      <c r="AW45" s="120"/>
      <c r="AX45" s="120"/>
      <c r="AY45" s="120"/>
      <c r="AZ45" s="120"/>
      <c r="BA45" s="120"/>
      <c r="BB45" s="120"/>
      <c r="BC45" s="120"/>
      <c r="BD45" s="120"/>
      <c r="BE45" s="120" t="str">
        <f>"      " &amp; "프로세스 설계" &amp; " " &amp; IF(P45="","",TEXT(P45,"M/D-")) &amp; IF(Q45="","",TEXT(Q45,"M/D")) &amp; " "</f>
        <v xml:space="preserve">      프로세스 설계 9/28-12/18 </v>
      </c>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row>
    <row r="46" spans="1:85" ht="12" customHeight="1" outlineLevel="3">
      <c r="A46" s="101"/>
      <c r="B46" s="101"/>
      <c r="C46" s="101">
        <v>4</v>
      </c>
      <c r="D46" s="117" t="s">
        <v>1699</v>
      </c>
      <c r="E46" s="102"/>
      <c r="F46" s="102"/>
      <c r="G46" s="102"/>
      <c r="H46" s="102" t="s">
        <v>1696</v>
      </c>
      <c r="I46" s="102"/>
      <c r="J46" s="102"/>
      <c r="K46" s="102"/>
      <c r="L46" s="102"/>
      <c r="M46" s="102"/>
      <c r="N46" s="102"/>
      <c r="O46" s="234"/>
      <c r="P46" s="235">
        <v>46279</v>
      </c>
      <c r="Q46" s="103">
        <v>46374</v>
      </c>
      <c r="R46" s="102"/>
      <c r="S46" s="104">
        <v>58</v>
      </c>
      <c r="T46" s="104">
        <v>0</v>
      </c>
      <c r="U46" s="104">
        <v>58</v>
      </c>
      <c r="V46" s="104">
        <v>0</v>
      </c>
      <c r="W46" s="103"/>
      <c r="X46" s="103"/>
      <c r="Y46" s="105"/>
      <c r="Z46" s="106">
        <v>0</v>
      </c>
      <c r="AA46" s="104"/>
      <c r="AB46" s="102"/>
      <c r="AC46" s="102"/>
      <c r="AD46" s="116">
        <v>0</v>
      </c>
      <c r="AE46" s="198">
        <v>0</v>
      </c>
      <c r="AF46" s="119"/>
      <c r="AG46" s="120"/>
      <c r="AH46" s="120"/>
      <c r="AI46" s="120"/>
      <c r="AJ46" s="120"/>
      <c r="AK46" s="120"/>
      <c r="AL46" s="120"/>
      <c r="AM46" s="120"/>
      <c r="AN46" s="120"/>
      <c r="AO46" s="120"/>
      <c r="AP46" s="120"/>
      <c r="AQ46" s="120"/>
      <c r="AR46" s="120"/>
      <c r="AS46" s="120"/>
      <c r="AT46" s="120" t="str">
        <f t="shared" si="0"/>
        <v xml:space="preserve"> 0.00% </v>
      </c>
      <c r="AU46" s="120"/>
      <c r="AV46" s="120"/>
      <c r="AW46" s="120"/>
      <c r="AX46" s="120"/>
      <c r="AY46" s="120"/>
      <c r="AZ46" s="120"/>
      <c r="BA46" s="120"/>
      <c r="BB46" s="120"/>
      <c r="BC46" s="120"/>
      <c r="BD46" s="120"/>
      <c r="BE46" s="120" t="str">
        <f>"      " &amp; "APP 기본 기능 설계" &amp; " " &amp; IF(P46="","",TEXT(P46,"M/D-")) &amp; IF(Q46="","",TEXT(Q46,"M/D")) &amp; " "</f>
        <v xml:space="preserve">      APP 기본 기능 설계 9/14-12/18 </v>
      </c>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row>
    <row r="47" spans="1:85" ht="12" customHeight="1" outlineLevel="3">
      <c r="A47" s="101"/>
      <c r="B47" s="101"/>
      <c r="C47" s="101">
        <v>4</v>
      </c>
      <c r="D47" s="117" t="s">
        <v>1700</v>
      </c>
      <c r="E47" s="102"/>
      <c r="F47" s="102"/>
      <c r="G47" s="102"/>
      <c r="H47" s="102" t="s">
        <v>1685</v>
      </c>
      <c r="I47" s="102"/>
      <c r="J47" s="102"/>
      <c r="K47" s="102"/>
      <c r="L47" s="102"/>
      <c r="M47" s="102"/>
      <c r="N47" s="102"/>
      <c r="O47" s="234"/>
      <c r="P47" s="235">
        <v>46279</v>
      </c>
      <c r="Q47" s="103">
        <v>46374</v>
      </c>
      <c r="R47" s="102"/>
      <c r="S47" s="104">
        <v>58</v>
      </c>
      <c r="T47" s="104">
        <v>0</v>
      </c>
      <c r="U47" s="104">
        <v>58</v>
      </c>
      <c r="V47" s="104">
        <v>0</v>
      </c>
      <c r="W47" s="103"/>
      <c r="X47" s="103"/>
      <c r="Y47" s="105"/>
      <c r="Z47" s="106">
        <v>0</v>
      </c>
      <c r="AA47" s="104"/>
      <c r="AB47" s="102"/>
      <c r="AC47" s="102"/>
      <c r="AD47" s="116">
        <v>0</v>
      </c>
      <c r="AE47" s="198">
        <v>0</v>
      </c>
      <c r="AF47" s="119"/>
      <c r="AG47" s="120"/>
      <c r="AH47" s="120"/>
      <c r="AI47" s="120"/>
      <c r="AJ47" s="120"/>
      <c r="AK47" s="120"/>
      <c r="AL47" s="120"/>
      <c r="AM47" s="120"/>
      <c r="AN47" s="120"/>
      <c r="AO47" s="120"/>
      <c r="AP47" s="120"/>
      <c r="AQ47" s="120"/>
      <c r="AR47" s="120"/>
      <c r="AS47" s="120"/>
      <c r="AT47" s="120" t="str">
        <f t="shared" si="0"/>
        <v xml:space="preserve"> 0.00% </v>
      </c>
      <c r="AU47" s="120"/>
      <c r="AV47" s="120"/>
      <c r="AW47" s="120"/>
      <c r="AX47" s="120"/>
      <c r="AY47" s="120"/>
      <c r="AZ47" s="120"/>
      <c r="BA47" s="120"/>
      <c r="BB47" s="120"/>
      <c r="BC47" s="120"/>
      <c r="BD47" s="120"/>
      <c r="BE47" s="120" t="str">
        <f>"      " &amp; "교통약자 도보 내비게이션 기능 설계" &amp; " " &amp; IF(P47="","",TEXT(P47,"M/D-")) &amp; IF(Q47="","",TEXT(Q47,"M/D")) &amp; " "</f>
        <v xml:space="preserve">      교통약자 도보 내비게이션 기능 설계 9/14-12/18 </v>
      </c>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row>
    <row r="48" spans="1:85" ht="12" customHeight="1" outlineLevel="3">
      <c r="A48" s="101"/>
      <c r="B48" s="101"/>
      <c r="C48" s="101">
        <v>4</v>
      </c>
      <c r="D48" s="117" t="s">
        <v>1701</v>
      </c>
      <c r="E48" s="102"/>
      <c r="F48" s="102"/>
      <c r="G48" s="102"/>
      <c r="H48" s="236" t="s">
        <v>1812</v>
      </c>
      <c r="I48" s="236"/>
      <c r="J48" s="236"/>
      <c r="K48" s="236"/>
      <c r="L48" s="236"/>
      <c r="M48" s="236"/>
      <c r="N48" s="236"/>
      <c r="O48" s="234"/>
      <c r="P48" s="235">
        <v>46279</v>
      </c>
      <c r="Q48" s="103">
        <v>46374</v>
      </c>
      <c r="R48" s="102"/>
      <c r="S48" s="104">
        <v>58</v>
      </c>
      <c r="T48" s="104">
        <v>0</v>
      </c>
      <c r="U48" s="104">
        <v>58</v>
      </c>
      <c r="V48" s="104">
        <v>0</v>
      </c>
      <c r="W48" s="103"/>
      <c r="X48" s="103"/>
      <c r="Y48" s="105"/>
      <c r="Z48" s="106">
        <v>0</v>
      </c>
      <c r="AA48" s="104"/>
      <c r="AB48" s="102"/>
      <c r="AC48" s="102"/>
      <c r="AD48" s="116">
        <v>0</v>
      </c>
      <c r="AE48" s="198">
        <v>0</v>
      </c>
      <c r="AF48" s="119"/>
      <c r="AG48" s="120"/>
      <c r="AH48" s="120"/>
      <c r="AI48" s="120"/>
      <c r="AJ48" s="120"/>
      <c r="AK48" s="120"/>
      <c r="AL48" s="120"/>
      <c r="AM48" s="120"/>
      <c r="AN48" s="120"/>
      <c r="AO48" s="120"/>
      <c r="AP48" s="120"/>
      <c r="AQ48" s="120"/>
      <c r="AR48" s="120"/>
      <c r="AS48" s="120"/>
      <c r="AT48" s="120" t="str">
        <f t="shared" si="0"/>
        <v xml:space="preserve"> 0.00% </v>
      </c>
      <c r="AU48" s="120"/>
      <c r="AV48" s="120"/>
      <c r="AW48" s="120"/>
      <c r="AX48" s="120"/>
      <c r="AY48" s="120"/>
      <c r="AZ48" s="120"/>
      <c r="BA48" s="120"/>
      <c r="BB48" s="120"/>
      <c r="BC48" s="120"/>
      <c r="BD48" s="120"/>
      <c r="BE48" s="120" t="str">
        <f>"      " &amp; "대중교통 내비게이션 UI 기능 설계" &amp; " " &amp; IF(P48="","",TEXT(P48,"M/D-")) &amp; IF(Q48="","",TEXT(Q48,"M/D")) &amp; " "</f>
        <v xml:space="preserve">      대중교통 내비게이션 UI 기능 설계 9/14-12/18 </v>
      </c>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row>
    <row r="49" spans="1:85" ht="12" customHeight="1" outlineLevel="3">
      <c r="A49" s="101"/>
      <c r="B49" s="101"/>
      <c r="C49" s="101">
        <v>4</v>
      </c>
      <c r="D49" s="117" t="s">
        <v>1702</v>
      </c>
      <c r="E49" s="102"/>
      <c r="F49" s="102"/>
      <c r="G49" s="102"/>
      <c r="H49" s="102" t="s">
        <v>1686</v>
      </c>
      <c r="I49" s="102"/>
      <c r="J49" s="102"/>
      <c r="K49" s="102"/>
      <c r="L49" s="102"/>
      <c r="M49" s="102"/>
      <c r="N49" s="102"/>
      <c r="O49" s="234"/>
      <c r="P49" s="235">
        <v>46279</v>
      </c>
      <c r="Q49" s="103">
        <v>46374</v>
      </c>
      <c r="R49" s="102"/>
      <c r="S49" s="104">
        <v>58</v>
      </c>
      <c r="T49" s="104">
        <v>0</v>
      </c>
      <c r="U49" s="104">
        <v>58</v>
      </c>
      <c r="V49" s="104">
        <v>0</v>
      </c>
      <c r="W49" s="103"/>
      <c r="X49" s="103"/>
      <c r="Y49" s="105"/>
      <c r="Z49" s="106">
        <v>0</v>
      </c>
      <c r="AA49" s="104"/>
      <c r="AB49" s="102"/>
      <c r="AC49" s="102"/>
      <c r="AD49" s="116">
        <v>0</v>
      </c>
      <c r="AE49" s="198">
        <v>0</v>
      </c>
      <c r="AF49" s="119"/>
      <c r="AG49" s="120"/>
      <c r="AH49" s="120"/>
      <c r="AI49" s="120"/>
      <c r="AJ49" s="120"/>
      <c r="AK49" s="120"/>
      <c r="AL49" s="120"/>
      <c r="AM49" s="120"/>
      <c r="AN49" s="120"/>
      <c r="AO49" s="120"/>
      <c r="AP49" s="120"/>
      <c r="AQ49" s="120"/>
      <c r="AR49" s="120"/>
      <c r="AS49" s="120"/>
      <c r="AT49" s="120" t="str">
        <f t="shared" si="0"/>
        <v xml:space="preserve"> 0.00% </v>
      </c>
      <c r="AU49" s="120"/>
      <c r="AV49" s="120"/>
      <c r="AW49" s="120"/>
      <c r="AX49" s="120"/>
      <c r="AY49" s="120"/>
      <c r="AZ49" s="120"/>
      <c r="BA49" s="120"/>
      <c r="BB49" s="120"/>
      <c r="BC49" s="120"/>
      <c r="BD49" s="120"/>
      <c r="BE49" s="120" t="str">
        <f>"      " &amp; "지하철 실내 내비게이션 기능 설계" &amp; " " &amp; IF(P49="","",TEXT(P49,"M/D-")) &amp; IF(Q49="","",TEXT(Q49,"M/D")) &amp; " "</f>
        <v xml:space="preserve">      지하철 실내 내비게이션 기능 설계 9/14-12/18 </v>
      </c>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row>
    <row r="50" spans="1:85" ht="12" customHeight="1" outlineLevel="3">
      <c r="A50" s="101"/>
      <c r="B50" s="101"/>
      <c r="C50" s="101">
        <v>4</v>
      </c>
      <c r="D50" s="117" t="s">
        <v>1703</v>
      </c>
      <c r="E50" s="102"/>
      <c r="F50" s="102"/>
      <c r="G50" s="102"/>
      <c r="H50" s="102" t="s">
        <v>1697</v>
      </c>
      <c r="I50" s="102"/>
      <c r="J50" s="102"/>
      <c r="K50" s="102"/>
      <c r="L50" s="102"/>
      <c r="M50" s="102"/>
      <c r="N50" s="102"/>
      <c r="O50" s="234"/>
      <c r="P50" s="103">
        <v>46293</v>
      </c>
      <c r="Q50" s="103">
        <v>46374</v>
      </c>
      <c r="R50" s="102"/>
      <c r="S50" s="104">
        <v>58</v>
      </c>
      <c r="T50" s="104">
        <v>0</v>
      </c>
      <c r="U50" s="104">
        <v>58</v>
      </c>
      <c r="V50" s="104">
        <v>0</v>
      </c>
      <c r="W50" s="103"/>
      <c r="X50" s="103"/>
      <c r="Y50" s="105"/>
      <c r="Z50" s="106">
        <v>0</v>
      </c>
      <c r="AA50" s="104"/>
      <c r="AB50" s="102"/>
      <c r="AC50" s="102"/>
      <c r="AD50" s="116">
        <v>0</v>
      </c>
      <c r="AE50" s="198">
        <v>0</v>
      </c>
      <c r="AF50" s="119"/>
      <c r="AG50" s="120"/>
      <c r="AH50" s="120"/>
      <c r="AI50" s="120"/>
      <c r="AJ50" s="120"/>
      <c r="AK50" s="120"/>
      <c r="AL50" s="120"/>
      <c r="AM50" s="120"/>
      <c r="AN50" s="120"/>
      <c r="AO50" s="120"/>
      <c r="AP50" s="120"/>
      <c r="AQ50" s="120"/>
      <c r="AR50" s="120"/>
      <c r="AS50" s="120"/>
      <c r="AT50" s="120" t="str">
        <f t="shared" si="0"/>
        <v xml:space="preserve"> 0.00% </v>
      </c>
      <c r="AU50" s="120"/>
      <c r="AV50" s="120"/>
      <c r="AW50" s="120"/>
      <c r="AX50" s="120"/>
      <c r="AY50" s="120"/>
      <c r="AZ50" s="120"/>
      <c r="BA50" s="120"/>
      <c r="BB50" s="120"/>
      <c r="BC50" s="120"/>
      <c r="BD50" s="120"/>
      <c r="BE50" s="120" t="str">
        <f>"      " &amp; "관리자페이지 UI 기능 설계" &amp; " " &amp; IF(P50="","",TEXT(P50,"M/D-")) &amp; IF(Q50="","",TEXT(Q50,"M/D")) &amp; " "</f>
        <v xml:space="preserve">      관리자페이지 UI 기능 설계 9/28-12/18 </v>
      </c>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row>
    <row r="51" spans="1:85" ht="12" customHeight="1" outlineLevel="3">
      <c r="A51" s="101"/>
      <c r="B51" s="101"/>
      <c r="C51" s="101">
        <v>4</v>
      </c>
      <c r="D51" s="117" t="s">
        <v>1704</v>
      </c>
      <c r="E51" s="102"/>
      <c r="F51" s="102"/>
      <c r="G51" s="102"/>
      <c r="H51" s="102" t="s">
        <v>1711</v>
      </c>
      <c r="I51" s="102"/>
      <c r="J51" s="102"/>
      <c r="K51" s="102"/>
      <c r="L51" s="102"/>
      <c r="M51" s="102"/>
      <c r="N51" s="102"/>
      <c r="O51" s="234" t="s">
        <v>1698</v>
      </c>
      <c r="P51" s="103">
        <v>46356</v>
      </c>
      <c r="Q51" s="103">
        <v>46374</v>
      </c>
      <c r="R51" s="102"/>
      <c r="S51" s="104">
        <v>15</v>
      </c>
      <c r="T51" s="104">
        <v>0</v>
      </c>
      <c r="U51" s="104">
        <v>15</v>
      </c>
      <c r="V51" s="104">
        <v>0</v>
      </c>
      <c r="W51" s="103"/>
      <c r="X51" s="103"/>
      <c r="Y51" s="105"/>
      <c r="Z51" s="106">
        <v>0</v>
      </c>
      <c r="AA51" s="104"/>
      <c r="AB51" s="102"/>
      <c r="AC51" s="102"/>
      <c r="AD51" s="116">
        <v>0</v>
      </c>
      <c r="AE51" s="198">
        <v>0</v>
      </c>
      <c r="AF51" s="119"/>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t="str">
        <f>" " &amp; TEXT(AE51,"#0.00%") &amp; " " &amp; "버스 예약, 승차 및 하차 안내 기능 설계" &amp; " " &amp; IF(P51="","",TEXT(P51,"M/D-")) &amp; IF(Q51="","",TEXT(Q51,"M/D")) &amp; " "</f>
        <v xml:space="preserve"> 0.00% 버스 예약, 승차 및 하차 안내 기능 설계 11/30-12/18 </v>
      </c>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row>
    <row r="52" spans="1:85" ht="12" customHeight="1" outlineLevel="2">
      <c r="A52" s="101"/>
      <c r="B52" s="101"/>
      <c r="C52" s="101">
        <v>3</v>
      </c>
      <c r="D52" s="117" t="s">
        <v>1705</v>
      </c>
      <c r="E52" s="102"/>
      <c r="F52" s="102"/>
      <c r="G52" s="102" t="s">
        <v>1362</v>
      </c>
      <c r="H52" s="102"/>
      <c r="I52" s="102"/>
      <c r="J52" s="102"/>
      <c r="K52" s="102"/>
      <c r="L52" s="102"/>
      <c r="M52" s="102"/>
      <c r="N52" s="102"/>
      <c r="O52" s="234"/>
      <c r="P52" s="103">
        <v>46279</v>
      </c>
      <c r="Q52" s="103">
        <v>46290</v>
      </c>
      <c r="R52" s="102"/>
      <c r="S52" s="104">
        <v>8</v>
      </c>
      <c r="T52" s="104">
        <v>0</v>
      </c>
      <c r="U52" s="104">
        <v>8</v>
      </c>
      <c r="V52" s="104">
        <v>0</v>
      </c>
      <c r="W52" s="103"/>
      <c r="X52" s="103"/>
      <c r="Y52" s="105"/>
      <c r="Z52" s="106">
        <v>0</v>
      </c>
      <c r="AA52" s="104">
        <v>1</v>
      </c>
      <c r="AB52" s="102"/>
      <c r="AC52" s="102"/>
      <c r="AD52" s="116">
        <v>0</v>
      </c>
      <c r="AE52" s="198">
        <v>0</v>
      </c>
      <c r="AF52" s="119"/>
      <c r="AG52" s="120"/>
      <c r="AH52" s="120"/>
      <c r="AI52" s="120"/>
      <c r="AJ52" s="120"/>
      <c r="AK52" s="120"/>
      <c r="AL52" s="120"/>
      <c r="AM52" s="120"/>
      <c r="AN52" s="120"/>
      <c r="AO52" s="120"/>
      <c r="AP52" s="120"/>
      <c r="AQ52" s="120"/>
      <c r="AR52" s="120" t="str">
        <f>" " &amp; TEXT(AE52,"#0.00%") &amp; " " &amp; "테스트 설계" &amp; " " &amp; IF(P52="","",TEXT(P52,"M/D-")) &amp; IF(Q52="","",TEXT(Q52,"M/D")) &amp; " "</f>
        <v xml:space="preserve"> 0.00% 테스트 설계 9/14-9/25 </v>
      </c>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row>
    <row r="53" spans="1:85" ht="12" customHeight="1" outlineLevel="1">
      <c r="A53" s="101"/>
      <c r="B53" s="101" t="s">
        <v>1392</v>
      </c>
      <c r="C53" s="101">
        <v>2</v>
      </c>
      <c r="D53" s="117" t="s">
        <v>1496</v>
      </c>
      <c r="E53" s="102"/>
      <c r="F53" s="102" t="s">
        <v>1469</v>
      </c>
      <c r="G53" s="102"/>
      <c r="H53" s="102"/>
      <c r="I53" s="102"/>
      <c r="J53" s="102"/>
      <c r="K53" s="102"/>
      <c r="L53" s="102"/>
      <c r="M53" s="102"/>
      <c r="N53" s="102"/>
      <c r="O53" s="234"/>
      <c r="P53" s="103">
        <v>46293</v>
      </c>
      <c r="Q53" s="103">
        <v>46416</v>
      </c>
      <c r="R53" s="102"/>
      <c r="S53" s="104">
        <v>614</v>
      </c>
      <c r="T53" s="104">
        <v>0</v>
      </c>
      <c r="U53" s="104">
        <v>86</v>
      </c>
      <c r="V53" s="104">
        <v>0</v>
      </c>
      <c r="W53" s="103"/>
      <c r="X53" s="103"/>
      <c r="Y53" s="105">
        <v>0</v>
      </c>
      <c r="Z53" s="106">
        <v>0</v>
      </c>
      <c r="AA53" s="104"/>
      <c r="AB53" s="102"/>
      <c r="AC53" s="102"/>
      <c r="AD53" s="116">
        <v>0</v>
      </c>
      <c r="AE53" s="207">
        <v>0</v>
      </c>
      <c r="AF53" s="119"/>
      <c r="AG53" s="120"/>
      <c r="AH53" s="120"/>
      <c r="AI53" s="120"/>
      <c r="AJ53" s="120"/>
      <c r="AK53" s="120"/>
      <c r="AL53" s="120"/>
      <c r="AM53" s="120"/>
      <c r="AN53" s="120"/>
      <c r="AO53" s="120"/>
      <c r="AP53" s="120"/>
      <c r="AQ53" s="120"/>
      <c r="AR53" s="120"/>
      <c r="AS53" s="120"/>
      <c r="AT53" s="120" t="str">
        <f>" " &amp; TEXT(AE53,"#0.00%") &amp; " "</f>
        <v xml:space="preserve"> 0.00% </v>
      </c>
      <c r="AU53" s="120"/>
      <c r="AV53" s="120"/>
      <c r="AW53" s="120"/>
      <c r="AX53" s="120"/>
      <c r="AY53" s="120"/>
      <c r="AZ53" s="120"/>
      <c r="BA53" s="120"/>
      <c r="BB53" s="120"/>
      <c r="BC53" s="120"/>
      <c r="BD53" s="120"/>
      <c r="BE53" s="120"/>
      <c r="BF53" s="120"/>
      <c r="BG53" s="120"/>
      <c r="BH53" s="120"/>
      <c r="BI53" s="120"/>
      <c r="BJ53" s="120"/>
      <c r="BK53" s="120" t="str">
        <f>"      " &amp; "개발" &amp; " " &amp; IF(P53="","",TEXT(P53,"M/D-")) &amp; IF(Q53="","",TEXT(Q53,"M/D")) &amp; " "</f>
        <v xml:space="preserve">      개발 9/28-1/29 </v>
      </c>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row>
    <row r="54" spans="1:85" ht="12" customHeight="1" outlineLevel="2">
      <c r="A54" s="101"/>
      <c r="B54" s="101" t="s">
        <v>1392</v>
      </c>
      <c r="C54" s="101">
        <v>3</v>
      </c>
      <c r="D54" s="117" t="s">
        <v>1470</v>
      </c>
      <c r="E54" s="102"/>
      <c r="F54" s="102"/>
      <c r="G54" s="102" t="s">
        <v>1471</v>
      </c>
      <c r="H54" s="102"/>
      <c r="I54" s="102"/>
      <c r="J54" s="102"/>
      <c r="K54" s="102"/>
      <c r="L54" s="102"/>
      <c r="M54" s="102"/>
      <c r="N54" s="102"/>
      <c r="O54" s="234"/>
      <c r="P54" s="103">
        <v>46293</v>
      </c>
      <c r="Q54" s="103">
        <v>46374</v>
      </c>
      <c r="R54" s="102"/>
      <c r="S54" s="104">
        <v>590</v>
      </c>
      <c r="T54" s="104">
        <v>0</v>
      </c>
      <c r="U54" s="104">
        <v>58</v>
      </c>
      <c r="V54" s="104">
        <v>0</v>
      </c>
      <c r="W54" s="103"/>
      <c r="X54" s="103"/>
      <c r="Y54" s="105">
        <v>0</v>
      </c>
      <c r="Z54" s="106">
        <v>0</v>
      </c>
      <c r="AA54" s="104"/>
      <c r="AB54" s="102"/>
      <c r="AC54" s="102"/>
      <c r="AD54" s="116">
        <v>0</v>
      </c>
      <c r="AE54" s="207">
        <v>0</v>
      </c>
      <c r="AF54" s="119"/>
      <c r="AG54" s="120"/>
      <c r="AH54" s="120"/>
      <c r="AI54" s="120"/>
      <c r="AJ54" s="120"/>
      <c r="AK54" s="120"/>
      <c r="AL54" s="120"/>
      <c r="AM54" s="120"/>
      <c r="AN54" s="120"/>
      <c r="AO54" s="120"/>
      <c r="AP54" s="120"/>
      <c r="AQ54" s="120"/>
      <c r="AR54" s="120"/>
      <c r="AS54" s="120"/>
      <c r="AT54" s="120" t="str">
        <f>" " &amp; TEXT(AE54,"#0.00%") &amp; " "</f>
        <v xml:space="preserve"> 0.00% </v>
      </c>
      <c r="AU54" s="120"/>
      <c r="AV54" s="120"/>
      <c r="AW54" s="120"/>
      <c r="AX54" s="120"/>
      <c r="AY54" s="120"/>
      <c r="AZ54" s="120"/>
      <c r="BA54" s="120"/>
      <c r="BB54" s="120"/>
      <c r="BC54" s="120"/>
      <c r="BD54" s="120"/>
      <c r="BE54" s="120" t="str">
        <f>"      " &amp; "프로그램 개발" &amp; " " &amp; IF(P54="","",TEXT(P54,"M/D-")) &amp; IF(Q54="","",TEXT(Q54,"M/D")) &amp; " "</f>
        <v xml:space="preserve">      프로그램 개발 9/28-12/18 </v>
      </c>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row>
    <row r="55" spans="1:85" ht="12" customHeight="1" outlineLevel="3">
      <c r="A55" s="101"/>
      <c r="B55" s="101"/>
      <c r="C55" s="101">
        <v>4</v>
      </c>
      <c r="D55" s="117" t="s">
        <v>1472</v>
      </c>
      <c r="E55" s="102"/>
      <c r="F55" s="102"/>
      <c r="G55" s="102"/>
      <c r="H55" s="102" t="s">
        <v>1473</v>
      </c>
      <c r="I55" s="102"/>
      <c r="J55" s="102"/>
      <c r="K55" s="102"/>
      <c r="L55" s="102"/>
      <c r="M55" s="102"/>
      <c r="N55" s="102"/>
      <c r="O55" s="234"/>
      <c r="P55" s="103">
        <v>46293</v>
      </c>
      <c r="Q55" s="103">
        <v>46297</v>
      </c>
      <c r="R55" s="102"/>
      <c r="S55" s="104">
        <v>5</v>
      </c>
      <c r="T55" s="104">
        <v>0</v>
      </c>
      <c r="U55" s="104">
        <v>5</v>
      </c>
      <c r="V55" s="104">
        <v>0</v>
      </c>
      <c r="W55" s="103"/>
      <c r="X55" s="103"/>
      <c r="Y55" s="105"/>
      <c r="Z55" s="106">
        <v>0</v>
      </c>
      <c r="AA55" s="104">
        <v>1</v>
      </c>
      <c r="AB55" s="102"/>
      <c r="AC55" s="102"/>
      <c r="AD55" s="116">
        <v>0</v>
      </c>
      <c r="AE55" s="198">
        <v>0</v>
      </c>
      <c r="AF55" s="119"/>
      <c r="AG55" s="120"/>
      <c r="AH55" s="120"/>
      <c r="AI55" s="120"/>
      <c r="AJ55" s="120"/>
      <c r="AK55" s="120"/>
      <c r="AL55" s="120"/>
      <c r="AM55" s="120"/>
      <c r="AN55" s="120"/>
      <c r="AO55" s="120"/>
      <c r="AP55" s="120"/>
      <c r="AQ55" s="120"/>
      <c r="AR55" s="120"/>
      <c r="AS55" s="120"/>
      <c r="AT55" s="120" t="str">
        <f>" " &amp; TEXT(AE55,"#0.00%") &amp; " " &amp; "단위테스트시나리오작성" &amp; " " &amp; IF(P55="","",TEXT(P55,"M/D-")) &amp; IF(Q55="","",TEXT(Q55,"M/D")) &amp; " "</f>
        <v xml:space="preserve"> 0.00% 단위테스트시나리오작성 9/28-10/2 </v>
      </c>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row>
    <row r="56" spans="1:85" ht="12" customHeight="1" outlineLevel="3">
      <c r="A56" s="101"/>
      <c r="B56" s="101" t="s">
        <v>1392</v>
      </c>
      <c r="C56" s="101">
        <v>4</v>
      </c>
      <c r="D56" s="117" t="s">
        <v>1474</v>
      </c>
      <c r="E56" s="102"/>
      <c r="F56" s="102"/>
      <c r="G56" s="102"/>
      <c r="H56" s="102" t="s">
        <v>1475</v>
      </c>
      <c r="I56" s="102"/>
      <c r="J56" s="102"/>
      <c r="K56" s="102"/>
      <c r="L56" s="102"/>
      <c r="M56" s="102"/>
      <c r="N56" s="102"/>
      <c r="O56" s="234"/>
      <c r="P56" s="103">
        <v>46293</v>
      </c>
      <c r="Q56" s="103">
        <v>46374</v>
      </c>
      <c r="R56" s="102"/>
      <c r="S56" s="104">
        <v>585</v>
      </c>
      <c r="T56" s="104">
        <v>0</v>
      </c>
      <c r="U56" s="104">
        <v>58</v>
      </c>
      <c r="V56" s="104">
        <v>0</v>
      </c>
      <c r="W56" s="103"/>
      <c r="X56" s="103"/>
      <c r="Y56" s="105">
        <v>0</v>
      </c>
      <c r="Z56" s="106">
        <v>0</v>
      </c>
      <c r="AA56" s="104"/>
      <c r="AB56" s="102"/>
      <c r="AC56" s="102"/>
      <c r="AD56" s="116">
        <v>0</v>
      </c>
      <c r="AE56" s="207">
        <v>0</v>
      </c>
      <c r="AF56" s="119"/>
      <c r="AG56" s="120"/>
      <c r="AH56" s="120"/>
      <c r="AI56" s="120"/>
      <c r="AJ56" s="120"/>
      <c r="AK56" s="120"/>
      <c r="AL56" s="120"/>
      <c r="AM56" s="120"/>
      <c r="AN56" s="120"/>
      <c r="AO56" s="120"/>
      <c r="AP56" s="120"/>
      <c r="AQ56" s="120"/>
      <c r="AR56" s="120"/>
      <c r="AS56" s="120"/>
      <c r="AT56" s="120" t="str">
        <f>" " &amp; TEXT(AE56,"#0.00%") &amp; " "</f>
        <v xml:space="preserve"> 0.00% </v>
      </c>
      <c r="AU56" s="120"/>
      <c r="AV56" s="120"/>
      <c r="AW56" s="120"/>
      <c r="AX56" s="120"/>
      <c r="AY56" s="120"/>
      <c r="AZ56" s="120"/>
      <c r="BA56" s="120"/>
      <c r="BB56" s="120"/>
      <c r="BC56" s="120"/>
      <c r="BD56" s="120"/>
      <c r="BE56" s="120" t="str">
        <f>"      " &amp; "프로그램코딩 및 단위테스트" &amp; " " &amp; IF(P56="","",TEXT(P56,"M/D-")) &amp; IF(Q56="","",TEXT(Q56,"M/D")) &amp; " "</f>
        <v xml:space="preserve">      프로그램코딩 및 단위테스트 9/28-12/18 </v>
      </c>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row>
    <row r="57" spans="1:85" ht="12" customHeight="1" outlineLevel="4">
      <c r="A57" s="101"/>
      <c r="B57" s="101" t="s">
        <v>1392</v>
      </c>
      <c r="C57" s="101">
        <v>5</v>
      </c>
      <c r="D57" s="117" t="s">
        <v>1476</v>
      </c>
      <c r="E57" s="102"/>
      <c r="F57" s="102"/>
      <c r="G57" s="102"/>
      <c r="H57" s="102"/>
      <c r="I57" s="102" t="s">
        <v>1696</v>
      </c>
      <c r="J57" s="102"/>
      <c r="K57" s="102"/>
      <c r="L57" s="102"/>
      <c r="M57" s="102"/>
      <c r="N57" s="102"/>
      <c r="O57" s="234"/>
      <c r="P57" s="103">
        <v>46293</v>
      </c>
      <c r="Q57" s="103">
        <v>46374</v>
      </c>
      <c r="R57" s="102"/>
      <c r="S57" s="104">
        <v>111</v>
      </c>
      <c r="T57" s="104">
        <v>0</v>
      </c>
      <c r="U57" s="104">
        <v>58</v>
      </c>
      <c r="V57" s="104">
        <v>0</v>
      </c>
      <c r="W57" s="103"/>
      <c r="X57" s="103"/>
      <c r="Y57" s="105">
        <v>0</v>
      </c>
      <c r="Z57" s="106">
        <v>0</v>
      </c>
      <c r="AA57" s="104"/>
      <c r="AB57" s="102"/>
      <c r="AC57" s="102"/>
      <c r="AD57" s="116">
        <v>0</v>
      </c>
      <c r="AE57" s="207">
        <v>0</v>
      </c>
      <c r="AF57" s="119"/>
      <c r="AG57" s="120"/>
      <c r="AH57" s="120"/>
      <c r="AI57" s="120"/>
      <c r="AJ57" s="120"/>
      <c r="AK57" s="120"/>
      <c r="AL57" s="120"/>
      <c r="AM57" s="120"/>
      <c r="AN57" s="120"/>
      <c r="AO57" s="120"/>
      <c r="AP57" s="120"/>
      <c r="AQ57" s="120"/>
      <c r="AR57" s="120"/>
      <c r="AS57" s="120"/>
      <c r="AT57" s="120" t="str">
        <f>" " &amp; TEXT(AE57,"#0.00%") &amp; " "</f>
        <v xml:space="preserve"> 0.00% </v>
      </c>
      <c r="AU57" s="120"/>
      <c r="AV57" s="120"/>
      <c r="AW57" s="120"/>
      <c r="AX57" s="120"/>
      <c r="AY57" s="120"/>
      <c r="AZ57" s="120"/>
      <c r="BA57" s="120"/>
      <c r="BB57" s="120"/>
      <c r="BC57" s="120"/>
      <c r="BD57" s="120"/>
      <c r="BE57" s="120" t="str">
        <f>"      " &amp; "APP 기본 기능 설계" &amp; " " &amp; IF(P57="","",TEXT(P57,"M/D-")) &amp; IF(Q57="","",TEXT(Q57,"M/D")) &amp; " "</f>
        <v xml:space="preserve">      APP 기본 기능 설계 9/28-12/18 </v>
      </c>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row>
    <row r="58" spans="1:85" ht="12" customHeight="1" outlineLevel="5">
      <c r="A58" s="101"/>
      <c r="B58" s="101"/>
      <c r="C58" s="101">
        <v>6</v>
      </c>
      <c r="D58" s="117" t="s">
        <v>1477</v>
      </c>
      <c r="E58" s="102"/>
      <c r="F58" s="102"/>
      <c r="G58" s="102"/>
      <c r="H58" s="102"/>
      <c r="I58" s="102"/>
      <c r="J58" s="102" t="s">
        <v>1707</v>
      </c>
      <c r="K58" s="102"/>
      <c r="L58" s="102"/>
      <c r="M58" s="102"/>
      <c r="N58" s="102"/>
      <c r="O58" s="234"/>
      <c r="P58" s="235">
        <v>46279</v>
      </c>
      <c r="Q58" s="103">
        <v>46374</v>
      </c>
      <c r="R58" s="102"/>
      <c r="S58" s="104">
        <v>58</v>
      </c>
      <c r="T58" s="104">
        <v>0</v>
      </c>
      <c r="U58" s="104">
        <v>58</v>
      </c>
      <c r="V58" s="104">
        <v>0</v>
      </c>
      <c r="W58" s="103"/>
      <c r="X58" s="103"/>
      <c r="Y58" s="105"/>
      <c r="Z58" s="106">
        <v>0</v>
      </c>
      <c r="AA58" s="104">
        <v>1</v>
      </c>
      <c r="AB58" s="102"/>
      <c r="AC58" s="102"/>
      <c r="AD58" s="116">
        <v>0</v>
      </c>
      <c r="AE58" s="198">
        <v>0</v>
      </c>
      <c r="AF58" s="119"/>
      <c r="AG58" s="120"/>
      <c r="AH58" s="120"/>
      <c r="AI58" s="120"/>
      <c r="AJ58" s="120"/>
      <c r="AK58" s="120"/>
      <c r="AL58" s="120"/>
      <c r="AM58" s="120"/>
      <c r="AN58" s="120"/>
      <c r="AO58" s="120"/>
      <c r="AP58" s="120"/>
      <c r="AQ58" s="120"/>
      <c r="AR58" s="120"/>
      <c r="AS58" s="120"/>
      <c r="AT58" s="120" t="str">
        <f>" " &amp; TEXT(AE58,"#0.00%") &amp; " "</f>
        <v xml:space="preserve"> 0.00% </v>
      </c>
      <c r="AU58" s="120"/>
      <c r="AV58" s="120"/>
      <c r="AW58" s="120"/>
      <c r="AX58" s="120"/>
      <c r="AY58" s="120"/>
      <c r="AZ58" s="120"/>
      <c r="BA58" s="120"/>
      <c r="BB58" s="120"/>
      <c r="BC58" s="120"/>
      <c r="BD58" s="120"/>
      <c r="BE58" s="120" t="str">
        <f>"      " &amp; "기능 개발" &amp; " " &amp; IF(P58="","",TEXT(P58,"M/D-")) &amp; IF(Q58="","",TEXT(Q58,"M/D")) &amp; " "</f>
        <v xml:space="preserve">      기능 개발 9/14-12/18 </v>
      </c>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row>
    <row r="59" spans="1:85" ht="12" customHeight="1" outlineLevel="5">
      <c r="A59" s="101"/>
      <c r="B59" s="101"/>
      <c r="C59" s="101">
        <v>6</v>
      </c>
      <c r="D59" s="117" t="s">
        <v>1478</v>
      </c>
      <c r="E59" s="102"/>
      <c r="F59" s="102"/>
      <c r="G59" s="102"/>
      <c r="H59" s="102"/>
      <c r="I59" s="102"/>
      <c r="J59" s="102" t="s">
        <v>1708</v>
      </c>
      <c r="K59" s="102"/>
      <c r="L59" s="102"/>
      <c r="M59" s="102"/>
      <c r="N59" s="102"/>
      <c r="O59" s="234"/>
      <c r="P59" s="103">
        <v>46300</v>
      </c>
      <c r="Q59" s="103">
        <v>46374</v>
      </c>
      <c r="R59" s="102"/>
      <c r="S59" s="104">
        <v>53</v>
      </c>
      <c r="T59" s="104">
        <v>0</v>
      </c>
      <c r="U59" s="104">
        <v>53</v>
      </c>
      <c r="V59" s="104">
        <v>0</v>
      </c>
      <c r="W59" s="103">
        <v>46163</v>
      </c>
      <c r="X59" s="103"/>
      <c r="Y59" s="105">
        <v>-32968</v>
      </c>
      <c r="Z59" s="106">
        <v>0</v>
      </c>
      <c r="AA59" s="104">
        <v>1</v>
      </c>
      <c r="AB59" s="102"/>
      <c r="AC59" s="102"/>
      <c r="AD59" s="116">
        <v>0</v>
      </c>
      <c r="AE59" s="198">
        <v>0</v>
      </c>
      <c r="AF59" s="119"/>
      <c r="AG59" s="120"/>
      <c r="AH59" s="120"/>
      <c r="AI59" s="120"/>
      <c r="AJ59" s="120"/>
      <c r="AK59" s="120"/>
      <c r="AL59" s="120"/>
      <c r="AM59" s="120"/>
      <c r="AN59" s="120"/>
      <c r="AO59" s="120"/>
      <c r="AP59" s="120"/>
      <c r="AQ59" s="120"/>
      <c r="AR59" s="120"/>
      <c r="AS59" s="120"/>
      <c r="AT59" s="120"/>
      <c r="AU59" s="120" t="str">
        <f>" " &amp; TEXT(AE59,"#0.00%") &amp; " "</f>
        <v xml:space="preserve"> 0.00% </v>
      </c>
      <c r="AV59" s="120"/>
      <c r="AW59" s="120"/>
      <c r="AX59" s="120"/>
      <c r="AY59" s="120"/>
      <c r="AZ59" s="120"/>
      <c r="BA59" s="120"/>
      <c r="BB59" s="120"/>
      <c r="BC59" s="120"/>
      <c r="BD59" s="120"/>
      <c r="BE59" s="120" t="str">
        <f>"      " &amp; "단위테스트" &amp; " " &amp; IF(P59="","",TEXT(P59,"M/D-")) &amp; IF(Q59="","",TEXT(Q59,"M/D")) &amp; " "</f>
        <v xml:space="preserve">      단위테스트 10/5-12/18 </v>
      </c>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row>
    <row r="60" spans="1:85" ht="12" customHeight="1" outlineLevel="4">
      <c r="A60" s="101"/>
      <c r="B60" s="101" t="s">
        <v>1392</v>
      </c>
      <c r="C60" s="101">
        <v>5</v>
      </c>
      <c r="D60" s="117" t="s">
        <v>1479</v>
      </c>
      <c r="E60" s="102"/>
      <c r="F60" s="102"/>
      <c r="G60" s="102"/>
      <c r="H60" s="102"/>
      <c r="I60" s="102" t="s">
        <v>1706</v>
      </c>
      <c r="J60" s="102"/>
      <c r="K60" s="102"/>
      <c r="L60" s="102"/>
      <c r="M60" s="102"/>
      <c r="N60" s="102"/>
      <c r="O60" s="234"/>
      <c r="P60" s="103">
        <v>46293</v>
      </c>
      <c r="Q60" s="103">
        <v>46374</v>
      </c>
      <c r="R60" s="102"/>
      <c r="S60" s="104">
        <v>111</v>
      </c>
      <c r="T60" s="104">
        <v>0</v>
      </c>
      <c r="U60" s="104">
        <v>58</v>
      </c>
      <c r="V60" s="104">
        <v>0</v>
      </c>
      <c r="W60" s="103"/>
      <c r="X60" s="103"/>
      <c r="Y60" s="105">
        <v>0</v>
      </c>
      <c r="Z60" s="106">
        <v>0</v>
      </c>
      <c r="AA60" s="104"/>
      <c r="AB60" s="102"/>
      <c r="AC60" s="102"/>
      <c r="AD60" s="116">
        <v>0</v>
      </c>
      <c r="AE60" s="207">
        <v>0</v>
      </c>
      <c r="AF60" s="119"/>
      <c r="AG60" s="120"/>
      <c r="AH60" s="120"/>
      <c r="AI60" s="120"/>
      <c r="AJ60" s="120"/>
      <c r="AK60" s="120"/>
      <c r="AL60" s="120"/>
      <c r="AM60" s="120"/>
      <c r="AN60" s="120"/>
      <c r="AO60" s="120"/>
      <c r="AP60" s="120"/>
      <c r="AQ60" s="120"/>
      <c r="AR60" s="120"/>
      <c r="AS60" s="120"/>
      <c r="AT60" s="120" t="str">
        <f>" " &amp; TEXT(AE60,"#0.00%") &amp; " "</f>
        <v xml:space="preserve"> 0.00% </v>
      </c>
      <c r="AU60" s="120"/>
      <c r="AV60" s="120"/>
      <c r="AW60" s="120"/>
      <c r="AX60" s="120"/>
      <c r="AY60" s="120"/>
      <c r="AZ60" s="120"/>
      <c r="BA60" s="120"/>
      <c r="BB60" s="120"/>
      <c r="BC60" s="120"/>
      <c r="BD60" s="120"/>
      <c r="BE60" s="120" t="str">
        <f>"      " &amp; "교통약자 도보 내비게이션" &amp; " " &amp; IF(P60="","",TEXT(P60,"M/D-")) &amp; IF(Q60="","",TEXT(Q60,"M/D")) &amp; " "</f>
        <v xml:space="preserve">      교통약자 도보 내비게이션 9/28-12/18 </v>
      </c>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row>
    <row r="61" spans="1:85" ht="12" customHeight="1" outlineLevel="5">
      <c r="A61" s="101"/>
      <c r="B61" s="101"/>
      <c r="C61" s="101">
        <v>6</v>
      </c>
      <c r="D61" s="117" t="s">
        <v>1715</v>
      </c>
      <c r="E61" s="102"/>
      <c r="F61" s="102"/>
      <c r="G61" s="102"/>
      <c r="H61" s="102"/>
      <c r="I61" s="102"/>
      <c r="J61" s="102" t="s">
        <v>1707</v>
      </c>
      <c r="K61" s="102"/>
      <c r="L61" s="102"/>
      <c r="M61" s="102"/>
      <c r="N61" s="102"/>
      <c r="O61" s="234"/>
      <c r="P61" s="103">
        <v>46279</v>
      </c>
      <c r="Q61" s="103">
        <v>46374</v>
      </c>
      <c r="R61" s="102"/>
      <c r="S61" s="104">
        <v>58</v>
      </c>
      <c r="T61" s="104">
        <v>0</v>
      </c>
      <c r="U61" s="104">
        <v>58</v>
      </c>
      <c r="V61" s="104">
        <v>0</v>
      </c>
      <c r="W61" s="103"/>
      <c r="X61" s="103"/>
      <c r="Y61" s="105"/>
      <c r="Z61" s="106">
        <v>0</v>
      </c>
      <c r="AA61" s="104">
        <v>1</v>
      </c>
      <c r="AB61" s="102"/>
      <c r="AC61" s="102"/>
      <c r="AD61" s="116">
        <v>0</v>
      </c>
      <c r="AE61" s="198">
        <v>0</v>
      </c>
      <c r="AF61" s="119"/>
      <c r="AG61" s="120"/>
      <c r="AH61" s="120"/>
      <c r="AI61" s="120"/>
      <c r="AJ61" s="120"/>
      <c r="AK61" s="120"/>
      <c r="AL61" s="120"/>
      <c r="AM61" s="120"/>
      <c r="AN61" s="120"/>
      <c r="AO61" s="120"/>
      <c r="AP61" s="120"/>
      <c r="AQ61" s="120"/>
      <c r="AR61" s="120"/>
      <c r="AS61" s="120"/>
      <c r="AT61" s="120" t="str">
        <f>" " &amp; TEXT(AE61,"#0.00%") &amp; " "</f>
        <v xml:space="preserve"> 0.00% </v>
      </c>
      <c r="AU61" s="120"/>
      <c r="AV61" s="120"/>
      <c r="AW61" s="120"/>
      <c r="AX61" s="120"/>
      <c r="AY61" s="120"/>
      <c r="AZ61" s="120"/>
      <c r="BA61" s="120"/>
      <c r="BB61" s="120"/>
      <c r="BC61" s="120"/>
      <c r="BD61" s="120"/>
      <c r="BE61" s="120" t="str">
        <f>"      " &amp; "기능 개발" &amp; " " &amp; IF(P61="","",TEXT(P61,"M/D-")) &amp; IF(Q61="","",TEXT(Q61,"M/D")) &amp; " "</f>
        <v xml:space="preserve">      기능 개발 9/14-12/18 </v>
      </c>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row>
    <row r="62" spans="1:85" ht="12" customHeight="1" outlineLevel="5">
      <c r="A62" s="101"/>
      <c r="B62" s="101"/>
      <c r="C62" s="101">
        <v>6</v>
      </c>
      <c r="D62" s="117" t="s">
        <v>1716</v>
      </c>
      <c r="E62" s="102"/>
      <c r="F62" s="102"/>
      <c r="G62" s="102"/>
      <c r="H62" s="102"/>
      <c r="I62" s="102"/>
      <c r="J62" s="102" t="s">
        <v>1708</v>
      </c>
      <c r="K62" s="102"/>
      <c r="L62" s="102"/>
      <c r="M62" s="102"/>
      <c r="N62" s="102"/>
      <c r="O62" s="234"/>
      <c r="P62" s="103">
        <v>46300</v>
      </c>
      <c r="Q62" s="103">
        <v>46374</v>
      </c>
      <c r="R62" s="102"/>
      <c r="S62" s="104">
        <v>53</v>
      </c>
      <c r="T62" s="104">
        <v>0</v>
      </c>
      <c r="U62" s="104">
        <v>53</v>
      </c>
      <c r="V62" s="104">
        <v>0</v>
      </c>
      <c r="W62" s="103">
        <v>46163</v>
      </c>
      <c r="X62" s="103"/>
      <c r="Y62" s="105">
        <v>-32968</v>
      </c>
      <c r="Z62" s="106">
        <v>0</v>
      </c>
      <c r="AA62" s="104">
        <v>1</v>
      </c>
      <c r="AB62" s="102"/>
      <c r="AC62" s="102"/>
      <c r="AD62" s="116">
        <v>0</v>
      </c>
      <c r="AE62" s="198">
        <v>0</v>
      </c>
      <c r="AF62" s="119"/>
      <c r="AG62" s="120"/>
      <c r="AH62" s="120"/>
      <c r="AI62" s="120"/>
      <c r="AJ62" s="120"/>
      <c r="AK62" s="120"/>
      <c r="AL62" s="120"/>
      <c r="AM62" s="120"/>
      <c r="AN62" s="120"/>
      <c r="AO62" s="120"/>
      <c r="AP62" s="120"/>
      <c r="AQ62" s="120"/>
      <c r="AR62" s="120"/>
      <c r="AS62" s="120"/>
      <c r="AT62" s="120"/>
      <c r="AU62" s="120" t="str">
        <f>" " &amp; TEXT(AE62,"#0.00%") &amp; " "</f>
        <v xml:space="preserve"> 0.00% </v>
      </c>
      <c r="AV62" s="120"/>
      <c r="AW62" s="120"/>
      <c r="AX62" s="120"/>
      <c r="AY62" s="120"/>
      <c r="AZ62" s="120"/>
      <c r="BA62" s="120"/>
      <c r="BB62" s="120"/>
      <c r="BC62" s="120"/>
      <c r="BD62" s="120"/>
      <c r="BE62" s="120" t="str">
        <f>"      " &amp; "단위테스트" &amp; " " &amp; IF(P62="","",TEXT(P62,"M/D-")) &amp; IF(Q62="","",TEXT(Q62,"M/D")) &amp; " "</f>
        <v xml:space="preserve">      단위테스트 10/5-12/18 </v>
      </c>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row>
    <row r="63" spans="1:85" ht="12" customHeight="1" outlineLevel="4">
      <c r="A63" s="101"/>
      <c r="B63" s="101" t="s">
        <v>1392</v>
      </c>
      <c r="C63" s="101">
        <v>5</v>
      </c>
      <c r="D63" s="117" t="s">
        <v>1480</v>
      </c>
      <c r="E63" s="102"/>
      <c r="F63" s="102"/>
      <c r="G63" s="102"/>
      <c r="H63" s="236"/>
      <c r="I63" s="236" t="s">
        <v>1813</v>
      </c>
      <c r="J63" s="236"/>
      <c r="K63" s="236"/>
      <c r="L63" s="236"/>
      <c r="M63" s="236"/>
      <c r="N63" s="236"/>
      <c r="O63" s="237"/>
      <c r="P63" s="103">
        <v>46293</v>
      </c>
      <c r="Q63" s="103">
        <v>46374</v>
      </c>
      <c r="R63" s="102"/>
      <c r="S63" s="104">
        <v>111</v>
      </c>
      <c r="T63" s="104">
        <v>0</v>
      </c>
      <c r="U63" s="104">
        <v>58</v>
      </c>
      <c r="V63" s="104">
        <v>0</v>
      </c>
      <c r="W63" s="103"/>
      <c r="X63" s="103"/>
      <c r="Y63" s="105">
        <v>0</v>
      </c>
      <c r="Z63" s="106">
        <v>0</v>
      </c>
      <c r="AA63" s="104"/>
      <c r="AB63" s="102"/>
      <c r="AC63" s="102"/>
      <c r="AD63" s="116">
        <v>0</v>
      </c>
      <c r="AE63" s="207">
        <v>0</v>
      </c>
      <c r="AF63" s="119"/>
      <c r="AG63" s="120"/>
      <c r="AH63" s="120"/>
      <c r="AI63" s="120"/>
      <c r="AJ63" s="120"/>
      <c r="AK63" s="120"/>
      <c r="AL63" s="120"/>
      <c r="AM63" s="120"/>
      <c r="AN63" s="120"/>
      <c r="AO63" s="120"/>
      <c r="AP63" s="120"/>
      <c r="AQ63" s="120"/>
      <c r="AR63" s="120"/>
      <c r="AS63" s="120"/>
      <c r="AT63" s="120" t="str">
        <f>" " &amp; TEXT(AE63,"#0.00%") &amp; " "</f>
        <v xml:space="preserve"> 0.00% </v>
      </c>
      <c r="AU63" s="120"/>
      <c r="AV63" s="120"/>
      <c r="AW63" s="120"/>
      <c r="AX63" s="120"/>
      <c r="AY63" s="120"/>
      <c r="AZ63" s="120"/>
      <c r="BA63" s="120"/>
      <c r="BB63" s="120"/>
      <c r="BC63" s="120"/>
      <c r="BD63" s="120"/>
      <c r="BE63" s="120" t="str">
        <f>"      " &amp; "대중교통 내비게이션" &amp; " " &amp; IF(P63="","",TEXT(P63,"M/D-")) &amp; IF(Q63="","",TEXT(Q63,"M/D")) &amp; " "</f>
        <v xml:space="preserve">      대중교통 내비게이션 9/28-12/18 </v>
      </c>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row>
    <row r="64" spans="1:85" ht="12" customHeight="1" outlineLevel="5">
      <c r="A64" s="101"/>
      <c r="B64" s="101"/>
      <c r="C64" s="101">
        <v>6</v>
      </c>
      <c r="D64" s="117" t="s">
        <v>1717</v>
      </c>
      <c r="E64" s="102"/>
      <c r="F64" s="102"/>
      <c r="G64" s="102"/>
      <c r="H64" s="102"/>
      <c r="I64" s="102"/>
      <c r="J64" s="102" t="s">
        <v>1707</v>
      </c>
      <c r="K64" s="102"/>
      <c r="L64" s="102"/>
      <c r="M64" s="102"/>
      <c r="N64" s="102"/>
      <c r="O64" s="234"/>
      <c r="P64" s="235">
        <v>46279</v>
      </c>
      <c r="Q64" s="103">
        <v>46374</v>
      </c>
      <c r="R64" s="102"/>
      <c r="S64" s="104">
        <v>58</v>
      </c>
      <c r="T64" s="104">
        <v>0</v>
      </c>
      <c r="U64" s="104">
        <v>58</v>
      </c>
      <c r="V64" s="104">
        <v>0</v>
      </c>
      <c r="W64" s="103"/>
      <c r="X64" s="103"/>
      <c r="Y64" s="105"/>
      <c r="Z64" s="106">
        <v>0</v>
      </c>
      <c r="AA64" s="104">
        <v>1</v>
      </c>
      <c r="AB64" s="102"/>
      <c r="AC64" s="102"/>
      <c r="AD64" s="116">
        <v>0</v>
      </c>
      <c r="AE64" s="198">
        <v>0</v>
      </c>
      <c r="AF64" s="119"/>
      <c r="AG64" s="120"/>
      <c r="AH64" s="120"/>
      <c r="AI64" s="120"/>
      <c r="AJ64" s="120"/>
      <c r="AK64" s="120"/>
      <c r="AL64" s="120"/>
      <c r="AM64" s="120"/>
      <c r="AN64" s="120"/>
      <c r="AO64" s="120"/>
      <c r="AP64" s="120"/>
      <c r="AQ64" s="120"/>
      <c r="AR64" s="120"/>
      <c r="AS64" s="120"/>
      <c r="AT64" s="120" t="str">
        <f>" " &amp; TEXT(AE64,"#0.00%") &amp; " "</f>
        <v xml:space="preserve"> 0.00% </v>
      </c>
      <c r="AU64" s="120"/>
      <c r="AV64" s="120"/>
      <c r="AW64" s="120"/>
      <c r="AX64" s="120"/>
      <c r="AY64" s="120"/>
      <c r="AZ64" s="120"/>
      <c r="BA64" s="120"/>
      <c r="BB64" s="120"/>
      <c r="BC64" s="120"/>
      <c r="BD64" s="120"/>
      <c r="BE64" s="120" t="str">
        <f>"      " &amp; "기능 개발" &amp; " " &amp; IF(P64="","",TEXT(P64,"M/D-")) &amp; IF(Q64="","",TEXT(Q64,"M/D")) &amp; " "</f>
        <v xml:space="preserve">      기능 개발 9/14-12/18 </v>
      </c>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row>
    <row r="65" spans="1:85" ht="12" customHeight="1" outlineLevel="5">
      <c r="A65" s="101"/>
      <c r="B65" s="101"/>
      <c r="C65" s="101">
        <v>6</v>
      </c>
      <c r="D65" s="117" t="s">
        <v>1718</v>
      </c>
      <c r="E65" s="102"/>
      <c r="F65" s="102"/>
      <c r="G65" s="102"/>
      <c r="H65" s="102"/>
      <c r="I65" s="102"/>
      <c r="J65" s="102" t="s">
        <v>1708</v>
      </c>
      <c r="K65" s="102"/>
      <c r="L65" s="102"/>
      <c r="M65" s="102"/>
      <c r="N65" s="102"/>
      <c r="O65" s="234"/>
      <c r="P65" s="103">
        <v>46300</v>
      </c>
      <c r="Q65" s="103">
        <v>46374</v>
      </c>
      <c r="R65" s="102"/>
      <c r="S65" s="104">
        <v>53</v>
      </c>
      <c r="T65" s="104">
        <v>0</v>
      </c>
      <c r="U65" s="104">
        <v>53</v>
      </c>
      <c r="V65" s="104">
        <v>0</v>
      </c>
      <c r="W65" s="103">
        <v>46163</v>
      </c>
      <c r="X65" s="103"/>
      <c r="Y65" s="105">
        <v>-32968</v>
      </c>
      <c r="Z65" s="106">
        <v>0</v>
      </c>
      <c r="AA65" s="104">
        <v>1</v>
      </c>
      <c r="AB65" s="102"/>
      <c r="AC65" s="102"/>
      <c r="AD65" s="116">
        <v>0</v>
      </c>
      <c r="AE65" s="198">
        <v>0</v>
      </c>
      <c r="AF65" s="119"/>
      <c r="AG65" s="120"/>
      <c r="AH65" s="120"/>
      <c r="AI65" s="120"/>
      <c r="AJ65" s="120"/>
      <c r="AK65" s="120"/>
      <c r="AL65" s="120"/>
      <c r="AM65" s="120"/>
      <c r="AN65" s="120"/>
      <c r="AO65" s="120"/>
      <c r="AP65" s="120"/>
      <c r="AQ65" s="120"/>
      <c r="AR65" s="120"/>
      <c r="AS65" s="120"/>
      <c r="AT65" s="120"/>
      <c r="AU65" s="120" t="str">
        <f>" " &amp; TEXT(AE65,"#0.00%") &amp; " "</f>
        <v xml:space="preserve"> 0.00% </v>
      </c>
      <c r="AV65" s="120"/>
      <c r="AW65" s="120"/>
      <c r="AX65" s="120"/>
      <c r="AY65" s="120"/>
      <c r="AZ65" s="120"/>
      <c r="BA65" s="120"/>
      <c r="BB65" s="120"/>
      <c r="BC65" s="120"/>
      <c r="BD65" s="120"/>
      <c r="BE65" s="120" t="str">
        <f>"      " &amp; "단위테스트" &amp; " " &amp; IF(P65="","",TEXT(P65,"M/D-")) &amp; IF(Q65="","",TEXT(Q65,"M/D")) &amp; " "</f>
        <v xml:space="preserve">      단위테스트 10/5-12/18 </v>
      </c>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row>
    <row r="66" spans="1:85" ht="12" customHeight="1" outlineLevel="4">
      <c r="A66" s="101"/>
      <c r="B66" s="101" t="s">
        <v>1392</v>
      </c>
      <c r="C66" s="101">
        <v>5</v>
      </c>
      <c r="D66" s="117" t="s">
        <v>1481</v>
      </c>
      <c r="E66" s="102"/>
      <c r="F66" s="102"/>
      <c r="G66" s="102"/>
      <c r="H66" s="102"/>
      <c r="I66" s="102" t="s">
        <v>1709</v>
      </c>
      <c r="J66" s="102"/>
      <c r="K66" s="102"/>
      <c r="L66" s="102"/>
      <c r="M66" s="102"/>
      <c r="N66" s="102"/>
      <c r="O66" s="234"/>
      <c r="P66" s="103">
        <v>46293</v>
      </c>
      <c r="Q66" s="103">
        <v>46374</v>
      </c>
      <c r="R66" s="102"/>
      <c r="S66" s="104">
        <v>111</v>
      </c>
      <c r="T66" s="104">
        <v>0</v>
      </c>
      <c r="U66" s="104">
        <v>58</v>
      </c>
      <c r="V66" s="104">
        <v>0</v>
      </c>
      <c r="W66" s="103"/>
      <c r="X66" s="103"/>
      <c r="Y66" s="105">
        <v>0</v>
      </c>
      <c r="Z66" s="106">
        <v>0</v>
      </c>
      <c r="AA66" s="104"/>
      <c r="AB66" s="102"/>
      <c r="AC66" s="102"/>
      <c r="AD66" s="116">
        <v>0</v>
      </c>
      <c r="AE66" s="207">
        <v>0</v>
      </c>
      <c r="AF66" s="119"/>
      <c r="AG66" s="120"/>
      <c r="AH66" s="120"/>
      <c r="AI66" s="120"/>
      <c r="AJ66" s="120"/>
      <c r="AK66" s="120"/>
      <c r="AL66" s="120"/>
      <c r="AM66" s="120"/>
      <c r="AN66" s="120"/>
      <c r="AO66" s="120"/>
      <c r="AP66" s="120"/>
      <c r="AQ66" s="120"/>
      <c r="AR66" s="120"/>
      <c r="AS66" s="120"/>
      <c r="AT66" s="120" t="str">
        <f>" " &amp; TEXT(AE66,"#0.00%") &amp; " "</f>
        <v xml:space="preserve"> 0.00% </v>
      </c>
      <c r="AU66" s="120"/>
      <c r="AV66" s="120"/>
      <c r="AW66" s="120"/>
      <c r="AX66" s="120"/>
      <c r="AY66" s="120"/>
      <c r="AZ66" s="120"/>
      <c r="BA66" s="120"/>
      <c r="BB66" s="120"/>
      <c r="BC66" s="120"/>
      <c r="BD66" s="120"/>
      <c r="BE66" s="120" t="str">
        <f>"      " &amp; "지하철 실내 내비게이션" &amp; " " &amp; IF(P66="","",TEXT(P66,"M/D-")) &amp; IF(Q66="","",TEXT(Q66,"M/D")) &amp; " "</f>
        <v xml:space="preserve">      지하철 실내 내비게이션 9/28-12/18 </v>
      </c>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row>
    <row r="67" spans="1:85" ht="12" customHeight="1" outlineLevel="5">
      <c r="A67" s="101"/>
      <c r="B67" s="101"/>
      <c r="C67" s="101">
        <v>6</v>
      </c>
      <c r="D67" s="117" t="s">
        <v>1719</v>
      </c>
      <c r="E67" s="102"/>
      <c r="F67" s="102"/>
      <c r="G67" s="102"/>
      <c r="H67" s="102"/>
      <c r="I67" s="102"/>
      <c r="J67" s="102" t="s">
        <v>1707</v>
      </c>
      <c r="K67" s="102"/>
      <c r="L67" s="102"/>
      <c r="M67" s="102"/>
      <c r="N67" s="102"/>
      <c r="O67" s="234"/>
      <c r="P67" s="103">
        <v>46293</v>
      </c>
      <c r="Q67" s="103">
        <v>46374</v>
      </c>
      <c r="R67" s="102"/>
      <c r="S67" s="104">
        <v>58</v>
      </c>
      <c r="T67" s="104">
        <v>0</v>
      </c>
      <c r="U67" s="104">
        <v>58</v>
      </c>
      <c r="V67" s="104">
        <v>0</v>
      </c>
      <c r="W67" s="103"/>
      <c r="X67" s="103"/>
      <c r="Y67" s="105"/>
      <c r="Z67" s="106">
        <v>0</v>
      </c>
      <c r="AA67" s="104">
        <v>1</v>
      </c>
      <c r="AB67" s="102"/>
      <c r="AC67" s="102"/>
      <c r="AD67" s="116">
        <v>0</v>
      </c>
      <c r="AE67" s="198">
        <v>0</v>
      </c>
      <c r="AF67" s="119"/>
      <c r="AG67" s="120"/>
      <c r="AH67" s="120"/>
      <c r="AI67" s="120"/>
      <c r="AJ67" s="120"/>
      <c r="AK67" s="120"/>
      <c r="AL67" s="120"/>
      <c r="AM67" s="120"/>
      <c r="AN67" s="120"/>
      <c r="AO67" s="120"/>
      <c r="AP67" s="120"/>
      <c r="AQ67" s="120"/>
      <c r="AR67" s="120"/>
      <c r="AS67" s="120"/>
      <c r="AT67" s="120" t="str">
        <f>" " &amp; TEXT(AE67,"#0.00%") &amp; " "</f>
        <v xml:space="preserve"> 0.00% </v>
      </c>
      <c r="AU67" s="120"/>
      <c r="AV67" s="120"/>
      <c r="AW67" s="120"/>
      <c r="AX67" s="120"/>
      <c r="AY67" s="120"/>
      <c r="AZ67" s="120"/>
      <c r="BA67" s="120"/>
      <c r="BB67" s="120"/>
      <c r="BC67" s="120"/>
      <c r="BD67" s="120"/>
      <c r="BE67" s="120" t="str">
        <f>"      " &amp; "기능 개발" &amp; " " &amp; IF(P67="","",TEXT(P67,"M/D-")) &amp; IF(Q67="","",TEXT(Q67,"M/D")) &amp; " "</f>
        <v xml:space="preserve">      기능 개발 9/28-12/18 </v>
      </c>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row>
    <row r="68" spans="1:85" ht="12" customHeight="1" outlineLevel="5">
      <c r="A68" s="101"/>
      <c r="B68" s="101"/>
      <c r="C68" s="101">
        <v>6</v>
      </c>
      <c r="D68" s="117" t="s">
        <v>1720</v>
      </c>
      <c r="E68" s="102"/>
      <c r="F68" s="102"/>
      <c r="G68" s="102"/>
      <c r="H68" s="102"/>
      <c r="I68" s="102"/>
      <c r="J68" s="102" t="s">
        <v>1708</v>
      </c>
      <c r="K68" s="102"/>
      <c r="L68" s="102"/>
      <c r="M68" s="102"/>
      <c r="N68" s="102"/>
      <c r="O68" s="234"/>
      <c r="P68" s="103">
        <v>46300</v>
      </c>
      <c r="Q68" s="103">
        <v>46374</v>
      </c>
      <c r="R68" s="102"/>
      <c r="S68" s="104">
        <v>53</v>
      </c>
      <c r="T68" s="104">
        <v>0</v>
      </c>
      <c r="U68" s="104">
        <v>53</v>
      </c>
      <c r="V68" s="104">
        <v>0</v>
      </c>
      <c r="W68" s="103">
        <v>46163</v>
      </c>
      <c r="X68" s="103"/>
      <c r="Y68" s="105">
        <v>-32968</v>
      </c>
      <c r="Z68" s="106">
        <v>0</v>
      </c>
      <c r="AA68" s="104">
        <v>1</v>
      </c>
      <c r="AB68" s="102"/>
      <c r="AC68" s="102"/>
      <c r="AD68" s="116">
        <v>0</v>
      </c>
      <c r="AE68" s="198">
        <v>0</v>
      </c>
      <c r="AF68" s="119"/>
      <c r="AG68" s="120"/>
      <c r="AH68" s="120"/>
      <c r="AI68" s="120"/>
      <c r="AJ68" s="120"/>
      <c r="AK68" s="120"/>
      <c r="AL68" s="120"/>
      <c r="AM68" s="120"/>
      <c r="AN68" s="120"/>
      <c r="AO68" s="120"/>
      <c r="AP68" s="120"/>
      <c r="AQ68" s="120"/>
      <c r="AR68" s="120"/>
      <c r="AS68" s="120"/>
      <c r="AT68" s="120"/>
      <c r="AU68" s="120" t="str">
        <f>" " &amp; TEXT(AE68,"#0.00%") &amp; " "</f>
        <v xml:space="preserve"> 0.00% </v>
      </c>
      <c r="AV68" s="120"/>
      <c r="AW68" s="120"/>
      <c r="AX68" s="120"/>
      <c r="AY68" s="120"/>
      <c r="AZ68" s="120"/>
      <c r="BA68" s="120"/>
      <c r="BB68" s="120"/>
      <c r="BC68" s="120"/>
      <c r="BD68" s="120"/>
      <c r="BE68" s="120" t="str">
        <f>"      " &amp; "단위테스트" &amp; " " &amp; IF(P68="","",TEXT(P68,"M/D-")) &amp; IF(Q68="","",TEXT(Q68,"M/D")) &amp; " "</f>
        <v xml:space="preserve">      단위테스트 10/5-12/18 </v>
      </c>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row>
    <row r="69" spans="1:85" ht="12" customHeight="1" outlineLevel="4">
      <c r="A69" s="101"/>
      <c r="B69" s="101" t="s">
        <v>1392</v>
      </c>
      <c r="C69" s="101">
        <v>5</v>
      </c>
      <c r="D69" s="117" t="s">
        <v>1721</v>
      </c>
      <c r="E69" s="102"/>
      <c r="F69" s="102"/>
      <c r="G69" s="102"/>
      <c r="H69" s="102"/>
      <c r="I69" s="102" t="s">
        <v>1739</v>
      </c>
      <c r="J69" s="102"/>
      <c r="K69" s="102"/>
      <c r="L69" s="102"/>
      <c r="M69" s="102"/>
      <c r="N69" s="102"/>
      <c r="O69" s="234" t="s">
        <v>1740</v>
      </c>
      <c r="P69" s="103">
        <v>46293</v>
      </c>
      <c r="Q69" s="103">
        <v>46374</v>
      </c>
      <c r="R69" s="102"/>
      <c r="S69" s="104">
        <v>111</v>
      </c>
      <c r="T69" s="104">
        <v>0</v>
      </c>
      <c r="U69" s="104">
        <v>58</v>
      </c>
      <c r="V69" s="104">
        <v>0</v>
      </c>
      <c r="W69" s="103"/>
      <c r="X69" s="103"/>
      <c r="Y69" s="105">
        <v>0</v>
      </c>
      <c r="Z69" s="106">
        <v>0</v>
      </c>
      <c r="AA69" s="104"/>
      <c r="AB69" s="102"/>
      <c r="AC69" s="102"/>
      <c r="AD69" s="116">
        <v>0</v>
      </c>
      <c r="AE69" s="207">
        <v>0</v>
      </c>
      <c r="AF69" s="119"/>
      <c r="AG69" s="120"/>
      <c r="AH69" s="120"/>
      <c r="AI69" s="120"/>
      <c r="AJ69" s="120"/>
      <c r="AK69" s="120"/>
      <c r="AL69" s="120"/>
      <c r="AM69" s="120"/>
      <c r="AN69" s="120"/>
      <c r="AO69" s="120"/>
      <c r="AP69" s="120"/>
      <c r="AQ69" s="120"/>
      <c r="AR69" s="120"/>
      <c r="AS69" s="120"/>
      <c r="AT69" s="120" t="str">
        <f>" " &amp; TEXT(AE69,"#0.00%") &amp; " "</f>
        <v xml:space="preserve"> 0.00% </v>
      </c>
      <c r="AU69" s="120"/>
      <c r="AV69" s="120"/>
      <c r="AW69" s="120"/>
      <c r="AX69" s="120"/>
      <c r="AY69" s="120"/>
      <c r="AZ69" s="120"/>
      <c r="BA69" s="120"/>
      <c r="BB69" s="120"/>
      <c r="BC69" s="120"/>
      <c r="BD69" s="120"/>
      <c r="BE69" s="120" t="str">
        <f>"      " &amp; "음성안내" &amp; " " &amp; IF(P69="","",TEXT(P69,"M/D-")) &amp; IF(Q69="","",TEXT(Q69,"M/D")) &amp; " "</f>
        <v xml:space="preserve">      음성안내 9/28-12/18 </v>
      </c>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row>
    <row r="70" spans="1:85" ht="12" customHeight="1" outlineLevel="5">
      <c r="A70" s="101"/>
      <c r="B70" s="101"/>
      <c r="C70" s="101">
        <v>6</v>
      </c>
      <c r="D70" s="117" t="s">
        <v>1722</v>
      </c>
      <c r="E70" s="102"/>
      <c r="F70" s="102"/>
      <c r="G70" s="102"/>
      <c r="H70" s="102"/>
      <c r="I70" s="102"/>
      <c r="J70" s="102" t="s">
        <v>1707</v>
      </c>
      <c r="K70" s="102"/>
      <c r="L70" s="102"/>
      <c r="M70" s="102"/>
      <c r="N70" s="102"/>
      <c r="O70" s="234"/>
      <c r="P70" s="103">
        <v>46293</v>
      </c>
      <c r="Q70" s="103">
        <v>46374</v>
      </c>
      <c r="R70" s="102"/>
      <c r="S70" s="104">
        <v>58</v>
      </c>
      <c r="T70" s="104">
        <v>0</v>
      </c>
      <c r="U70" s="104">
        <v>58</v>
      </c>
      <c r="V70" s="104">
        <v>0</v>
      </c>
      <c r="W70" s="103"/>
      <c r="X70" s="103"/>
      <c r="Y70" s="105"/>
      <c r="Z70" s="106">
        <v>0</v>
      </c>
      <c r="AA70" s="104">
        <v>1</v>
      </c>
      <c r="AB70" s="102"/>
      <c r="AC70" s="102"/>
      <c r="AD70" s="116">
        <v>0</v>
      </c>
      <c r="AE70" s="198">
        <v>0</v>
      </c>
      <c r="AF70" s="119"/>
      <c r="AG70" s="120"/>
      <c r="AH70" s="120"/>
      <c r="AI70" s="120"/>
      <c r="AJ70" s="120"/>
      <c r="AK70" s="120"/>
      <c r="AL70" s="120"/>
      <c r="AM70" s="120"/>
      <c r="AN70" s="120"/>
      <c r="AO70" s="120"/>
      <c r="AP70" s="120"/>
      <c r="AQ70" s="120"/>
      <c r="AR70" s="120"/>
      <c r="AS70" s="120"/>
      <c r="AT70" s="120" t="str">
        <f>" " &amp; TEXT(AE70,"#0.00%") &amp; " "</f>
        <v xml:space="preserve"> 0.00% </v>
      </c>
      <c r="AU70" s="120"/>
      <c r="AV70" s="120"/>
      <c r="AW70" s="120"/>
      <c r="AX70" s="120"/>
      <c r="AY70" s="120"/>
      <c r="AZ70" s="120"/>
      <c r="BA70" s="120"/>
      <c r="BB70" s="120"/>
      <c r="BC70" s="120"/>
      <c r="BD70" s="120"/>
      <c r="BE70" s="120" t="str">
        <f>"      " &amp; "기능 개발" &amp; " " &amp; IF(P70="","",TEXT(P70,"M/D-")) &amp; IF(Q70="","",TEXT(Q70,"M/D")) &amp; " "</f>
        <v xml:space="preserve">      기능 개발 9/28-12/18 </v>
      </c>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row>
    <row r="71" spans="1:85" ht="12" customHeight="1" outlineLevel="5">
      <c r="A71" s="101"/>
      <c r="B71" s="101"/>
      <c r="C71" s="101">
        <v>6</v>
      </c>
      <c r="D71" s="117" t="s">
        <v>1723</v>
      </c>
      <c r="E71" s="102"/>
      <c r="F71" s="102"/>
      <c r="G71" s="102"/>
      <c r="H71" s="102"/>
      <c r="I71" s="102"/>
      <c r="J71" s="102" t="s">
        <v>1708</v>
      </c>
      <c r="K71" s="102"/>
      <c r="L71" s="102"/>
      <c r="M71" s="102"/>
      <c r="N71" s="102"/>
      <c r="O71" s="234"/>
      <c r="P71" s="103">
        <v>46300</v>
      </c>
      <c r="Q71" s="103">
        <v>46374</v>
      </c>
      <c r="R71" s="102"/>
      <c r="S71" s="104">
        <v>53</v>
      </c>
      <c r="T71" s="104">
        <v>0</v>
      </c>
      <c r="U71" s="104">
        <v>53</v>
      </c>
      <c r="V71" s="104">
        <v>0</v>
      </c>
      <c r="W71" s="103">
        <v>46163</v>
      </c>
      <c r="X71" s="103"/>
      <c r="Y71" s="105">
        <v>-32968</v>
      </c>
      <c r="Z71" s="106">
        <v>0</v>
      </c>
      <c r="AA71" s="104">
        <v>1</v>
      </c>
      <c r="AB71" s="102"/>
      <c r="AC71" s="102"/>
      <c r="AD71" s="116">
        <v>0</v>
      </c>
      <c r="AE71" s="198">
        <v>0</v>
      </c>
      <c r="AF71" s="119"/>
      <c r="AG71" s="120"/>
      <c r="AH71" s="120"/>
      <c r="AI71" s="120"/>
      <c r="AJ71" s="120"/>
      <c r="AK71" s="120"/>
      <c r="AL71" s="120"/>
      <c r="AM71" s="120"/>
      <c r="AN71" s="120"/>
      <c r="AO71" s="120"/>
      <c r="AP71" s="120"/>
      <c r="AQ71" s="120"/>
      <c r="AR71" s="120"/>
      <c r="AS71" s="120"/>
      <c r="AT71" s="120"/>
      <c r="AU71" s="120" t="str">
        <f>" " &amp; TEXT(AE71,"#0.00%") &amp; " "</f>
        <v xml:space="preserve"> 0.00% </v>
      </c>
      <c r="AV71" s="120"/>
      <c r="AW71" s="120"/>
      <c r="AX71" s="120"/>
      <c r="AY71" s="120"/>
      <c r="AZ71" s="120"/>
      <c r="BA71" s="120"/>
      <c r="BB71" s="120"/>
      <c r="BC71" s="120"/>
      <c r="BD71" s="120"/>
      <c r="BE71" s="120" t="str">
        <f>"      " &amp; "단위테스트" &amp; " " &amp; IF(P71="","",TEXT(P71,"M/D-")) &amp; IF(Q71="","",TEXT(Q71,"M/D")) &amp; " "</f>
        <v xml:space="preserve">      단위테스트 10/5-12/18 </v>
      </c>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row>
    <row r="72" spans="1:85" ht="12" customHeight="1" outlineLevel="4">
      <c r="A72" s="101"/>
      <c r="B72" s="101" t="s">
        <v>1392</v>
      </c>
      <c r="C72" s="101">
        <v>5</v>
      </c>
      <c r="D72" s="117" t="s">
        <v>1724</v>
      </c>
      <c r="E72" s="102"/>
      <c r="F72" s="102"/>
      <c r="G72" s="102"/>
      <c r="H72" s="102"/>
      <c r="I72" s="102" t="s">
        <v>1712</v>
      </c>
      <c r="J72" s="102"/>
      <c r="K72" s="102"/>
      <c r="L72" s="102"/>
      <c r="M72" s="102"/>
      <c r="N72" s="102"/>
      <c r="O72" s="234"/>
      <c r="P72" s="103">
        <v>46356</v>
      </c>
      <c r="Q72" s="103">
        <v>46374</v>
      </c>
      <c r="R72" s="102"/>
      <c r="S72" s="104">
        <v>30</v>
      </c>
      <c r="T72" s="104">
        <v>0</v>
      </c>
      <c r="U72" s="104">
        <v>15</v>
      </c>
      <c r="V72" s="104">
        <v>0</v>
      </c>
      <c r="W72" s="103"/>
      <c r="X72" s="103"/>
      <c r="Y72" s="105">
        <v>0</v>
      </c>
      <c r="Z72" s="106">
        <v>0</v>
      </c>
      <c r="AA72" s="104"/>
      <c r="AB72" s="102"/>
      <c r="AC72" s="102"/>
      <c r="AD72" s="116">
        <v>0</v>
      </c>
      <c r="AE72" s="207">
        <v>0</v>
      </c>
      <c r="AF72" s="119"/>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t="str">
        <f>" " &amp; TEXT(AE72,"#0.00%") &amp; " " &amp; "버스 예약, 승차 및 하차 안내" &amp; " " &amp; IF(P72="","",TEXT(P72,"M/D-")) &amp; IF(Q72="","",TEXT(Q72,"M/D")) &amp; " "</f>
        <v xml:space="preserve"> 0.00% 버스 예약, 승차 및 하차 안내 11/30-12/18 </v>
      </c>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row>
    <row r="73" spans="1:85" ht="12" customHeight="1" outlineLevel="5">
      <c r="A73" s="101"/>
      <c r="B73" s="101"/>
      <c r="C73" s="101">
        <v>6</v>
      </c>
      <c r="D73" s="117" t="s">
        <v>1725</v>
      </c>
      <c r="E73" s="102"/>
      <c r="F73" s="102"/>
      <c r="G73" s="102"/>
      <c r="H73" s="102"/>
      <c r="I73" s="102"/>
      <c r="J73" s="102" t="s">
        <v>1707</v>
      </c>
      <c r="K73" s="102"/>
      <c r="L73" s="102"/>
      <c r="M73" s="102"/>
      <c r="N73" s="102"/>
      <c r="O73" s="234"/>
      <c r="P73" s="103">
        <v>46356</v>
      </c>
      <c r="Q73" s="103">
        <v>46374</v>
      </c>
      <c r="R73" s="102"/>
      <c r="S73" s="104">
        <v>15</v>
      </c>
      <c r="T73" s="104">
        <v>0</v>
      </c>
      <c r="U73" s="104">
        <v>15</v>
      </c>
      <c r="V73" s="104">
        <v>0</v>
      </c>
      <c r="W73" s="103"/>
      <c r="X73" s="103"/>
      <c r="Y73" s="105"/>
      <c r="Z73" s="106">
        <v>0</v>
      </c>
      <c r="AA73" s="104">
        <v>1</v>
      </c>
      <c r="AB73" s="102"/>
      <c r="AC73" s="102"/>
      <c r="AD73" s="116">
        <v>0</v>
      </c>
      <c r="AE73" s="198">
        <v>0</v>
      </c>
      <c r="AF73" s="119"/>
      <c r="AG73" s="120"/>
      <c r="AH73" s="120"/>
      <c r="AI73" s="120"/>
      <c r="AJ73" s="120"/>
      <c r="AK73" s="120"/>
      <c r="AL73" s="120"/>
      <c r="AM73" s="120"/>
      <c r="AN73" s="120"/>
      <c r="AO73" s="120"/>
      <c r="AP73" s="120"/>
      <c r="AQ73" s="120"/>
      <c r="AR73" s="120"/>
      <c r="AS73" s="120"/>
      <c r="AT73" s="120"/>
      <c r="AU73" s="120"/>
      <c r="AV73" s="120"/>
      <c r="AW73" s="120"/>
      <c r="AX73" s="120"/>
      <c r="AY73" s="120"/>
      <c r="AZ73" s="120"/>
      <c r="BA73" s="120"/>
      <c r="BB73" s="120"/>
      <c r="BC73" s="120" t="str">
        <f>" " &amp; TEXT(AE73,"#0.00%") &amp; " " &amp; "기능 개발" &amp; " " &amp; IF(P73="","",TEXT(P73,"M/D-")) &amp; IF(Q73="","",TEXT(Q73,"M/D")) &amp; " "</f>
        <v xml:space="preserve"> 0.00% 기능 개발 11/30-12/18 </v>
      </c>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row>
    <row r="74" spans="1:85" ht="12" customHeight="1" outlineLevel="5">
      <c r="A74" s="101"/>
      <c r="B74" s="101"/>
      <c r="C74" s="101">
        <v>6</v>
      </c>
      <c r="D74" s="117" t="s">
        <v>1726</v>
      </c>
      <c r="E74" s="102"/>
      <c r="F74" s="102"/>
      <c r="G74" s="102"/>
      <c r="H74" s="102"/>
      <c r="I74" s="102"/>
      <c r="J74" s="102" t="s">
        <v>1708</v>
      </c>
      <c r="K74" s="102"/>
      <c r="L74" s="102"/>
      <c r="M74" s="102"/>
      <c r="N74" s="102"/>
      <c r="O74" s="234"/>
      <c r="P74" s="103">
        <v>46356</v>
      </c>
      <c r="Q74" s="103">
        <v>46374</v>
      </c>
      <c r="R74" s="102"/>
      <c r="S74" s="104">
        <v>15</v>
      </c>
      <c r="T74" s="104">
        <v>0</v>
      </c>
      <c r="U74" s="104">
        <v>15</v>
      </c>
      <c r="V74" s="104">
        <v>0</v>
      </c>
      <c r="W74" s="103">
        <v>46163</v>
      </c>
      <c r="X74" s="103"/>
      <c r="Y74" s="105">
        <v>-32968</v>
      </c>
      <c r="Z74" s="106">
        <v>0</v>
      </c>
      <c r="AA74" s="104">
        <v>1</v>
      </c>
      <c r="AB74" s="102"/>
      <c r="AC74" s="102"/>
      <c r="AD74" s="116">
        <v>0</v>
      </c>
      <c r="AE74" s="198">
        <v>0</v>
      </c>
      <c r="AF74" s="119"/>
      <c r="AG74" s="120"/>
      <c r="AH74" s="120"/>
      <c r="AI74" s="120"/>
      <c r="AJ74" s="120"/>
      <c r="AK74" s="120"/>
      <c r="AL74" s="120"/>
      <c r="AM74" s="120"/>
      <c r="AN74" s="120"/>
      <c r="AO74" s="120"/>
      <c r="AP74" s="120"/>
      <c r="AQ74" s="120"/>
      <c r="AR74" s="120"/>
      <c r="AS74" s="120"/>
      <c r="AT74" s="120"/>
      <c r="AU74" s="120"/>
      <c r="AV74" s="120"/>
      <c r="AW74" s="120"/>
      <c r="AX74" s="120"/>
      <c r="AY74" s="120"/>
      <c r="AZ74" s="120"/>
      <c r="BA74" s="120"/>
      <c r="BB74" s="120"/>
      <c r="BC74" s="120" t="str">
        <f>" " &amp; TEXT(AE74,"#0.00%") &amp; " " &amp; "단위테스트" &amp; " " &amp; IF(P74="","",TEXT(P74,"M/D-")) &amp; IF(Q74="","",TEXT(Q74,"M/D")) &amp; " "</f>
        <v xml:space="preserve"> 0.00% 단위테스트 11/30-12/18 </v>
      </c>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row>
    <row r="75" spans="1:85" ht="12" customHeight="1" outlineLevel="2">
      <c r="A75" s="101"/>
      <c r="B75" s="101" t="s">
        <v>1392</v>
      </c>
      <c r="C75" s="101">
        <v>3</v>
      </c>
      <c r="D75" s="117" t="s">
        <v>1482</v>
      </c>
      <c r="E75" s="102"/>
      <c r="F75" s="102"/>
      <c r="G75" s="102" t="s">
        <v>1483</v>
      </c>
      <c r="H75" s="102"/>
      <c r="I75" s="102"/>
      <c r="J75" s="102"/>
      <c r="K75" s="102"/>
      <c r="L75" s="102"/>
      <c r="M75" s="102"/>
      <c r="N75" s="102"/>
      <c r="O75" s="234"/>
      <c r="P75" s="103">
        <v>46384</v>
      </c>
      <c r="Q75" s="103">
        <v>46416</v>
      </c>
      <c r="R75" s="102"/>
      <c r="S75" s="104">
        <v>24</v>
      </c>
      <c r="T75" s="104">
        <v>0</v>
      </c>
      <c r="U75" s="104">
        <v>24</v>
      </c>
      <c r="V75" s="104">
        <v>0</v>
      </c>
      <c r="W75" s="103"/>
      <c r="X75" s="103"/>
      <c r="Y75" s="105">
        <v>0</v>
      </c>
      <c r="Z75" s="106">
        <v>0</v>
      </c>
      <c r="AA75" s="104"/>
      <c r="AB75" s="102"/>
      <c r="AC75" s="102"/>
      <c r="AD75" s="116">
        <v>0</v>
      </c>
      <c r="AE75" s="207">
        <v>0</v>
      </c>
      <c r="AF75" s="119"/>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t="str">
        <f>" " &amp; TEXT(AE75,"#0.00%") &amp; " "</f>
        <v xml:space="preserve"> 0.00% </v>
      </c>
      <c r="BH75" s="120"/>
      <c r="BI75" s="120"/>
      <c r="BJ75" s="120"/>
      <c r="BK75" s="120" t="str">
        <f>"      " &amp; "테스트실시" &amp; " " &amp; IF(P75="","",TEXT(P75,"M/D-")) &amp; IF(Q75="","",TEXT(Q75,"M/D")) &amp; " "</f>
        <v xml:space="preserve">      테스트실시 12/28-1/29 </v>
      </c>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row>
    <row r="76" spans="1:85" ht="12" customHeight="1" outlineLevel="3">
      <c r="A76" s="101"/>
      <c r="B76" s="101"/>
      <c r="C76" s="101">
        <v>4</v>
      </c>
      <c r="D76" s="117" t="s">
        <v>1484</v>
      </c>
      <c r="E76" s="102"/>
      <c r="F76" s="102"/>
      <c r="G76" s="102"/>
      <c r="H76" s="102" t="s">
        <v>1485</v>
      </c>
      <c r="I76" s="102"/>
      <c r="J76" s="102"/>
      <c r="K76" s="102"/>
      <c r="L76" s="102"/>
      <c r="M76" s="102"/>
      <c r="N76" s="102"/>
      <c r="O76" s="234"/>
      <c r="P76" s="103">
        <v>46384</v>
      </c>
      <c r="Q76" s="103">
        <v>46388</v>
      </c>
      <c r="R76" s="102"/>
      <c r="S76" s="104">
        <v>4</v>
      </c>
      <c r="T76" s="104">
        <v>0</v>
      </c>
      <c r="U76" s="104">
        <v>4</v>
      </c>
      <c r="V76" s="104">
        <v>0</v>
      </c>
      <c r="W76" s="103"/>
      <c r="X76" s="103"/>
      <c r="Y76" s="105"/>
      <c r="Z76" s="106">
        <v>0</v>
      </c>
      <c r="AA76" s="104">
        <v>1</v>
      </c>
      <c r="AB76" s="102"/>
      <c r="AC76" s="102"/>
      <c r="AD76" s="116">
        <v>0</v>
      </c>
      <c r="AE76" s="198">
        <v>0</v>
      </c>
      <c r="AF76" s="119"/>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t="str">
        <f>" " &amp; TEXT(AE76,"#0.00%") &amp; " " &amp; "통합테스트실시" &amp; " " &amp; IF(P76="","",TEXT(P76,"M/D-")) &amp; IF(Q76="","",TEXT(Q76,"M/D")) &amp; " "</f>
        <v xml:space="preserve"> 0.00% 통합테스트실시 12/28-1/1 </v>
      </c>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row>
    <row r="77" spans="1:85" ht="12" customHeight="1" outlineLevel="3">
      <c r="A77" s="101"/>
      <c r="B77" s="101"/>
      <c r="C77" s="101">
        <v>4</v>
      </c>
      <c r="D77" s="117" t="s">
        <v>1486</v>
      </c>
      <c r="E77" s="102"/>
      <c r="F77" s="102"/>
      <c r="G77" s="102"/>
      <c r="H77" s="102" t="s">
        <v>1714</v>
      </c>
      <c r="I77" s="102"/>
      <c r="J77" s="102"/>
      <c r="K77" s="102"/>
      <c r="L77" s="102"/>
      <c r="M77" s="102"/>
      <c r="N77" s="102"/>
      <c r="O77" s="234"/>
      <c r="P77" s="103">
        <v>46391</v>
      </c>
      <c r="Q77" s="103">
        <v>46416</v>
      </c>
      <c r="R77" s="102"/>
      <c r="S77" s="104">
        <v>20</v>
      </c>
      <c r="T77" s="104">
        <v>0</v>
      </c>
      <c r="U77" s="104">
        <v>20</v>
      </c>
      <c r="V77" s="104">
        <v>0</v>
      </c>
      <c r="W77" s="103"/>
      <c r="X77" s="103"/>
      <c r="Y77" s="105"/>
      <c r="Z77" s="106">
        <v>0</v>
      </c>
      <c r="AA77" s="104"/>
      <c r="AB77" s="102"/>
      <c r="AC77" s="102"/>
      <c r="AD77" s="116">
        <v>0</v>
      </c>
      <c r="AE77" s="198">
        <v>0</v>
      </c>
      <c r="AF77" s="119"/>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t="str">
        <f>" " &amp; TEXT(AE77,"#0.00%") &amp; " "</f>
        <v xml:space="preserve"> 0.00% </v>
      </c>
      <c r="BI77" s="120"/>
      <c r="BJ77" s="120"/>
      <c r="BK77" s="120" t="str">
        <f>"      " &amp; "자문단 테스트" &amp; " " &amp; IF(P77="","",TEXT(P77,"M/D-")) &amp; IF(Q77="","",TEXT(Q77,"M/D")) &amp; " "</f>
        <v xml:space="preserve">      자문단 테스트 1/4-1/29 </v>
      </c>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row>
    <row r="78" spans="1:85" ht="12" customHeight="1" outlineLevel="1">
      <c r="A78" s="101"/>
      <c r="B78" s="101" t="s">
        <v>1392</v>
      </c>
      <c r="C78" s="101">
        <v>2</v>
      </c>
      <c r="D78" s="117" t="s">
        <v>1497</v>
      </c>
      <c r="E78" s="102"/>
      <c r="F78" s="102" t="s">
        <v>1742</v>
      </c>
      <c r="G78" s="102"/>
      <c r="H78" s="102"/>
      <c r="I78" s="102"/>
      <c r="J78" s="102"/>
      <c r="K78" s="102"/>
      <c r="L78" s="102"/>
      <c r="M78" s="102"/>
      <c r="N78" s="102"/>
      <c r="O78" s="234"/>
      <c r="P78" s="103">
        <v>46293</v>
      </c>
      <c r="Q78" s="103">
        <v>46297</v>
      </c>
      <c r="R78" s="102"/>
      <c r="S78" s="104">
        <v>5</v>
      </c>
      <c r="T78" s="104">
        <v>0</v>
      </c>
      <c r="U78" s="104">
        <v>5</v>
      </c>
      <c r="V78" s="104">
        <v>0</v>
      </c>
      <c r="W78" s="103"/>
      <c r="X78" s="103"/>
      <c r="Y78" s="105">
        <v>0</v>
      </c>
      <c r="Z78" s="106">
        <v>0</v>
      </c>
      <c r="AA78" s="104"/>
      <c r="AB78" s="102"/>
      <c r="AC78" s="102"/>
      <c r="AD78" s="116">
        <v>0</v>
      </c>
      <c r="AE78" s="207">
        <v>0</v>
      </c>
      <c r="AF78" s="119"/>
      <c r="AG78" s="120"/>
      <c r="AH78" s="120"/>
      <c r="AI78" s="120"/>
      <c r="AJ78" s="120"/>
      <c r="AK78" s="120"/>
      <c r="AL78" s="120"/>
      <c r="AM78" s="120"/>
      <c r="AN78" s="120"/>
      <c r="AO78" s="120"/>
      <c r="AP78" s="120"/>
      <c r="AQ78" s="120"/>
      <c r="AR78" s="120"/>
      <c r="AS78" s="120"/>
      <c r="AT78" s="120" t="str">
        <f>" " &amp; TEXT(AE78,"#0.00%") &amp; " " &amp; "교통약자 시설물 데이터 구축" &amp; " " &amp; IF(P78="","",TEXT(P78,"M/D-")) &amp; IF(Q78="","",TEXT(Q78,"M/D")) &amp; " "</f>
        <v xml:space="preserve"> 0.00% 교통약자 시설물 데이터 구축 9/28-10/2 </v>
      </c>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row>
    <row r="79" spans="1:85" ht="12" customHeight="1" outlineLevel="2">
      <c r="A79" s="101"/>
      <c r="B79" s="101"/>
      <c r="C79" s="101">
        <v>3</v>
      </c>
      <c r="D79" s="117" t="s">
        <v>1488</v>
      </c>
      <c r="E79" s="102"/>
      <c r="F79" s="102"/>
      <c r="G79" s="102" t="s">
        <v>1743</v>
      </c>
      <c r="H79" s="102"/>
      <c r="I79" s="102"/>
      <c r="J79" s="102"/>
      <c r="K79" s="102"/>
      <c r="L79" s="102"/>
      <c r="M79" s="102"/>
      <c r="N79" s="102"/>
      <c r="O79" s="234"/>
      <c r="P79" s="103">
        <v>46293</v>
      </c>
      <c r="Q79" s="103">
        <v>46297</v>
      </c>
      <c r="R79" s="102"/>
      <c r="S79" s="104">
        <v>5</v>
      </c>
      <c r="T79" s="104">
        <v>0</v>
      </c>
      <c r="U79" s="104">
        <v>5</v>
      </c>
      <c r="V79" s="104">
        <v>0</v>
      </c>
      <c r="W79" s="103"/>
      <c r="X79" s="103"/>
      <c r="Y79" s="105"/>
      <c r="Z79" s="106">
        <v>0</v>
      </c>
      <c r="AA79" s="104"/>
      <c r="AB79" s="102"/>
      <c r="AC79" s="102"/>
      <c r="AD79" s="116">
        <v>0</v>
      </c>
      <c r="AE79" s="198">
        <v>0</v>
      </c>
      <c r="AF79" s="119"/>
      <c r="AG79" s="120"/>
      <c r="AH79" s="120"/>
      <c r="AI79" s="120"/>
      <c r="AJ79" s="120"/>
      <c r="AK79" s="120"/>
      <c r="AL79" s="120"/>
      <c r="AM79" s="120"/>
      <c r="AN79" s="120"/>
      <c r="AO79" s="120"/>
      <c r="AP79" s="120"/>
      <c r="AQ79" s="120"/>
      <c r="AR79" s="120"/>
      <c r="AS79" s="120"/>
      <c r="AT79" s="120" t="str">
        <f>" " &amp; TEXT(AE79,"#0.00%") &amp; " " &amp; "교통약자 시설물 데이터베이스 구축" &amp; " " &amp; IF(P79="","",TEXT(P79,"M/D-")) &amp; IF(Q79="","",TEXT(Q79,"M/D")) &amp; " "</f>
        <v xml:space="preserve"> 0.00% 교통약자 시설물 데이터베이스 구축 9/28-10/2 </v>
      </c>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row>
    <row r="80" spans="1:85" ht="12" customHeight="1">
      <c r="A80" s="101"/>
      <c r="B80" s="101" t="s">
        <v>1392</v>
      </c>
      <c r="C80" s="101">
        <v>1</v>
      </c>
      <c r="D80" s="117" t="s">
        <v>1678</v>
      </c>
      <c r="E80" s="102" t="s">
        <v>1675</v>
      </c>
      <c r="F80" s="102"/>
      <c r="G80" s="102"/>
      <c r="H80" s="102"/>
      <c r="I80" s="102"/>
      <c r="J80" s="102"/>
      <c r="K80" s="102"/>
      <c r="L80" s="102"/>
      <c r="M80" s="102"/>
      <c r="N80" s="102"/>
      <c r="O80" s="234"/>
      <c r="P80" s="103">
        <v>46398</v>
      </c>
      <c r="Q80" s="103">
        <v>46535</v>
      </c>
      <c r="R80" s="102"/>
      <c r="S80" s="104">
        <v>1347</v>
      </c>
      <c r="T80" s="104">
        <v>0</v>
      </c>
      <c r="U80" s="104">
        <v>95</v>
      </c>
      <c r="V80" s="104">
        <v>0</v>
      </c>
      <c r="W80" s="103"/>
      <c r="X80" s="103"/>
      <c r="Y80" s="105">
        <v>0</v>
      </c>
      <c r="Z80" s="106">
        <v>0</v>
      </c>
      <c r="AA80" s="104"/>
      <c r="AB80" s="102"/>
      <c r="AC80" s="102"/>
      <c r="AD80" s="116">
        <v>0</v>
      </c>
      <c r="AE80" s="207">
        <v>0</v>
      </c>
      <c r="AF80" s="119"/>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t="str">
        <f t="shared" ref="BI80:BI85" si="1">" " &amp; TEXT(AE80,"#0.00%") &amp; " "</f>
        <v xml:space="preserve"> 0.00% </v>
      </c>
      <c r="BJ80" s="120"/>
      <c r="BK80" s="120"/>
      <c r="BL80" s="120"/>
      <c r="BM80" s="120"/>
      <c r="BN80" s="120"/>
      <c r="BO80" s="120"/>
      <c r="BP80" s="120"/>
      <c r="BQ80" s="120"/>
      <c r="BR80" s="120"/>
      <c r="BS80" s="120"/>
      <c r="BT80" s="120"/>
      <c r="BU80" s="120"/>
      <c r="BV80" s="120"/>
      <c r="BW80" s="120"/>
      <c r="BX80" s="120"/>
      <c r="BY80" s="120"/>
      <c r="BZ80" s="120"/>
      <c r="CA80" s="120"/>
      <c r="CB80" s="120" t="str">
        <f>"      " &amp; "2단계 시스템 개발" &amp; " " &amp; IF(P80="","",TEXT(P80,"M/D-")) &amp; IF(Q80="","",TEXT(Q80,"M/D")) &amp; " "</f>
        <v xml:space="preserve">      2단계 시스템 개발 1/11-5/28 </v>
      </c>
      <c r="CC80" s="120"/>
      <c r="CD80" s="120"/>
      <c r="CE80" s="120"/>
      <c r="CF80" s="120"/>
      <c r="CG80" s="120"/>
    </row>
    <row r="81" spans="1:85" ht="12" customHeight="1" outlineLevel="1">
      <c r="A81" s="101"/>
      <c r="B81" s="101" t="s">
        <v>1392</v>
      </c>
      <c r="C81" s="101">
        <v>2</v>
      </c>
      <c r="D81" s="117" t="s">
        <v>1679</v>
      </c>
      <c r="E81" s="102"/>
      <c r="F81" s="102" t="s">
        <v>1469</v>
      </c>
      <c r="G81" s="102"/>
      <c r="H81" s="102"/>
      <c r="I81" s="102"/>
      <c r="J81" s="102"/>
      <c r="K81" s="102"/>
      <c r="L81" s="102"/>
      <c r="M81" s="102"/>
      <c r="N81" s="102"/>
      <c r="O81" s="234"/>
      <c r="P81" s="103">
        <v>46398</v>
      </c>
      <c r="Q81" s="103">
        <v>46535</v>
      </c>
      <c r="R81" s="102"/>
      <c r="S81" s="104">
        <v>1347</v>
      </c>
      <c r="T81" s="104">
        <v>0</v>
      </c>
      <c r="U81" s="104">
        <v>95</v>
      </c>
      <c r="V81" s="104">
        <v>0</v>
      </c>
      <c r="W81" s="103"/>
      <c r="X81" s="103"/>
      <c r="Y81" s="105">
        <v>0</v>
      </c>
      <c r="Z81" s="106">
        <v>0</v>
      </c>
      <c r="AA81" s="104"/>
      <c r="AB81" s="102"/>
      <c r="AC81" s="102"/>
      <c r="AD81" s="116">
        <v>0</v>
      </c>
      <c r="AE81" s="207">
        <v>0</v>
      </c>
      <c r="AF81" s="119"/>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t="str">
        <f t="shared" si="1"/>
        <v xml:space="preserve"> 0.00% </v>
      </c>
      <c r="BJ81" s="120"/>
      <c r="BK81" s="120"/>
      <c r="BL81" s="120"/>
      <c r="BM81" s="120"/>
      <c r="BN81" s="120"/>
      <c r="BO81" s="120"/>
      <c r="BP81" s="120"/>
      <c r="BQ81" s="120"/>
      <c r="BR81" s="120"/>
      <c r="BS81" s="120"/>
      <c r="BT81" s="120"/>
      <c r="BU81" s="120"/>
      <c r="BV81" s="120"/>
      <c r="BW81" s="120"/>
      <c r="BX81" s="120"/>
      <c r="BY81" s="120"/>
      <c r="BZ81" s="120"/>
      <c r="CA81" s="120"/>
      <c r="CB81" s="120" t="str">
        <f>"      " &amp; "개발" &amp; " " &amp; IF(P81="","",TEXT(P81,"M/D-")) &amp; IF(Q81="","",TEXT(Q81,"M/D")) &amp; " "</f>
        <v xml:space="preserve">      개발 1/11-5/28 </v>
      </c>
      <c r="CC81" s="120"/>
      <c r="CD81" s="120"/>
      <c r="CE81" s="120"/>
      <c r="CF81" s="120"/>
      <c r="CG81" s="120"/>
    </row>
    <row r="82" spans="1:85" ht="12" customHeight="1" outlineLevel="2">
      <c r="A82" s="101"/>
      <c r="B82" s="101" t="s">
        <v>1392</v>
      </c>
      <c r="C82" s="101">
        <v>3</v>
      </c>
      <c r="D82" s="117" t="s">
        <v>1680</v>
      </c>
      <c r="E82" s="102"/>
      <c r="F82" s="102"/>
      <c r="G82" s="102" t="s">
        <v>1471</v>
      </c>
      <c r="H82" s="102"/>
      <c r="I82" s="102"/>
      <c r="J82" s="102"/>
      <c r="K82" s="102"/>
      <c r="L82" s="102"/>
      <c r="M82" s="102"/>
      <c r="N82" s="102"/>
      <c r="O82" s="234"/>
      <c r="P82" s="103">
        <v>46398</v>
      </c>
      <c r="Q82" s="103">
        <v>46535</v>
      </c>
      <c r="R82" s="102"/>
      <c r="S82" s="104">
        <v>1347</v>
      </c>
      <c r="T82" s="104">
        <v>0</v>
      </c>
      <c r="U82" s="104">
        <v>95</v>
      </c>
      <c r="V82" s="104">
        <v>0</v>
      </c>
      <c r="W82" s="103"/>
      <c r="X82" s="103"/>
      <c r="Y82" s="105">
        <v>0</v>
      </c>
      <c r="Z82" s="106">
        <v>0</v>
      </c>
      <c r="AA82" s="104"/>
      <c r="AB82" s="102"/>
      <c r="AC82" s="102"/>
      <c r="AD82" s="116">
        <v>0</v>
      </c>
      <c r="AE82" s="207">
        <v>0</v>
      </c>
      <c r="AF82" s="119"/>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t="str">
        <f t="shared" si="1"/>
        <v xml:space="preserve"> 0.00% </v>
      </c>
      <c r="BJ82" s="120"/>
      <c r="BK82" s="120"/>
      <c r="BL82" s="120"/>
      <c r="BM82" s="120"/>
      <c r="BN82" s="120"/>
      <c r="BO82" s="120"/>
      <c r="BP82" s="120"/>
      <c r="BQ82" s="120"/>
      <c r="BR82" s="120"/>
      <c r="BS82" s="120"/>
      <c r="BT82" s="120"/>
      <c r="BU82" s="120"/>
      <c r="BV82" s="120"/>
      <c r="BW82" s="120"/>
      <c r="BX82" s="120"/>
      <c r="BY82" s="120"/>
      <c r="BZ82" s="120"/>
      <c r="CA82" s="120"/>
      <c r="CB82" s="120" t="str">
        <f>"      " &amp; "프로그램 개발" &amp; " " &amp; IF(P82="","",TEXT(P82,"M/D-")) &amp; IF(Q82="","",TEXT(Q82,"M/D")) &amp; " "</f>
        <v xml:space="preserve">      프로그램 개발 1/11-5/28 </v>
      </c>
      <c r="CC82" s="120"/>
      <c r="CD82" s="120"/>
      <c r="CE82" s="120"/>
      <c r="CF82" s="120"/>
      <c r="CG82" s="120"/>
    </row>
    <row r="83" spans="1:85" ht="12" customHeight="1" outlineLevel="3">
      <c r="A83" s="101"/>
      <c r="B83" s="101" t="s">
        <v>1392</v>
      </c>
      <c r="C83" s="101">
        <v>4</v>
      </c>
      <c r="D83" s="117" t="s">
        <v>1750</v>
      </c>
      <c r="E83" s="102"/>
      <c r="F83" s="102"/>
      <c r="G83" s="102"/>
      <c r="H83" s="102" t="s">
        <v>1475</v>
      </c>
      <c r="I83" s="102"/>
      <c r="J83" s="102"/>
      <c r="K83" s="102"/>
      <c r="L83" s="102"/>
      <c r="M83" s="102"/>
      <c r="N83" s="102"/>
      <c r="O83" s="234"/>
      <c r="P83" s="103">
        <v>46398</v>
      </c>
      <c r="Q83" s="103">
        <v>46535</v>
      </c>
      <c r="R83" s="102"/>
      <c r="S83" s="104">
        <v>1347</v>
      </c>
      <c r="T83" s="104">
        <v>0</v>
      </c>
      <c r="U83" s="104">
        <v>95</v>
      </c>
      <c r="V83" s="104">
        <v>0</v>
      </c>
      <c r="W83" s="103"/>
      <c r="X83" s="103"/>
      <c r="Y83" s="105">
        <v>0</v>
      </c>
      <c r="Z83" s="106">
        <v>0</v>
      </c>
      <c r="AA83" s="104"/>
      <c r="AB83" s="102"/>
      <c r="AC83" s="102"/>
      <c r="AD83" s="116">
        <v>0</v>
      </c>
      <c r="AE83" s="207">
        <v>0</v>
      </c>
      <c r="AF83" s="119"/>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t="str">
        <f t="shared" si="1"/>
        <v xml:space="preserve"> 0.00% </v>
      </c>
      <c r="BJ83" s="120"/>
      <c r="BK83" s="120"/>
      <c r="BL83" s="120"/>
      <c r="BM83" s="120"/>
      <c r="BN83" s="120"/>
      <c r="BO83" s="120"/>
      <c r="BP83" s="120"/>
      <c r="BQ83" s="120"/>
      <c r="BR83" s="120"/>
      <c r="BS83" s="120"/>
      <c r="BT83" s="120"/>
      <c r="BU83" s="120"/>
      <c r="BV83" s="120"/>
      <c r="BW83" s="120"/>
      <c r="BX83" s="120"/>
      <c r="BY83" s="120"/>
      <c r="BZ83" s="120"/>
      <c r="CA83" s="120"/>
      <c r="CB83" s="120" t="str">
        <f>"      " &amp; "프로그램코딩 및 단위테스트" &amp; " " &amp; IF(P83="","",TEXT(P83,"M/D-")) &amp; IF(Q83="","",TEXT(Q83,"M/D")) &amp; " "</f>
        <v xml:space="preserve">      프로그램코딩 및 단위테스트 1/11-5/28 </v>
      </c>
      <c r="CC83" s="120"/>
      <c r="CD83" s="120"/>
      <c r="CE83" s="120"/>
      <c r="CF83" s="120"/>
      <c r="CG83" s="120"/>
    </row>
    <row r="84" spans="1:85" ht="12" customHeight="1" outlineLevel="4">
      <c r="A84" s="101"/>
      <c r="B84" s="101" t="s">
        <v>1392</v>
      </c>
      <c r="C84" s="101">
        <v>5</v>
      </c>
      <c r="D84" s="117" t="s">
        <v>1776</v>
      </c>
      <c r="E84" s="102"/>
      <c r="F84" s="102"/>
      <c r="G84" s="102"/>
      <c r="H84" s="102"/>
      <c r="I84" s="102" t="s">
        <v>1696</v>
      </c>
      <c r="J84" s="102"/>
      <c r="K84" s="102"/>
      <c r="L84" s="102"/>
      <c r="M84" s="102"/>
      <c r="N84" s="102"/>
      <c r="O84" s="234"/>
      <c r="P84" s="103">
        <v>46398</v>
      </c>
      <c r="Q84" s="103">
        <v>46535</v>
      </c>
      <c r="R84" s="102"/>
      <c r="S84" s="104">
        <v>185</v>
      </c>
      <c r="T84" s="104">
        <v>0</v>
      </c>
      <c r="U84" s="104">
        <v>95</v>
      </c>
      <c r="V84" s="104">
        <v>0</v>
      </c>
      <c r="W84" s="103"/>
      <c r="X84" s="103"/>
      <c r="Y84" s="105">
        <v>0</v>
      </c>
      <c r="Z84" s="106">
        <v>0</v>
      </c>
      <c r="AA84" s="104"/>
      <c r="AB84" s="102"/>
      <c r="AC84" s="102"/>
      <c r="AD84" s="116">
        <v>0</v>
      </c>
      <c r="AE84" s="207">
        <v>0</v>
      </c>
      <c r="AF84" s="119"/>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t="str">
        <f t="shared" si="1"/>
        <v xml:space="preserve"> 0.00% </v>
      </c>
      <c r="BJ84" s="120"/>
      <c r="BK84" s="120"/>
      <c r="BL84" s="120"/>
      <c r="BM84" s="120"/>
      <c r="BN84" s="120"/>
      <c r="BO84" s="120"/>
      <c r="BP84" s="120"/>
      <c r="BQ84" s="120"/>
      <c r="BR84" s="120"/>
      <c r="BS84" s="120"/>
      <c r="BT84" s="120"/>
      <c r="BU84" s="120"/>
      <c r="BV84" s="120"/>
      <c r="BW84" s="120"/>
      <c r="BX84" s="120"/>
      <c r="BY84" s="120"/>
      <c r="BZ84" s="120"/>
      <c r="CA84" s="120"/>
      <c r="CB84" s="120" t="str">
        <f>"      " &amp; "APP 기본 기능 설계" &amp; " " &amp; IF(P84="","",TEXT(P84,"M/D-")) &amp; IF(Q84="","",TEXT(Q84,"M/D")) &amp; " "</f>
        <v xml:space="preserve">      APP 기본 기능 설계 1/11-5/28 </v>
      </c>
      <c r="CC84" s="120"/>
      <c r="CD84" s="120"/>
      <c r="CE84" s="120"/>
      <c r="CF84" s="120"/>
      <c r="CG84" s="120"/>
    </row>
    <row r="85" spans="1:85" ht="12" customHeight="1" outlineLevel="5">
      <c r="A85" s="101"/>
      <c r="B85" s="101"/>
      <c r="C85" s="101">
        <v>6</v>
      </c>
      <c r="D85" s="117" t="s">
        <v>1777</v>
      </c>
      <c r="E85" s="102"/>
      <c r="F85" s="102"/>
      <c r="G85" s="102"/>
      <c r="H85" s="102"/>
      <c r="I85" s="102"/>
      <c r="J85" s="102" t="s">
        <v>1707</v>
      </c>
      <c r="K85" s="102"/>
      <c r="L85" s="102"/>
      <c r="M85" s="102"/>
      <c r="N85" s="102"/>
      <c r="O85" s="234" t="s">
        <v>1738</v>
      </c>
      <c r="P85" s="103">
        <v>46398</v>
      </c>
      <c r="Q85" s="103">
        <v>46535</v>
      </c>
      <c r="R85" s="102"/>
      <c r="S85" s="104">
        <v>95</v>
      </c>
      <c r="T85" s="104">
        <v>0</v>
      </c>
      <c r="U85" s="104">
        <v>95</v>
      </c>
      <c r="V85" s="104">
        <v>0</v>
      </c>
      <c r="W85" s="103"/>
      <c r="X85" s="103"/>
      <c r="Y85" s="105"/>
      <c r="Z85" s="106">
        <v>0</v>
      </c>
      <c r="AA85" s="104">
        <v>1</v>
      </c>
      <c r="AB85" s="102"/>
      <c r="AC85" s="102"/>
      <c r="AD85" s="116">
        <v>0</v>
      </c>
      <c r="AE85" s="198">
        <v>0</v>
      </c>
      <c r="AF85" s="119"/>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t="str">
        <f t="shared" si="1"/>
        <v xml:space="preserve"> 0.00% </v>
      </c>
      <c r="BJ85" s="120"/>
      <c r="BK85" s="120"/>
      <c r="BL85" s="120"/>
      <c r="BM85" s="120"/>
      <c r="BN85" s="120"/>
      <c r="BO85" s="120"/>
      <c r="BP85" s="120"/>
      <c r="BQ85" s="120"/>
      <c r="BR85" s="120"/>
      <c r="BS85" s="120"/>
      <c r="BT85" s="120"/>
      <c r="BU85" s="120"/>
      <c r="BV85" s="120"/>
      <c r="BW85" s="120"/>
      <c r="BX85" s="120"/>
      <c r="BY85" s="120"/>
      <c r="BZ85" s="120"/>
      <c r="CA85" s="120"/>
      <c r="CB85" s="120" t="str">
        <f>"      " &amp; "기능 개발" &amp; " " &amp; IF(P85="","",TEXT(P85,"M/D-")) &amp; IF(Q85="","",TEXT(Q85,"M/D")) &amp; " "</f>
        <v xml:space="preserve">      기능 개발 1/11-5/28 </v>
      </c>
      <c r="CC85" s="120"/>
      <c r="CD85" s="120"/>
      <c r="CE85" s="120"/>
      <c r="CF85" s="120"/>
      <c r="CG85" s="120"/>
    </row>
    <row r="86" spans="1:85" ht="12" customHeight="1" outlineLevel="5">
      <c r="A86" s="101"/>
      <c r="B86" s="101"/>
      <c r="C86" s="101">
        <v>6</v>
      </c>
      <c r="D86" s="117" t="s">
        <v>1778</v>
      </c>
      <c r="E86" s="102"/>
      <c r="F86" s="102"/>
      <c r="G86" s="102"/>
      <c r="H86" s="102"/>
      <c r="I86" s="102"/>
      <c r="J86" s="102" t="s">
        <v>1708</v>
      </c>
      <c r="K86" s="102"/>
      <c r="L86" s="102"/>
      <c r="M86" s="102"/>
      <c r="N86" s="102"/>
      <c r="O86" s="234"/>
      <c r="P86" s="103">
        <v>46405</v>
      </c>
      <c r="Q86" s="103">
        <v>46535</v>
      </c>
      <c r="R86" s="102"/>
      <c r="S86" s="104">
        <v>90</v>
      </c>
      <c r="T86" s="104">
        <v>0</v>
      </c>
      <c r="U86" s="104">
        <v>90</v>
      </c>
      <c r="V86" s="104">
        <v>0</v>
      </c>
      <c r="W86" s="103">
        <v>46163</v>
      </c>
      <c r="X86" s="103"/>
      <c r="Y86" s="105">
        <v>-32968</v>
      </c>
      <c r="Z86" s="106">
        <v>0</v>
      </c>
      <c r="AA86" s="104">
        <v>1</v>
      </c>
      <c r="AB86" s="102"/>
      <c r="AC86" s="102"/>
      <c r="AD86" s="116">
        <v>0</v>
      </c>
      <c r="AE86" s="198">
        <v>0</v>
      </c>
      <c r="AF86" s="119"/>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t="str">
        <f>" " &amp; TEXT(AE86,"#0.00%") &amp; " "</f>
        <v xml:space="preserve"> 0.00% </v>
      </c>
      <c r="BK86" s="120"/>
      <c r="BL86" s="120"/>
      <c r="BM86" s="120"/>
      <c r="BN86" s="120"/>
      <c r="BO86" s="120"/>
      <c r="BP86" s="120"/>
      <c r="BQ86" s="120"/>
      <c r="BR86" s="120"/>
      <c r="BS86" s="120"/>
      <c r="BT86" s="120"/>
      <c r="BU86" s="120"/>
      <c r="BV86" s="120"/>
      <c r="BW86" s="120"/>
      <c r="BX86" s="120"/>
      <c r="BY86" s="120"/>
      <c r="BZ86" s="120"/>
      <c r="CA86" s="120"/>
      <c r="CB86" s="120" t="str">
        <f>"      " &amp; "단위테스트" &amp; " " &amp; IF(P86="","",TEXT(P86,"M/D-")) &amp; IF(Q86="","",TEXT(Q86,"M/D")) &amp; " "</f>
        <v xml:space="preserve">      단위테스트 1/18-5/28 </v>
      </c>
      <c r="CC86" s="120"/>
      <c r="CD86" s="120"/>
      <c r="CE86" s="120"/>
      <c r="CF86" s="120"/>
      <c r="CG86" s="120"/>
    </row>
    <row r="87" spans="1:85" ht="12" customHeight="1" outlineLevel="4">
      <c r="A87" s="101"/>
      <c r="B87" s="101" t="s">
        <v>1392</v>
      </c>
      <c r="C87" s="101">
        <v>5</v>
      </c>
      <c r="D87" s="117" t="s">
        <v>1779</v>
      </c>
      <c r="E87" s="102"/>
      <c r="F87" s="102"/>
      <c r="G87" s="102"/>
      <c r="H87" s="102"/>
      <c r="I87" s="102" t="s">
        <v>1706</v>
      </c>
      <c r="J87" s="102"/>
      <c r="K87" s="102"/>
      <c r="L87" s="102"/>
      <c r="M87" s="102"/>
      <c r="N87" s="102"/>
      <c r="O87" s="234"/>
      <c r="P87" s="103">
        <v>46398</v>
      </c>
      <c r="Q87" s="103">
        <v>46535</v>
      </c>
      <c r="R87" s="102"/>
      <c r="S87" s="104">
        <v>185</v>
      </c>
      <c r="T87" s="104">
        <v>0</v>
      </c>
      <c r="U87" s="104">
        <v>95</v>
      </c>
      <c r="V87" s="104">
        <v>0</v>
      </c>
      <c r="W87" s="103"/>
      <c r="X87" s="103"/>
      <c r="Y87" s="105">
        <v>0</v>
      </c>
      <c r="Z87" s="106">
        <v>0</v>
      </c>
      <c r="AA87" s="104"/>
      <c r="AB87" s="102"/>
      <c r="AC87" s="102"/>
      <c r="AD87" s="116">
        <v>0</v>
      </c>
      <c r="AE87" s="207">
        <v>0</v>
      </c>
      <c r="AF87" s="119"/>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t="str">
        <f>" " &amp; TEXT(AE87,"#0.00%") &amp; " "</f>
        <v xml:space="preserve"> 0.00% </v>
      </c>
      <c r="BJ87" s="120"/>
      <c r="BK87" s="120"/>
      <c r="BL87" s="120"/>
      <c r="BM87" s="120"/>
      <c r="BN87" s="120"/>
      <c r="BO87" s="120"/>
      <c r="BP87" s="120"/>
      <c r="BQ87" s="120"/>
      <c r="BR87" s="120"/>
      <c r="BS87" s="120"/>
      <c r="BT87" s="120"/>
      <c r="BU87" s="120"/>
      <c r="BV87" s="120"/>
      <c r="BW87" s="120"/>
      <c r="BX87" s="120"/>
      <c r="BY87" s="120"/>
      <c r="BZ87" s="120"/>
      <c r="CA87" s="120"/>
      <c r="CB87" s="120" t="str">
        <f>"      " &amp; "교통약자 도보 내비게이션" &amp; " " &amp; IF(P87="","",TEXT(P87,"M/D-")) &amp; IF(Q87="","",TEXT(Q87,"M/D")) &amp; " "</f>
        <v xml:space="preserve">      교통약자 도보 내비게이션 1/11-5/28 </v>
      </c>
      <c r="CC87" s="120"/>
      <c r="CD87" s="120"/>
      <c r="CE87" s="120"/>
      <c r="CF87" s="120"/>
      <c r="CG87" s="120"/>
    </row>
    <row r="88" spans="1:85" ht="12" customHeight="1" outlineLevel="5">
      <c r="A88" s="101"/>
      <c r="B88" s="101"/>
      <c r="C88" s="101">
        <v>6</v>
      </c>
      <c r="D88" s="117" t="s">
        <v>1780</v>
      </c>
      <c r="E88" s="102"/>
      <c r="F88" s="102"/>
      <c r="G88" s="102"/>
      <c r="H88" s="102"/>
      <c r="I88" s="102"/>
      <c r="J88" s="102" t="s">
        <v>1707</v>
      </c>
      <c r="K88" s="102"/>
      <c r="L88" s="102"/>
      <c r="M88" s="102"/>
      <c r="N88" s="102"/>
      <c r="O88" s="234" t="s">
        <v>1738</v>
      </c>
      <c r="P88" s="103">
        <v>46398</v>
      </c>
      <c r="Q88" s="103">
        <v>46535</v>
      </c>
      <c r="R88" s="102"/>
      <c r="S88" s="104">
        <v>95</v>
      </c>
      <c r="T88" s="104">
        <v>0</v>
      </c>
      <c r="U88" s="104">
        <v>95</v>
      </c>
      <c r="V88" s="104">
        <v>0</v>
      </c>
      <c r="W88" s="103"/>
      <c r="X88" s="103"/>
      <c r="Y88" s="105"/>
      <c r="Z88" s="106">
        <v>0</v>
      </c>
      <c r="AA88" s="104">
        <v>1</v>
      </c>
      <c r="AB88" s="102"/>
      <c r="AC88" s="102"/>
      <c r="AD88" s="116">
        <v>0</v>
      </c>
      <c r="AE88" s="198">
        <v>0</v>
      </c>
      <c r="AF88" s="119"/>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t="str">
        <f>" " &amp; TEXT(AE88,"#0.00%") &amp; " "</f>
        <v xml:space="preserve"> 0.00% </v>
      </c>
      <c r="BJ88" s="120"/>
      <c r="BK88" s="120"/>
      <c r="BL88" s="120"/>
      <c r="BM88" s="120"/>
      <c r="BN88" s="120"/>
      <c r="BO88" s="120"/>
      <c r="BP88" s="120"/>
      <c r="BQ88" s="120"/>
      <c r="BR88" s="120"/>
      <c r="BS88" s="120"/>
      <c r="BT88" s="120"/>
      <c r="BU88" s="120"/>
      <c r="BV88" s="120"/>
      <c r="BW88" s="120"/>
      <c r="BX88" s="120"/>
      <c r="BY88" s="120"/>
      <c r="BZ88" s="120"/>
      <c r="CA88" s="120"/>
      <c r="CB88" s="120" t="str">
        <f>"      " &amp; "기능 개발" &amp; " " &amp; IF(P88="","",TEXT(P88,"M/D-")) &amp; IF(Q88="","",TEXT(Q88,"M/D")) &amp; " "</f>
        <v xml:space="preserve">      기능 개발 1/11-5/28 </v>
      </c>
      <c r="CC88" s="120"/>
      <c r="CD88" s="120"/>
      <c r="CE88" s="120"/>
      <c r="CF88" s="120"/>
      <c r="CG88" s="120"/>
    </row>
    <row r="89" spans="1:85" ht="12" customHeight="1" outlineLevel="5">
      <c r="A89" s="101"/>
      <c r="B89" s="101"/>
      <c r="C89" s="101">
        <v>6</v>
      </c>
      <c r="D89" s="117" t="s">
        <v>1781</v>
      </c>
      <c r="E89" s="102"/>
      <c r="F89" s="102"/>
      <c r="G89" s="102"/>
      <c r="H89" s="102"/>
      <c r="I89" s="102"/>
      <c r="J89" s="102" t="s">
        <v>1708</v>
      </c>
      <c r="K89" s="102"/>
      <c r="L89" s="102"/>
      <c r="M89" s="102"/>
      <c r="N89" s="102"/>
      <c r="O89" s="234"/>
      <c r="P89" s="103">
        <v>46405</v>
      </c>
      <c r="Q89" s="103">
        <v>46535</v>
      </c>
      <c r="R89" s="102"/>
      <c r="S89" s="104">
        <v>90</v>
      </c>
      <c r="T89" s="104">
        <v>0</v>
      </c>
      <c r="U89" s="104">
        <v>90</v>
      </c>
      <c r="V89" s="104">
        <v>0</v>
      </c>
      <c r="W89" s="103">
        <v>46163</v>
      </c>
      <c r="X89" s="103"/>
      <c r="Y89" s="105">
        <v>-32968</v>
      </c>
      <c r="Z89" s="106">
        <v>0</v>
      </c>
      <c r="AA89" s="104">
        <v>1</v>
      </c>
      <c r="AB89" s="102"/>
      <c r="AC89" s="102"/>
      <c r="AD89" s="116">
        <v>0</v>
      </c>
      <c r="AE89" s="198">
        <v>0</v>
      </c>
      <c r="AF89" s="119"/>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t="str">
        <f>" " &amp; TEXT(AE89,"#0.00%") &amp; " "</f>
        <v xml:space="preserve"> 0.00% </v>
      </c>
      <c r="BK89" s="120"/>
      <c r="BL89" s="120"/>
      <c r="BM89" s="120"/>
      <c r="BN89" s="120"/>
      <c r="BO89" s="120"/>
      <c r="BP89" s="120"/>
      <c r="BQ89" s="120"/>
      <c r="BR89" s="120"/>
      <c r="BS89" s="120"/>
      <c r="BT89" s="120"/>
      <c r="BU89" s="120"/>
      <c r="BV89" s="120"/>
      <c r="BW89" s="120"/>
      <c r="BX89" s="120"/>
      <c r="BY89" s="120"/>
      <c r="BZ89" s="120"/>
      <c r="CA89" s="120"/>
      <c r="CB89" s="120" t="str">
        <f>"      " &amp; "단위테스트" &amp; " " &amp; IF(P89="","",TEXT(P89,"M/D-")) &amp; IF(Q89="","",TEXT(Q89,"M/D")) &amp; " "</f>
        <v xml:space="preserve">      단위테스트 1/18-5/28 </v>
      </c>
      <c r="CC89" s="120"/>
      <c r="CD89" s="120"/>
      <c r="CE89" s="120"/>
      <c r="CF89" s="120"/>
      <c r="CG89" s="120"/>
    </row>
    <row r="90" spans="1:85" ht="12" customHeight="1" outlineLevel="4">
      <c r="A90" s="101"/>
      <c r="B90" s="101" t="s">
        <v>1392</v>
      </c>
      <c r="C90" s="101">
        <v>5</v>
      </c>
      <c r="D90" s="117" t="s">
        <v>1782</v>
      </c>
      <c r="E90" s="102"/>
      <c r="F90" s="102"/>
      <c r="G90" s="102"/>
      <c r="H90" s="102"/>
      <c r="I90" s="239" t="s">
        <v>1815</v>
      </c>
      <c r="J90" s="239"/>
      <c r="K90" s="239"/>
      <c r="L90" s="239"/>
      <c r="M90" s="239"/>
      <c r="N90" s="239"/>
      <c r="O90" s="234"/>
      <c r="P90" s="103">
        <v>46398</v>
      </c>
      <c r="Q90" s="103">
        <v>46535</v>
      </c>
      <c r="R90" s="102"/>
      <c r="S90" s="104">
        <v>185</v>
      </c>
      <c r="T90" s="104">
        <v>0</v>
      </c>
      <c r="U90" s="104">
        <v>95</v>
      </c>
      <c r="V90" s="104">
        <v>0</v>
      </c>
      <c r="W90" s="103"/>
      <c r="X90" s="103"/>
      <c r="Y90" s="105">
        <v>0</v>
      </c>
      <c r="Z90" s="106">
        <v>0</v>
      </c>
      <c r="AA90" s="104"/>
      <c r="AB90" s="102"/>
      <c r="AC90" s="102"/>
      <c r="AD90" s="116">
        <v>0</v>
      </c>
      <c r="AE90" s="207">
        <v>0</v>
      </c>
      <c r="AF90" s="119"/>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t="str">
        <f>" " &amp; TEXT(AE90,"#0.00%") &amp; " "</f>
        <v xml:space="preserve"> 0.00% </v>
      </c>
      <c r="BJ90" s="120"/>
      <c r="BK90" s="120"/>
      <c r="BL90" s="120"/>
      <c r="BM90" s="120"/>
      <c r="BN90" s="120"/>
      <c r="BO90" s="120"/>
      <c r="BP90" s="120"/>
      <c r="BQ90" s="120"/>
      <c r="BR90" s="120"/>
      <c r="BS90" s="120"/>
      <c r="BT90" s="120"/>
      <c r="BU90" s="120"/>
      <c r="BV90" s="120"/>
      <c r="BW90" s="120"/>
      <c r="BX90" s="120"/>
      <c r="BY90" s="120"/>
      <c r="BZ90" s="120"/>
      <c r="CA90" s="120"/>
      <c r="CB90" s="120" t="str">
        <f>"      " &amp; "대중교통 내비게이션" &amp; " " &amp; IF(P90="","",TEXT(P90,"M/D-")) &amp; IF(Q90="","",TEXT(Q90,"M/D")) &amp; " "</f>
        <v xml:space="preserve">      대중교통 내비게이션 1/11-5/28 </v>
      </c>
      <c r="CC90" s="120"/>
      <c r="CD90" s="120"/>
      <c r="CE90" s="120"/>
      <c r="CF90" s="120"/>
      <c r="CG90" s="120"/>
    </row>
    <row r="91" spans="1:85" ht="12" customHeight="1" outlineLevel="5">
      <c r="A91" s="101"/>
      <c r="B91" s="101"/>
      <c r="C91" s="101">
        <v>6</v>
      </c>
      <c r="D91" s="117" t="s">
        <v>1783</v>
      </c>
      <c r="E91" s="102"/>
      <c r="F91" s="102"/>
      <c r="G91" s="102"/>
      <c r="H91" s="102"/>
      <c r="I91" s="102"/>
      <c r="J91" s="102" t="s">
        <v>1707</v>
      </c>
      <c r="K91" s="102"/>
      <c r="L91" s="102"/>
      <c r="M91" s="102"/>
      <c r="N91" s="102"/>
      <c r="O91" s="234" t="s">
        <v>1738</v>
      </c>
      <c r="P91" s="103">
        <v>46398</v>
      </c>
      <c r="Q91" s="103">
        <v>46535</v>
      </c>
      <c r="R91" s="102"/>
      <c r="S91" s="104">
        <v>95</v>
      </c>
      <c r="T91" s="104">
        <v>0</v>
      </c>
      <c r="U91" s="104">
        <v>95</v>
      </c>
      <c r="V91" s="104">
        <v>0</v>
      </c>
      <c r="W91" s="103"/>
      <c r="X91" s="103"/>
      <c r="Y91" s="105"/>
      <c r="Z91" s="106">
        <v>0</v>
      </c>
      <c r="AA91" s="104">
        <v>1</v>
      </c>
      <c r="AB91" s="102"/>
      <c r="AC91" s="102"/>
      <c r="AD91" s="116">
        <v>0</v>
      </c>
      <c r="AE91" s="198">
        <v>0</v>
      </c>
      <c r="AF91" s="119"/>
      <c r="AG91" s="120"/>
      <c r="AH91" s="120"/>
      <c r="AI91" s="120"/>
      <c r="AJ91" s="120"/>
      <c r="AK91" s="120"/>
      <c r="AL91" s="120"/>
      <c r="AM91" s="120"/>
      <c r="AN91" s="120"/>
      <c r="AO91" s="120"/>
      <c r="AP91" s="120"/>
      <c r="AQ91" s="120"/>
      <c r="AR91" s="120"/>
      <c r="AS91" s="120"/>
      <c r="AT91" s="120"/>
      <c r="AU91" s="120"/>
      <c r="AV91" s="120"/>
      <c r="AW91" s="120"/>
      <c r="AX91" s="120"/>
      <c r="AY91" s="120"/>
      <c r="AZ91" s="120"/>
      <c r="BA91" s="120"/>
      <c r="BB91" s="120"/>
      <c r="BC91" s="120"/>
      <c r="BD91" s="120"/>
      <c r="BE91" s="120"/>
      <c r="BF91" s="120"/>
      <c r="BG91" s="120"/>
      <c r="BH91" s="120"/>
      <c r="BI91" s="120" t="str">
        <f>" " &amp; TEXT(AE91,"#0.00%") &amp; " "</f>
        <v xml:space="preserve"> 0.00% </v>
      </c>
      <c r="BJ91" s="120"/>
      <c r="BK91" s="120"/>
      <c r="BL91" s="120"/>
      <c r="BM91" s="120"/>
      <c r="BN91" s="120"/>
      <c r="BO91" s="120"/>
      <c r="BP91" s="120"/>
      <c r="BQ91" s="120"/>
      <c r="BR91" s="120"/>
      <c r="BS91" s="120"/>
      <c r="BT91" s="120"/>
      <c r="BU91" s="120"/>
      <c r="BV91" s="120"/>
      <c r="BW91" s="120"/>
      <c r="BX91" s="120"/>
      <c r="BY91" s="120"/>
      <c r="BZ91" s="120"/>
      <c r="CA91" s="120"/>
      <c r="CB91" s="120" t="str">
        <f>"      " &amp; "기능 개발" &amp; " " &amp; IF(P91="","",TEXT(P91,"M/D-")) &amp; IF(Q91="","",TEXT(Q91,"M/D")) &amp; " "</f>
        <v xml:space="preserve">      기능 개발 1/11-5/28 </v>
      </c>
      <c r="CC91" s="120"/>
      <c r="CD91" s="120"/>
      <c r="CE91" s="120"/>
      <c r="CF91" s="120"/>
      <c r="CG91" s="120"/>
    </row>
    <row r="92" spans="1:85" ht="12" customHeight="1" outlineLevel="5">
      <c r="A92" s="101"/>
      <c r="B92" s="101"/>
      <c r="C92" s="101">
        <v>6</v>
      </c>
      <c r="D92" s="117" t="s">
        <v>1784</v>
      </c>
      <c r="E92" s="102"/>
      <c r="F92" s="102"/>
      <c r="G92" s="102"/>
      <c r="H92" s="102"/>
      <c r="I92" s="102"/>
      <c r="J92" s="102" t="s">
        <v>1708</v>
      </c>
      <c r="K92" s="102"/>
      <c r="L92" s="102"/>
      <c r="M92" s="102"/>
      <c r="N92" s="102"/>
      <c r="O92" s="234"/>
      <c r="P92" s="103">
        <v>46405</v>
      </c>
      <c r="Q92" s="103">
        <v>46535</v>
      </c>
      <c r="R92" s="102"/>
      <c r="S92" s="104">
        <v>90</v>
      </c>
      <c r="T92" s="104">
        <v>0</v>
      </c>
      <c r="U92" s="104">
        <v>90</v>
      </c>
      <c r="V92" s="104">
        <v>0</v>
      </c>
      <c r="W92" s="103">
        <v>46163</v>
      </c>
      <c r="X92" s="103"/>
      <c r="Y92" s="105">
        <v>-32968</v>
      </c>
      <c r="Z92" s="106">
        <v>0</v>
      </c>
      <c r="AA92" s="104">
        <v>1</v>
      </c>
      <c r="AB92" s="102"/>
      <c r="AC92" s="102"/>
      <c r="AD92" s="116">
        <v>0</v>
      </c>
      <c r="AE92" s="198">
        <v>0</v>
      </c>
      <c r="AF92" s="119"/>
      <c r="AG92" s="120"/>
      <c r="AH92" s="120"/>
      <c r="AI92" s="120"/>
      <c r="AJ92" s="120"/>
      <c r="AK92" s="120"/>
      <c r="AL92" s="120"/>
      <c r="AM92" s="120"/>
      <c r="AN92" s="120"/>
      <c r="AO92" s="120"/>
      <c r="AP92" s="120"/>
      <c r="AQ92" s="120"/>
      <c r="AR92" s="120"/>
      <c r="AS92" s="120"/>
      <c r="AT92" s="120"/>
      <c r="AU92" s="120"/>
      <c r="AV92" s="120"/>
      <c r="AW92" s="120"/>
      <c r="AX92" s="120"/>
      <c r="AY92" s="120"/>
      <c r="AZ92" s="120"/>
      <c r="BA92" s="120"/>
      <c r="BB92" s="120"/>
      <c r="BC92" s="120"/>
      <c r="BD92" s="120"/>
      <c r="BE92" s="120"/>
      <c r="BF92" s="120"/>
      <c r="BG92" s="120"/>
      <c r="BH92" s="120"/>
      <c r="BI92" s="120"/>
      <c r="BJ92" s="120" t="str">
        <f>" " &amp; TEXT(AE92,"#0.00%") &amp; " "</f>
        <v xml:space="preserve"> 0.00% </v>
      </c>
      <c r="BK92" s="120"/>
      <c r="BL92" s="120"/>
      <c r="BM92" s="120"/>
      <c r="BN92" s="120"/>
      <c r="BO92" s="120"/>
      <c r="BP92" s="120"/>
      <c r="BQ92" s="120"/>
      <c r="BR92" s="120"/>
      <c r="BS92" s="120"/>
      <c r="BT92" s="120"/>
      <c r="BU92" s="120"/>
      <c r="BV92" s="120"/>
      <c r="BW92" s="120"/>
      <c r="BX92" s="120"/>
      <c r="BY92" s="120"/>
      <c r="BZ92" s="120"/>
      <c r="CA92" s="120"/>
      <c r="CB92" s="120" t="str">
        <f>"      " &amp; "단위테스트" &amp; " " &amp; IF(P92="","",TEXT(P92,"M/D-")) &amp; IF(Q92="","",TEXT(Q92,"M/D")) &amp; " "</f>
        <v xml:space="preserve">      단위테스트 1/18-5/28 </v>
      </c>
      <c r="CC92" s="120"/>
      <c r="CD92" s="120"/>
      <c r="CE92" s="120"/>
      <c r="CF92" s="120"/>
      <c r="CG92" s="120"/>
    </row>
    <row r="93" spans="1:85" ht="12" customHeight="1" outlineLevel="4">
      <c r="A93" s="101"/>
      <c r="B93" s="101" t="s">
        <v>1392</v>
      </c>
      <c r="C93" s="101">
        <v>5</v>
      </c>
      <c r="D93" s="117" t="s">
        <v>1785</v>
      </c>
      <c r="E93" s="102"/>
      <c r="F93" s="102"/>
      <c r="G93" s="102"/>
      <c r="H93" s="102"/>
      <c r="I93" s="102" t="s">
        <v>1709</v>
      </c>
      <c r="J93" s="102"/>
      <c r="K93" s="102"/>
      <c r="L93" s="102"/>
      <c r="M93" s="102"/>
      <c r="N93" s="102"/>
      <c r="O93" s="234"/>
      <c r="P93" s="103">
        <v>46398</v>
      </c>
      <c r="Q93" s="103">
        <v>46535</v>
      </c>
      <c r="R93" s="102"/>
      <c r="S93" s="104">
        <v>185</v>
      </c>
      <c r="T93" s="104">
        <v>0</v>
      </c>
      <c r="U93" s="104">
        <v>95</v>
      </c>
      <c r="V93" s="104">
        <v>0</v>
      </c>
      <c r="W93" s="103"/>
      <c r="X93" s="103"/>
      <c r="Y93" s="105">
        <v>0</v>
      </c>
      <c r="Z93" s="106">
        <v>0</v>
      </c>
      <c r="AA93" s="104"/>
      <c r="AB93" s="102"/>
      <c r="AC93" s="102"/>
      <c r="AD93" s="116">
        <v>0</v>
      </c>
      <c r="AE93" s="207">
        <v>0</v>
      </c>
      <c r="AF93" s="119"/>
      <c r="AG93" s="120"/>
      <c r="AH93" s="120"/>
      <c r="AI93" s="120"/>
      <c r="AJ93" s="120"/>
      <c r="AK93" s="120"/>
      <c r="AL93" s="120"/>
      <c r="AM93" s="120"/>
      <c r="AN93" s="120"/>
      <c r="AO93" s="120"/>
      <c r="AP93" s="120"/>
      <c r="AQ93" s="120"/>
      <c r="AR93" s="120"/>
      <c r="AS93" s="120"/>
      <c r="AT93" s="120"/>
      <c r="AU93" s="120"/>
      <c r="AV93" s="120"/>
      <c r="AW93" s="120"/>
      <c r="AX93" s="120"/>
      <c r="AY93" s="120"/>
      <c r="AZ93" s="120"/>
      <c r="BA93" s="120"/>
      <c r="BB93" s="120"/>
      <c r="BC93" s="120"/>
      <c r="BD93" s="120"/>
      <c r="BE93" s="120"/>
      <c r="BF93" s="120"/>
      <c r="BG93" s="120"/>
      <c r="BH93" s="120"/>
      <c r="BI93" s="120" t="str">
        <f>" " &amp; TEXT(AE93,"#0.00%") &amp; " "</f>
        <v xml:space="preserve"> 0.00% </v>
      </c>
      <c r="BJ93" s="120"/>
      <c r="BK93" s="120"/>
      <c r="BL93" s="120"/>
      <c r="BM93" s="120"/>
      <c r="BN93" s="120"/>
      <c r="BO93" s="120"/>
      <c r="BP93" s="120"/>
      <c r="BQ93" s="120"/>
      <c r="BR93" s="120"/>
      <c r="BS93" s="120"/>
      <c r="BT93" s="120"/>
      <c r="BU93" s="120"/>
      <c r="BV93" s="120"/>
      <c r="BW93" s="120"/>
      <c r="BX93" s="120"/>
      <c r="BY93" s="120"/>
      <c r="BZ93" s="120"/>
      <c r="CA93" s="120"/>
      <c r="CB93" s="120" t="str">
        <f>"      " &amp; "지하철 실내 내비게이션" &amp; " " &amp; IF(P93="","",TEXT(P93,"M/D-")) &amp; IF(Q93="","",TEXT(Q93,"M/D")) &amp; " "</f>
        <v xml:space="preserve">      지하철 실내 내비게이션 1/11-5/28 </v>
      </c>
      <c r="CC93" s="120"/>
      <c r="CD93" s="120"/>
      <c r="CE93" s="120"/>
      <c r="CF93" s="120"/>
      <c r="CG93" s="120"/>
    </row>
    <row r="94" spans="1:85" ht="12" customHeight="1" outlineLevel="5">
      <c r="A94" s="101"/>
      <c r="B94" s="101"/>
      <c r="C94" s="101">
        <v>6</v>
      </c>
      <c r="D94" s="117" t="s">
        <v>1786</v>
      </c>
      <c r="E94" s="102"/>
      <c r="F94" s="102"/>
      <c r="G94" s="102"/>
      <c r="H94" s="102"/>
      <c r="I94" s="102"/>
      <c r="J94" s="102" t="s">
        <v>1707</v>
      </c>
      <c r="K94" s="102"/>
      <c r="L94" s="102"/>
      <c r="M94" s="102"/>
      <c r="N94" s="102"/>
      <c r="O94" s="234" t="s">
        <v>1738</v>
      </c>
      <c r="P94" s="103">
        <v>46398</v>
      </c>
      <c r="Q94" s="103">
        <v>46535</v>
      </c>
      <c r="R94" s="102"/>
      <c r="S94" s="104">
        <v>95</v>
      </c>
      <c r="T94" s="104">
        <v>0</v>
      </c>
      <c r="U94" s="104">
        <v>95</v>
      </c>
      <c r="V94" s="104">
        <v>0</v>
      </c>
      <c r="W94" s="103"/>
      <c r="X94" s="103"/>
      <c r="Y94" s="105"/>
      <c r="Z94" s="106">
        <v>0</v>
      </c>
      <c r="AA94" s="104">
        <v>1</v>
      </c>
      <c r="AB94" s="102"/>
      <c r="AC94" s="102"/>
      <c r="AD94" s="116">
        <v>0</v>
      </c>
      <c r="AE94" s="198">
        <v>0</v>
      </c>
      <c r="AF94" s="119"/>
      <c r="AG94" s="120"/>
      <c r="AH94" s="120"/>
      <c r="AI94" s="120"/>
      <c r="AJ94" s="120"/>
      <c r="AK94" s="120"/>
      <c r="AL94" s="120"/>
      <c r="AM94" s="120"/>
      <c r="AN94" s="120"/>
      <c r="AO94" s="120"/>
      <c r="AP94" s="120"/>
      <c r="AQ94" s="120"/>
      <c r="AR94" s="120"/>
      <c r="AS94" s="120"/>
      <c r="AT94" s="120"/>
      <c r="AU94" s="120"/>
      <c r="AV94" s="120"/>
      <c r="AW94" s="120"/>
      <c r="AX94" s="120"/>
      <c r="AY94" s="120"/>
      <c r="AZ94" s="120"/>
      <c r="BA94" s="120"/>
      <c r="BB94" s="120"/>
      <c r="BC94" s="120"/>
      <c r="BD94" s="120"/>
      <c r="BE94" s="120"/>
      <c r="BF94" s="120"/>
      <c r="BG94" s="120"/>
      <c r="BH94" s="120"/>
      <c r="BI94" s="120" t="str">
        <f>" " &amp; TEXT(AE94,"#0.00%") &amp; " "</f>
        <v xml:space="preserve"> 0.00% </v>
      </c>
      <c r="BJ94" s="120"/>
      <c r="BK94" s="120"/>
      <c r="BL94" s="120"/>
      <c r="BM94" s="120"/>
      <c r="BN94" s="120"/>
      <c r="BO94" s="120"/>
      <c r="BP94" s="120"/>
      <c r="BQ94" s="120"/>
      <c r="BR94" s="120"/>
      <c r="BS94" s="120"/>
      <c r="BT94" s="120"/>
      <c r="BU94" s="120"/>
      <c r="BV94" s="120"/>
      <c r="BW94" s="120"/>
      <c r="BX94" s="120"/>
      <c r="BY94" s="120"/>
      <c r="BZ94" s="120"/>
      <c r="CA94" s="120"/>
      <c r="CB94" s="120" t="str">
        <f>"      " &amp; "기능 개발" &amp; " " &amp; IF(P94="","",TEXT(P94,"M/D-")) &amp; IF(Q94="","",TEXT(Q94,"M/D")) &amp; " "</f>
        <v xml:space="preserve">      기능 개발 1/11-5/28 </v>
      </c>
      <c r="CC94" s="120"/>
      <c r="CD94" s="120"/>
      <c r="CE94" s="120"/>
      <c r="CF94" s="120"/>
      <c r="CG94" s="120"/>
    </row>
    <row r="95" spans="1:85" ht="12" customHeight="1" outlineLevel="5">
      <c r="A95" s="101"/>
      <c r="B95" s="101"/>
      <c r="C95" s="101">
        <v>6</v>
      </c>
      <c r="D95" s="117" t="s">
        <v>1787</v>
      </c>
      <c r="E95" s="102"/>
      <c r="F95" s="102"/>
      <c r="G95" s="102"/>
      <c r="H95" s="102"/>
      <c r="I95" s="102"/>
      <c r="J95" s="102" t="s">
        <v>1708</v>
      </c>
      <c r="K95" s="102"/>
      <c r="L95" s="102"/>
      <c r="M95" s="102"/>
      <c r="N95" s="102"/>
      <c r="O95" s="234"/>
      <c r="P95" s="103">
        <v>46405</v>
      </c>
      <c r="Q95" s="103">
        <v>46535</v>
      </c>
      <c r="R95" s="102"/>
      <c r="S95" s="104">
        <v>90</v>
      </c>
      <c r="T95" s="104">
        <v>0</v>
      </c>
      <c r="U95" s="104">
        <v>90</v>
      </c>
      <c r="V95" s="104">
        <v>0</v>
      </c>
      <c r="W95" s="103">
        <v>46163</v>
      </c>
      <c r="X95" s="103"/>
      <c r="Y95" s="105">
        <v>-32968</v>
      </c>
      <c r="Z95" s="106">
        <v>0</v>
      </c>
      <c r="AA95" s="104">
        <v>1</v>
      </c>
      <c r="AB95" s="102"/>
      <c r="AC95" s="102"/>
      <c r="AD95" s="116">
        <v>0</v>
      </c>
      <c r="AE95" s="198">
        <v>0</v>
      </c>
      <c r="AF95" s="119"/>
      <c r="AG95" s="120"/>
      <c r="AH95" s="120"/>
      <c r="AI95" s="120"/>
      <c r="AJ95" s="120"/>
      <c r="AK95" s="120"/>
      <c r="AL95" s="120"/>
      <c r="AM95" s="120"/>
      <c r="AN95" s="120"/>
      <c r="AO95" s="120"/>
      <c r="AP95" s="120"/>
      <c r="AQ95" s="120"/>
      <c r="AR95" s="120"/>
      <c r="AS95" s="120"/>
      <c r="AT95" s="120"/>
      <c r="AU95" s="120"/>
      <c r="AV95" s="120"/>
      <c r="AW95" s="120"/>
      <c r="AX95" s="120"/>
      <c r="AY95" s="120"/>
      <c r="AZ95" s="120"/>
      <c r="BA95" s="120"/>
      <c r="BB95" s="120"/>
      <c r="BC95" s="120"/>
      <c r="BD95" s="120"/>
      <c r="BE95" s="120"/>
      <c r="BF95" s="120"/>
      <c r="BG95" s="120"/>
      <c r="BH95" s="120"/>
      <c r="BI95" s="120"/>
      <c r="BJ95" s="120" t="str">
        <f>" " &amp; TEXT(AE95,"#0.00%") &amp; " "</f>
        <v xml:space="preserve"> 0.00% </v>
      </c>
      <c r="BK95" s="120"/>
      <c r="BL95" s="120"/>
      <c r="BM95" s="120"/>
      <c r="BN95" s="120"/>
      <c r="BO95" s="120"/>
      <c r="BP95" s="120"/>
      <c r="BQ95" s="120"/>
      <c r="BR95" s="120"/>
      <c r="BS95" s="120"/>
      <c r="BT95" s="120"/>
      <c r="BU95" s="120"/>
      <c r="BV95" s="120"/>
      <c r="BW95" s="120"/>
      <c r="BX95" s="120"/>
      <c r="BY95" s="120"/>
      <c r="BZ95" s="120"/>
      <c r="CA95" s="120"/>
      <c r="CB95" s="120" t="str">
        <f>"      " &amp; "단위테스트" &amp; " " &amp; IF(P95="","",TEXT(P95,"M/D-")) &amp; IF(Q95="","",TEXT(Q95,"M/D")) &amp; " "</f>
        <v xml:space="preserve">      단위테스트 1/18-5/28 </v>
      </c>
      <c r="CC95" s="120"/>
      <c r="CD95" s="120"/>
      <c r="CE95" s="120"/>
      <c r="CF95" s="120"/>
      <c r="CG95" s="120"/>
    </row>
    <row r="96" spans="1:85" ht="12" customHeight="1" outlineLevel="4">
      <c r="A96" s="101"/>
      <c r="B96" s="101" t="s">
        <v>1392</v>
      </c>
      <c r="C96" s="101">
        <v>5</v>
      </c>
      <c r="D96" s="117" t="s">
        <v>1788</v>
      </c>
      <c r="E96" s="102"/>
      <c r="F96" s="102"/>
      <c r="G96" s="102"/>
      <c r="H96" s="102"/>
      <c r="I96" s="102" t="s">
        <v>1741</v>
      </c>
      <c r="J96" s="102"/>
      <c r="K96" s="102"/>
      <c r="L96" s="102"/>
      <c r="M96" s="102"/>
      <c r="N96" s="102"/>
      <c r="O96" s="234" t="s">
        <v>1741</v>
      </c>
      <c r="P96" s="103">
        <v>46398</v>
      </c>
      <c r="Q96" s="103">
        <v>46535</v>
      </c>
      <c r="R96" s="102"/>
      <c r="S96" s="104">
        <v>237</v>
      </c>
      <c r="T96" s="104">
        <v>0</v>
      </c>
      <c r="U96" s="104">
        <v>95</v>
      </c>
      <c r="V96" s="104">
        <v>0</v>
      </c>
      <c r="W96" s="103"/>
      <c r="X96" s="103"/>
      <c r="Y96" s="105">
        <v>0</v>
      </c>
      <c r="Z96" s="106">
        <v>0</v>
      </c>
      <c r="AA96" s="104"/>
      <c r="AB96" s="102"/>
      <c r="AC96" s="102"/>
      <c r="AD96" s="116">
        <v>0</v>
      </c>
      <c r="AE96" s="207">
        <v>0</v>
      </c>
      <c r="AF96" s="119"/>
      <c r="AG96" s="120"/>
      <c r="AH96" s="120"/>
      <c r="AI96" s="120"/>
      <c r="AJ96" s="120"/>
      <c r="AK96" s="120"/>
      <c r="AL96" s="120"/>
      <c r="AM96" s="120"/>
      <c r="AN96" s="120"/>
      <c r="AO96" s="120"/>
      <c r="AP96" s="120"/>
      <c r="AQ96" s="120"/>
      <c r="AR96" s="120"/>
      <c r="AS96" s="120"/>
      <c r="AT96" s="120"/>
      <c r="AU96" s="120"/>
      <c r="AV96" s="120"/>
      <c r="AW96" s="120"/>
      <c r="AX96" s="120"/>
      <c r="AY96" s="120"/>
      <c r="AZ96" s="120"/>
      <c r="BA96" s="120"/>
      <c r="BB96" s="120"/>
      <c r="BC96" s="120"/>
      <c r="BD96" s="120"/>
      <c r="BE96" s="120"/>
      <c r="BF96" s="120"/>
      <c r="BG96" s="120"/>
      <c r="BH96" s="120"/>
      <c r="BI96" s="120" t="str">
        <f>" " &amp; TEXT(AE96,"#0.00%") &amp; " "</f>
        <v xml:space="preserve"> 0.00% </v>
      </c>
      <c r="BJ96" s="120"/>
      <c r="BK96" s="120"/>
      <c r="BL96" s="120"/>
      <c r="BM96" s="120"/>
      <c r="BN96" s="120"/>
      <c r="BO96" s="120"/>
      <c r="BP96" s="120"/>
      <c r="BQ96" s="120"/>
      <c r="BR96" s="120"/>
      <c r="BS96" s="120"/>
      <c r="BT96" s="120"/>
      <c r="BU96" s="120"/>
      <c r="BV96" s="120"/>
      <c r="BW96" s="120"/>
      <c r="BX96" s="120"/>
      <c r="BY96" s="120"/>
      <c r="BZ96" s="120"/>
      <c r="CA96" s="120"/>
      <c r="CB96" s="120" t="str">
        <f>"      " &amp; "AI 음성인식 및 안내" &amp; " " &amp; IF(P96="","",TEXT(P96,"M/D-")) &amp; IF(Q96="","",TEXT(Q96,"M/D")) &amp; " "</f>
        <v xml:space="preserve">      AI 음성인식 및 안내 1/11-5/28 </v>
      </c>
      <c r="CC96" s="120"/>
      <c r="CD96" s="120"/>
      <c r="CE96" s="120"/>
      <c r="CF96" s="120"/>
      <c r="CG96" s="120"/>
    </row>
    <row r="97" spans="1:85" ht="12" customHeight="1" outlineLevel="5">
      <c r="A97" s="101"/>
      <c r="B97" s="101"/>
      <c r="C97" s="101">
        <v>6</v>
      </c>
      <c r="D97" s="117" t="s">
        <v>1789</v>
      </c>
      <c r="E97" s="102"/>
      <c r="F97" s="102"/>
      <c r="G97" s="102"/>
      <c r="H97" s="102"/>
      <c r="I97" s="102"/>
      <c r="J97" s="102" t="s">
        <v>1707</v>
      </c>
      <c r="K97" s="102"/>
      <c r="L97" s="102"/>
      <c r="M97" s="102"/>
      <c r="N97" s="102"/>
      <c r="O97" s="234"/>
      <c r="P97" s="103">
        <v>46398</v>
      </c>
      <c r="Q97" s="103">
        <v>46535</v>
      </c>
      <c r="R97" s="102"/>
      <c r="S97" s="104">
        <v>95</v>
      </c>
      <c r="T97" s="104">
        <v>0</v>
      </c>
      <c r="U97" s="104">
        <v>95</v>
      </c>
      <c r="V97" s="104">
        <v>0</v>
      </c>
      <c r="W97" s="103"/>
      <c r="X97" s="103"/>
      <c r="Y97" s="105"/>
      <c r="Z97" s="106">
        <v>0</v>
      </c>
      <c r="AA97" s="104">
        <v>1</v>
      </c>
      <c r="AB97" s="102"/>
      <c r="AC97" s="102"/>
      <c r="AD97" s="116">
        <v>0</v>
      </c>
      <c r="AE97" s="198">
        <v>0</v>
      </c>
      <c r="AF97" s="119"/>
      <c r="AG97" s="120"/>
      <c r="AH97" s="120"/>
      <c r="AI97" s="120"/>
      <c r="AJ97" s="120"/>
      <c r="AK97" s="120"/>
      <c r="AL97" s="120"/>
      <c r="AM97" s="120"/>
      <c r="AN97" s="120"/>
      <c r="AO97" s="120"/>
      <c r="AP97" s="120"/>
      <c r="AQ97" s="120"/>
      <c r="AR97" s="120"/>
      <c r="AS97" s="120"/>
      <c r="AT97" s="120"/>
      <c r="AU97" s="120"/>
      <c r="AV97" s="120"/>
      <c r="AW97" s="120"/>
      <c r="AX97" s="120"/>
      <c r="AY97" s="120"/>
      <c r="AZ97" s="120"/>
      <c r="BA97" s="120"/>
      <c r="BB97" s="120"/>
      <c r="BC97" s="120"/>
      <c r="BD97" s="120"/>
      <c r="BE97" s="120"/>
      <c r="BF97" s="120"/>
      <c r="BG97" s="120"/>
      <c r="BH97" s="120"/>
      <c r="BI97" s="120" t="str">
        <f>" " &amp; TEXT(AE97,"#0.00%") &amp; " "</f>
        <v xml:space="preserve"> 0.00% </v>
      </c>
      <c r="BJ97" s="120"/>
      <c r="BK97" s="120"/>
      <c r="BL97" s="120"/>
      <c r="BM97" s="120"/>
      <c r="BN97" s="120"/>
      <c r="BO97" s="120"/>
      <c r="BP97" s="120"/>
      <c r="BQ97" s="120"/>
      <c r="BR97" s="120"/>
      <c r="BS97" s="120"/>
      <c r="BT97" s="120"/>
      <c r="BU97" s="120"/>
      <c r="BV97" s="120"/>
      <c r="BW97" s="120"/>
      <c r="BX97" s="120"/>
      <c r="BY97" s="120"/>
      <c r="BZ97" s="120"/>
      <c r="CA97" s="120"/>
      <c r="CB97" s="120" t="str">
        <f>"      " &amp; "기능 개발" &amp; " " &amp; IF(P97="","",TEXT(P97,"M/D-")) &amp; IF(Q97="","",TEXT(Q97,"M/D")) &amp; " "</f>
        <v xml:space="preserve">      기능 개발 1/11-5/28 </v>
      </c>
      <c r="CC97" s="120"/>
      <c r="CD97" s="120"/>
      <c r="CE97" s="120"/>
      <c r="CF97" s="120"/>
      <c r="CG97" s="120"/>
    </row>
    <row r="98" spans="1:85" ht="12" customHeight="1" outlineLevel="5">
      <c r="A98" s="101"/>
      <c r="B98" s="101"/>
      <c r="C98" s="101">
        <v>6</v>
      </c>
      <c r="D98" s="117" t="s">
        <v>1790</v>
      </c>
      <c r="E98" s="102"/>
      <c r="F98" s="102"/>
      <c r="G98" s="102"/>
      <c r="H98" s="102"/>
      <c r="I98" s="102"/>
      <c r="J98" s="102" t="s">
        <v>1774</v>
      </c>
      <c r="K98" s="102"/>
      <c r="L98" s="102"/>
      <c r="M98" s="102"/>
      <c r="N98" s="102"/>
      <c r="O98" s="234" t="s">
        <v>1775</v>
      </c>
      <c r="P98" s="103">
        <v>46398</v>
      </c>
      <c r="Q98" s="103">
        <v>46472</v>
      </c>
      <c r="R98" s="102"/>
      <c r="S98" s="104">
        <v>52</v>
      </c>
      <c r="T98" s="104">
        <v>0</v>
      </c>
      <c r="U98" s="104">
        <v>52</v>
      </c>
      <c r="V98" s="104">
        <v>0</v>
      </c>
      <c r="W98" s="103"/>
      <c r="X98" s="103"/>
      <c r="Y98" s="105"/>
      <c r="Z98" s="106">
        <v>0</v>
      </c>
      <c r="AA98" s="104"/>
      <c r="AB98" s="102"/>
      <c r="AC98" s="102"/>
      <c r="AD98" s="116">
        <v>0</v>
      </c>
      <c r="AE98" s="198">
        <v>0</v>
      </c>
      <c r="AF98" s="119"/>
      <c r="AG98" s="120"/>
      <c r="AH98" s="120"/>
      <c r="AI98" s="120"/>
      <c r="AJ98" s="120"/>
      <c r="AK98" s="120"/>
      <c r="AL98" s="120"/>
      <c r="AM98" s="120"/>
      <c r="AN98" s="120"/>
      <c r="AO98" s="120"/>
      <c r="AP98" s="120"/>
      <c r="AQ98" s="120"/>
      <c r="AR98" s="120"/>
      <c r="AS98" s="120"/>
      <c r="AT98" s="120"/>
      <c r="AU98" s="120"/>
      <c r="AV98" s="120"/>
      <c r="AW98" s="120"/>
      <c r="AX98" s="120"/>
      <c r="AY98" s="120"/>
      <c r="AZ98" s="120"/>
      <c r="BA98" s="120"/>
      <c r="BB98" s="120"/>
      <c r="BC98" s="120"/>
      <c r="BD98" s="120"/>
      <c r="BE98" s="120"/>
      <c r="BF98" s="120"/>
      <c r="BG98" s="120"/>
      <c r="BH98" s="120"/>
      <c r="BI98" s="120" t="str">
        <f>" " &amp; TEXT(AE98,"#0.00%") &amp; " "</f>
        <v xml:space="preserve"> 0.00% </v>
      </c>
      <c r="BJ98" s="120"/>
      <c r="BK98" s="120"/>
      <c r="BL98" s="120"/>
      <c r="BM98" s="120"/>
      <c r="BN98" s="120"/>
      <c r="BO98" s="120"/>
      <c r="BP98" s="120"/>
      <c r="BQ98" s="120"/>
      <c r="BR98" s="120"/>
      <c r="BS98" s="120" t="str">
        <f>"      " &amp; "AI 학습 데이터" &amp; " " &amp; IF(P98="","",TEXT(P98,"M/D-")) &amp; IF(Q98="","",TEXT(Q98,"M/D")) &amp; " "</f>
        <v xml:space="preserve">      AI 학습 데이터 1/11-3/26 </v>
      </c>
      <c r="BT98" s="120"/>
      <c r="BU98" s="120"/>
      <c r="BV98" s="120"/>
      <c r="BW98" s="120"/>
      <c r="BX98" s="120"/>
      <c r="BY98" s="120"/>
      <c r="BZ98" s="120"/>
      <c r="CA98" s="120"/>
      <c r="CB98" s="120"/>
      <c r="CC98" s="120"/>
      <c r="CD98" s="120"/>
      <c r="CE98" s="120"/>
      <c r="CF98" s="120"/>
      <c r="CG98" s="120"/>
    </row>
    <row r="99" spans="1:85" ht="12" customHeight="1" outlineLevel="5">
      <c r="A99" s="101"/>
      <c r="B99" s="101"/>
      <c r="C99" s="101">
        <v>6</v>
      </c>
      <c r="D99" s="117" t="s">
        <v>1791</v>
      </c>
      <c r="E99" s="102"/>
      <c r="F99" s="102"/>
      <c r="G99" s="102"/>
      <c r="H99" s="102"/>
      <c r="I99" s="102"/>
      <c r="J99" s="102" t="s">
        <v>1708</v>
      </c>
      <c r="K99" s="102"/>
      <c r="L99" s="102"/>
      <c r="M99" s="102"/>
      <c r="N99" s="102"/>
      <c r="O99" s="234"/>
      <c r="P99" s="103">
        <v>46405</v>
      </c>
      <c r="Q99" s="103">
        <v>46535</v>
      </c>
      <c r="R99" s="102"/>
      <c r="S99" s="104">
        <v>90</v>
      </c>
      <c r="T99" s="104">
        <v>0</v>
      </c>
      <c r="U99" s="104">
        <v>90</v>
      </c>
      <c r="V99" s="104">
        <v>0</v>
      </c>
      <c r="W99" s="103">
        <v>46163</v>
      </c>
      <c r="X99" s="103"/>
      <c r="Y99" s="105">
        <v>-32968</v>
      </c>
      <c r="Z99" s="106">
        <v>0</v>
      </c>
      <c r="AA99" s="104">
        <v>1</v>
      </c>
      <c r="AB99" s="102"/>
      <c r="AC99" s="102"/>
      <c r="AD99" s="116">
        <v>0</v>
      </c>
      <c r="AE99" s="198">
        <v>0</v>
      </c>
      <c r="AF99" s="119"/>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20"/>
      <c r="BG99" s="120"/>
      <c r="BH99" s="120"/>
      <c r="BI99" s="120"/>
      <c r="BJ99" s="120" t="str">
        <f>" " &amp; TEXT(AE99,"#0.00%") &amp; " "</f>
        <v xml:space="preserve"> 0.00% </v>
      </c>
      <c r="BK99" s="120"/>
      <c r="BL99" s="120"/>
      <c r="BM99" s="120"/>
      <c r="BN99" s="120"/>
      <c r="BO99" s="120"/>
      <c r="BP99" s="120"/>
      <c r="BQ99" s="120"/>
      <c r="BR99" s="120"/>
      <c r="BS99" s="120"/>
      <c r="BT99" s="120"/>
      <c r="BU99" s="120"/>
      <c r="BV99" s="120"/>
      <c r="BW99" s="120"/>
      <c r="BX99" s="120"/>
      <c r="BY99" s="120"/>
      <c r="BZ99" s="120"/>
      <c r="CA99" s="120"/>
      <c r="CB99" s="120" t="str">
        <f>"      " &amp; "단위테스트" &amp; " " &amp; IF(P99="","",TEXT(P99,"M/D-")) &amp; IF(Q99="","",TEXT(Q99,"M/D")) &amp; " "</f>
        <v xml:space="preserve">      단위테스트 1/18-5/28 </v>
      </c>
      <c r="CC99" s="120"/>
      <c r="CD99" s="120"/>
      <c r="CE99" s="120"/>
      <c r="CF99" s="120"/>
      <c r="CG99" s="120"/>
    </row>
    <row r="100" spans="1:85" ht="12" customHeight="1" outlineLevel="4">
      <c r="A100" s="101"/>
      <c r="B100" s="101" t="s">
        <v>1392</v>
      </c>
      <c r="C100" s="101">
        <v>5</v>
      </c>
      <c r="D100" s="117" t="s">
        <v>1792</v>
      </c>
      <c r="E100" s="102"/>
      <c r="F100" s="102"/>
      <c r="G100" s="102"/>
      <c r="H100" s="102"/>
      <c r="I100" s="102" t="s">
        <v>1710</v>
      </c>
      <c r="J100" s="102"/>
      <c r="K100" s="102"/>
      <c r="L100" s="102"/>
      <c r="M100" s="102"/>
      <c r="N100" s="102"/>
      <c r="O100" s="234"/>
      <c r="P100" s="103">
        <v>46398</v>
      </c>
      <c r="Q100" s="103">
        <v>46535</v>
      </c>
      <c r="R100" s="102"/>
      <c r="S100" s="104">
        <v>185</v>
      </c>
      <c r="T100" s="104">
        <v>0</v>
      </c>
      <c r="U100" s="104">
        <v>95</v>
      </c>
      <c r="V100" s="104">
        <v>0</v>
      </c>
      <c r="W100" s="103"/>
      <c r="X100" s="103"/>
      <c r="Y100" s="105">
        <v>0</v>
      </c>
      <c r="Z100" s="106">
        <v>0</v>
      </c>
      <c r="AA100" s="104"/>
      <c r="AB100" s="102"/>
      <c r="AC100" s="102"/>
      <c r="AD100" s="116">
        <v>0</v>
      </c>
      <c r="AE100" s="207">
        <v>0</v>
      </c>
      <c r="AF100" s="119"/>
      <c r="AG100" s="120"/>
      <c r="AH100" s="120"/>
      <c r="AI100" s="120"/>
      <c r="AJ100" s="120"/>
      <c r="AK100" s="120"/>
      <c r="AL100" s="120"/>
      <c r="AM100" s="120"/>
      <c r="AN100" s="120"/>
      <c r="AO100" s="120"/>
      <c r="AP100" s="120"/>
      <c r="AQ100" s="120"/>
      <c r="AR100" s="120"/>
      <c r="AS100" s="120"/>
      <c r="AT100" s="120"/>
      <c r="AU100" s="120"/>
      <c r="AV100" s="120"/>
      <c r="AW100" s="120"/>
      <c r="AX100" s="120"/>
      <c r="AY100" s="120"/>
      <c r="AZ100" s="120"/>
      <c r="BA100" s="120"/>
      <c r="BB100" s="120"/>
      <c r="BC100" s="120"/>
      <c r="BD100" s="120"/>
      <c r="BE100" s="120"/>
      <c r="BF100" s="120"/>
      <c r="BG100" s="120"/>
      <c r="BH100" s="120"/>
      <c r="BI100" s="120" t="str">
        <f>" " &amp; TEXT(AE100,"#0.00%") &amp; " "</f>
        <v xml:space="preserve"> 0.00% </v>
      </c>
      <c r="BJ100" s="120"/>
      <c r="BK100" s="120"/>
      <c r="BL100" s="120"/>
      <c r="BM100" s="120"/>
      <c r="BN100" s="120"/>
      <c r="BO100" s="120"/>
      <c r="BP100" s="120"/>
      <c r="BQ100" s="120"/>
      <c r="BR100" s="120"/>
      <c r="BS100" s="120"/>
      <c r="BT100" s="120"/>
      <c r="BU100" s="120"/>
      <c r="BV100" s="120"/>
      <c r="BW100" s="120"/>
      <c r="BX100" s="120"/>
      <c r="BY100" s="120"/>
      <c r="BZ100" s="120"/>
      <c r="CA100" s="120"/>
      <c r="CB100" s="120" t="str">
        <f>"      " &amp; "관리자페이지" &amp; " " &amp; IF(P100="","",TEXT(P100,"M/D-")) &amp; IF(Q100="","",TEXT(Q100,"M/D")) &amp; " "</f>
        <v xml:space="preserve">      관리자페이지 1/11-5/28 </v>
      </c>
      <c r="CC100" s="120"/>
      <c r="CD100" s="120"/>
      <c r="CE100" s="120"/>
      <c r="CF100" s="120"/>
      <c r="CG100" s="120"/>
    </row>
    <row r="101" spans="1:85" ht="12" customHeight="1" outlineLevel="5">
      <c r="A101" s="101"/>
      <c r="B101" s="101"/>
      <c r="C101" s="101">
        <v>6</v>
      </c>
      <c r="D101" s="117" t="s">
        <v>1793</v>
      </c>
      <c r="E101" s="102"/>
      <c r="F101" s="102"/>
      <c r="G101" s="102"/>
      <c r="H101" s="102"/>
      <c r="I101" s="102"/>
      <c r="J101" s="102" t="s">
        <v>1707</v>
      </c>
      <c r="K101" s="102"/>
      <c r="L101" s="102"/>
      <c r="M101" s="102"/>
      <c r="N101" s="102"/>
      <c r="O101" s="234" t="s">
        <v>1738</v>
      </c>
      <c r="P101" s="103">
        <v>46398</v>
      </c>
      <c r="Q101" s="103">
        <v>46535</v>
      </c>
      <c r="R101" s="102"/>
      <c r="S101" s="104">
        <v>95</v>
      </c>
      <c r="T101" s="104">
        <v>0</v>
      </c>
      <c r="U101" s="104">
        <v>95</v>
      </c>
      <c r="V101" s="104">
        <v>0</v>
      </c>
      <c r="W101" s="103"/>
      <c r="X101" s="103"/>
      <c r="Y101" s="105"/>
      <c r="Z101" s="106">
        <v>0</v>
      </c>
      <c r="AA101" s="104">
        <v>1</v>
      </c>
      <c r="AB101" s="102"/>
      <c r="AC101" s="102"/>
      <c r="AD101" s="116">
        <v>0</v>
      </c>
      <c r="AE101" s="198">
        <v>0</v>
      </c>
      <c r="AF101" s="119"/>
      <c r="AG101" s="120"/>
      <c r="AH101" s="120"/>
      <c r="AI101" s="120"/>
      <c r="AJ101" s="120"/>
      <c r="AK101" s="120"/>
      <c r="AL101" s="120"/>
      <c r="AM101" s="120"/>
      <c r="AN101" s="120"/>
      <c r="AO101" s="120"/>
      <c r="AP101" s="120"/>
      <c r="AQ101" s="120"/>
      <c r="AR101" s="120"/>
      <c r="AS101" s="120"/>
      <c r="AT101" s="120"/>
      <c r="AU101" s="120"/>
      <c r="AV101" s="120"/>
      <c r="AW101" s="120"/>
      <c r="AX101" s="120"/>
      <c r="AY101" s="120"/>
      <c r="AZ101" s="120"/>
      <c r="BA101" s="120"/>
      <c r="BB101" s="120"/>
      <c r="BC101" s="120"/>
      <c r="BD101" s="120"/>
      <c r="BE101" s="120"/>
      <c r="BF101" s="120"/>
      <c r="BG101" s="120"/>
      <c r="BH101" s="120"/>
      <c r="BI101" s="120" t="str">
        <f>" " &amp; TEXT(AE101,"#0.00%") &amp; " "</f>
        <v xml:space="preserve"> 0.00% </v>
      </c>
      <c r="BJ101" s="120"/>
      <c r="BK101" s="120"/>
      <c r="BL101" s="120"/>
      <c r="BM101" s="120"/>
      <c r="BN101" s="120"/>
      <c r="BO101" s="120"/>
      <c r="BP101" s="120"/>
      <c r="BQ101" s="120"/>
      <c r="BR101" s="120"/>
      <c r="BS101" s="120"/>
      <c r="BT101" s="120"/>
      <c r="BU101" s="120"/>
      <c r="BV101" s="120"/>
      <c r="BW101" s="120"/>
      <c r="BX101" s="120"/>
      <c r="BY101" s="120"/>
      <c r="BZ101" s="120"/>
      <c r="CA101" s="120"/>
      <c r="CB101" s="120" t="str">
        <f>"      " &amp; "기능 개발" &amp; " " &amp; IF(P101="","",TEXT(P101,"M/D-")) &amp; IF(Q101="","",TEXT(Q101,"M/D")) &amp; " "</f>
        <v xml:space="preserve">      기능 개발 1/11-5/28 </v>
      </c>
      <c r="CC101" s="120"/>
      <c r="CD101" s="120"/>
      <c r="CE101" s="120"/>
      <c r="CF101" s="120"/>
      <c r="CG101" s="120"/>
    </row>
    <row r="102" spans="1:85" ht="12" customHeight="1" outlineLevel="5">
      <c r="A102" s="101"/>
      <c r="B102" s="101"/>
      <c r="C102" s="101">
        <v>6</v>
      </c>
      <c r="D102" s="117" t="s">
        <v>1794</v>
      </c>
      <c r="E102" s="102"/>
      <c r="F102" s="102"/>
      <c r="G102" s="102"/>
      <c r="H102" s="102"/>
      <c r="I102" s="102"/>
      <c r="J102" s="102" t="s">
        <v>1708</v>
      </c>
      <c r="K102" s="102"/>
      <c r="L102" s="102"/>
      <c r="M102" s="102"/>
      <c r="N102" s="102"/>
      <c r="O102" s="234"/>
      <c r="P102" s="103">
        <v>46405</v>
      </c>
      <c r="Q102" s="103">
        <v>46535</v>
      </c>
      <c r="R102" s="102"/>
      <c r="S102" s="104">
        <v>90</v>
      </c>
      <c r="T102" s="104">
        <v>0</v>
      </c>
      <c r="U102" s="104">
        <v>90</v>
      </c>
      <c r="V102" s="104">
        <v>0</v>
      </c>
      <c r="W102" s="103">
        <v>46163</v>
      </c>
      <c r="X102" s="103"/>
      <c r="Y102" s="105">
        <v>-32968</v>
      </c>
      <c r="Z102" s="106">
        <v>0</v>
      </c>
      <c r="AA102" s="104">
        <v>1</v>
      </c>
      <c r="AB102" s="102"/>
      <c r="AC102" s="102"/>
      <c r="AD102" s="116">
        <v>0</v>
      </c>
      <c r="AE102" s="198">
        <v>0</v>
      </c>
      <c r="AF102" s="119"/>
      <c r="AG102" s="120"/>
      <c r="AH102" s="120"/>
      <c r="AI102" s="120"/>
      <c r="AJ102" s="120"/>
      <c r="AK102" s="120"/>
      <c r="AL102" s="120"/>
      <c r="AM102" s="120"/>
      <c r="AN102" s="120"/>
      <c r="AO102" s="120"/>
      <c r="AP102" s="120"/>
      <c r="AQ102" s="120"/>
      <c r="AR102" s="120"/>
      <c r="AS102" s="120"/>
      <c r="AT102" s="120"/>
      <c r="AU102" s="120"/>
      <c r="AV102" s="120"/>
      <c r="AW102" s="120"/>
      <c r="AX102" s="120"/>
      <c r="AY102" s="120"/>
      <c r="AZ102" s="120"/>
      <c r="BA102" s="120"/>
      <c r="BB102" s="120"/>
      <c r="BC102" s="120"/>
      <c r="BD102" s="120"/>
      <c r="BE102" s="120"/>
      <c r="BF102" s="120"/>
      <c r="BG102" s="120"/>
      <c r="BH102" s="120"/>
      <c r="BI102" s="120"/>
      <c r="BJ102" s="120" t="str">
        <f>" " &amp; TEXT(AE102,"#0.00%") &amp; " "</f>
        <v xml:space="preserve"> 0.00% </v>
      </c>
      <c r="BK102" s="120"/>
      <c r="BL102" s="120"/>
      <c r="BM102" s="120"/>
      <c r="BN102" s="120"/>
      <c r="BO102" s="120"/>
      <c r="BP102" s="120"/>
      <c r="BQ102" s="120"/>
      <c r="BR102" s="120"/>
      <c r="BS102" s="120"/>
      <c r="BT102" s="120"/>
      <c r="BU102" s="120"/>
      <c r="BV102" s="120"/>
      <c r="BW102" s="120"/>
      <c r="BX102" s="120"/>
      <c r="BY102" s="120"/>
      <c r="BZ102" s="120"/>
      <c r="CA102" s="120"/>
      <c r="CB102" s="120" t="str">
        <f>"      " &amp; "단위테스트" &amp; " " &amp; IF(P102="","",TEXT(P102,"M/D-")) &amp; IF(Q102="","",TEXT(Q102,"M/D")) &amp; " "</f>
        <v xml:space="preserve">      단위테스트 1/18-5/28 </v>
      </c>
      <c r="CC102" s="120"/>
      <c r="CD102" s="120"/>
      <c r="CE102" s="120"/>
      <c r="CF102" s="120"/>
      <c r="CG102" s="120"/>
    </row>
    <row r="103" spans="1:85" ht="12" customHeight="1" outlineLevel="4">
      <c r="A103" s="101"/>
      <c r="B103" s="101" t="s">
        <v>1392</v>
      </c>
      <c r="C103" s="101">
        <v>5</v>
      </c>
      <c r="D103" s="117" t="s">
        <v>1795</v>
      </c>
      <c r="E103" s="102"/>
      <c r="F103" s="102"/>
      <c r="G103" s="102"/>
      <c r="H103" s="102"/>
      <c r="I103" s="102" t="s">
        <v>1712</v>
      </c>
      <c r="J103" s="102"/>
      <c r="K103" s="102"/>
      <c r="L103" s="102"/>
      <c r="M103" s="102"/>
      <c r="N103" s="102"/>
      <c r="O103" s="234"/>
      <c r="P103" s="103">
        <v>46398</v>
      </c>
      <c r="Q103" s="103">
        <v>46535</v>
      </c>
      <c r="R103" s="102"/>
      <c r="S103" s="104">
        <v>185</v>
      </c>
      <c r="T103" s="104">
        <v>0</v>
      </c>
      <c r="U103" s="104">
        <v>95</v>
      </c>
      <c r="V103" s="104">
        <v>0</v>
      </c>
      <c r="W103" s="103"/>
      <c r="X103" s="103"/>
      <c r="Y103" s="105">
        <v>0</v>
      </c>
      <c r="Z103" s="106">
        <v>0</v>
      </c>
      <c r="AA103" s="104"/>
      <c r="AB103" s="102"/>
      <c r="AC103" s="102"/>
      <c r="AD103" s="116">
        <v>0</v>
      </c>
      <c r="AE103" s="207">
        <v>0</v>
      </c>
      <c r="AF103" s="119"/>
      <c r="AG103" s="120"/>
      <c r="AH103" s="120"/>
      <c r="AI103" s="120"/>
      <c r="AJ103" s="120"/>
      <c r="AK103" s="120"/>
      <c r="AL103" s="120"/>
      <c r="AM103" s="120"/>
      <c r="AN103" s="120"/>
      <c r="AO103" s="120"/>
      <c r="AP103" s="120"/>
      <c r="AQ103" s="120"/>
      <c r="AR103" s="120"/>
      <c r="AS103" s="120"/>
      <c r="AT103" s="120"/>
      <c r="AU103" s="120"/>
      <c r="AV103" s="120"/>
      <c r="AW103" s="120"/>
      <c r="AX103" s="120"/>
      <c r="AY103" s="120"/>
      <c r="AZ103" s="120"/>
      <c r="BA103" s="120"/>
      <c r="BB103" s="120"/>
      <c r="BC103" s="120"/>
      <c r="BD103" s="120"/>
      <c r="BE103" s="120"/>
      <c r="BF103" s="120"/>
      <c r="BG103" s="120"/>
      <c r="BH103" s="120"/>
      <c r="BI103" s="120" t="str">
        <f>" " &amp; TEXT(AE103,"#0.00%") &amp; " "</f>
        <v xml:space="preserve"> 0.00% </v>
      </c>
      <c r="BJ103" s="120"/>
      <c r="BK103" s="120"/>
      <c r="BL103" s="120"/>
      <c r="BM103" s="120"/>
      <c r="BN103" s="120"/>
      <c r="BO103" s="120"/>
      <c r="BP103" s="120"/>
      <c r="BQ103" s="120"/>
      <c r="BR103" s="120"/>
      <c r="BS103" s="120"/>
      <c r="BT103" s="120"/>
      <c r="BU103" s="120"/>
      <c r="BV103" s="120"/>
      <c r="BW103" s="120"/>
      <c r="BX103" s="120"/>
      <c r="BY103" s="120"/>
      <c r="BZ103" s="120"/>
      <c r="CA103" s="120"/>
      <c r="CB103" s="120" t="str">
        <f>"      " &amp; "버스 예약, 승차 및 하차 안내" &amp; " " &amp; IF(P103="","",TEXT(P103,"M/D-")) &amp; IF(Q103="","",TEXT(Q103,"M/D")) &amp; " "</f>
        <v xml:space="preserve">      버스 예약, 승차 및 하차 안내 1/11-5/28 </v>
      </c>
      <c r="CC103" s="120"/>
      <c r="CD103" s="120"/>
      <c r="CE103" s="120"/>
      <c r="CF103" s="120"/>
      <c r="CG103" s="120"/>
    </row>
    <row r="104" spans="1:85" ht="12" customHeight="1" outlineLevel="5">
      <c r="A104" s="101"/>
      <c r="B104" s="101"/>
      <c r="C104" s="101">
        <v>6</v>
      </c>
      <c r="D104" s="117" t="s">
        <v>1796</v>
      </c>
      <c r="E104" s="102"/>
      <c r="F104" s="102"/>
      <c r="G104" s="102"/>
      <c r="H104" s="102"/>
      <c r="I104" s="102"/>
      <c r="J104" s="102" t="s">
        <v>1707</v>
      </c>
      <c r="K104" s="102"/>
      <c r="L104" s="102"/>
      <c r="M104" s="102"/>
      <c r="N104" s="102"/>
      <c r="O104" s="234" t="s">
        <v>1738</v>
      </c>
      <c r="P104" s="103">
        <v>46398</v>
      </c>
      <c r="Q104" s="103">
        <v>46535</v>
      </c>
      <c r="R104" s="102"/>
      <c r="S104" s="104">
        <v>95</v>
      </c>
      <c r="T104" s="104">
        <v>0</v>
      </c>
      <c r="U104" s="104">
        <v>95</v>
      </c>
      <c r="V104" s="104">
        <v>0</v>
      </c>
      <c r="W104" s="103"/>
      <c r="X104" s="103"/>
      <c r="Y104" s="105"/>
      <c r="Z104" s="106">
        <v>0</v>
      </c>
      <c r="AA104" s="104">
        <v>1</v>
      </c>
      <c r="AB104" s="102"/>
      <c r="AC104" s="102"/>
      <c r="AD104" s="116">
        <v>0</v>
      </c>
      <c r="AE104" s="198">
        <v>0</v>
      </c>
      <c r="AF104" s="119"/>
      <c r="AG104" s="120"/>
      <c r="AH104" s="120"/>
      <c r="AI104" s="120"/>
      <c r="AJ104" s="120"/>
      <c r="AK104" s="120"/>
      <c r="AL104" s="120"/>
      <c r="AM104" s="120"/>
      <c r="AN104" s="120"/>
      <c r="AO104" s="120"/>
      <c r="AP104" s="120"/>
      <c r="AQ104" s="120"/>
      <c r="AR104" s="120"/>
      <c r="AS104" s="120"/>
      <c r="AT104" s="120"/>
      <c r="AU104" s="120"/>
      <c r="AV104" s="120"/>
      <c r="AW104" s="120"/>
      <c r="AX104" s="120"/>
      <c r="AY104" s="120"/>
      <c r="AZ104" s="120"/>
      <c r="BA104" s="120"/>
      <c r="BB104" s="120"/>
      <c r="BC104" s="120"/>
      <c r="BD104" s="120"/>
      <c r="BE104" s="120"/>
      <c r="BF104" s="120"/>
      <c r="BG104" s="120"/>
      <c r="BH104" s="120"/>
      <c r="BI104" s="120" t="str">
        <f>" " &amp; TEXT(AE104,"#0.00%") &amp; " "</f>
        <v xml:space="preserve"> 0.00% </v>
      </c>
      <c r="BJ104" s="120"/>
      <c r="BK104" s="120"/>
      <c r="BL104" s="120"/>
      <c r="BM104" s="120"/>
      <c r="BN104" s="120"/>
      <c r="BO104" s="120"/>
      <c r="BP104" s="120"/>
      <c r="BQ104" s="120"/>
      <c r="BR104" s="120"/>
      <c r="BS104" s="120"/>
      <c r="BT104" s="120"/>
      <c r="BU104" s="120"/>
      <c r="BV104" s="120"/>
      <c r="BW104" s="120"/>
      <c r="BX104" s="120"/>
      <c r="BY104" s="120"/>
      <c r="BZ104" s="120"/>
      <c r="CA104" s="120"/>
      <c r="CB104" s="120" t="str">
        <f>"      " &amp; "기능 개발" &amp; " " &amp; IF(P104="","",TEXT(P104,"M/D-")) &amp; IF(Q104="","",TEXT(Q104,"M/D")) &amp; " "</f>
        <v xml:space="preserve">      기능 개발 1/11-5/28 </v>
      </c>
      <c r="CC104" s="120"/>
      <c r="CD104" s="120"/>
      <c r="CE104" s="120"/>
      <c r="CF104" s="120"/>
      <c r="CG104" s="120"/>
    </row>
    <row r="105" spans="1:85" ht="12" customHeight="1" outlineLevel="5">
      <c r="A105" s="101"/>
      <c r="B105" s="101"/>
      <c r="C105" s="101">
        <v>6</v>
      </c>
      <c r="D105" s="117" t="s">
        <v>1797</v>
      </c>
      <c r="E105" s="102"/>
      <c r="F105" s="102"/>
      <c r="G105" s="102"/>
      <c r="H105" s="102"/>
      <c r="I105" s="102"/>
      <c r="J105" s="102" t="s">
        <v>1708</v>
      </c>
      <c r="K105" s="102"/>
      <c r="L105" s="102"/>
      <c r="M105" s="102"/>
      <c r="N105" s="102"/>
      <c r="O105" s="234"/>
      <c r="P105" s="103">
        <v>46405</v>
      </c>
      <c r="Q105" s="103">
        <v>46535</v>
      </c>
      <c r="R105" s="102"/>
      <c r="S105" s="104">
        <v>90</v>
      </c>
      <c r="T105" s="104">
        <v>0</v>
      </c>
      <c r="U105" s="104">
        <v>90</v>
      </c>
      <c r="V105" s="104">
        <v>0</v>
      </c>
      <c r="W105" s="103">
        <v>46163</v>
      </c>
      <c r="X105" s="103"/>
      <c r="Y105" s="105">
        <v>-32968</v>
      </c>
      <c r="Z105" s="106">
        <v>0</v>
      </c>
      <c r="AA105" s="104">
        <v>1</v>
      </c>
      <c r="AB105" s="102"/>
      <c r="AC105" s="102"/>
      <c r="AD105" s="116">
        <v>0</v>
      </c>
      <c r="AE105" s="198">
        <v>0</v>
      </c>
      <c r="AF105" s="119"/>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t="str">
        <f>" " &amp; TEXT(AE105,"#0.00%") &amp; " "</f>
        <v xml:space="preserve"> 0.00% </v>
      </c>
      <c r="BK105" s="120"/>
      <c r="BL105" s="120"/>
      <c r="BM105" s="120"/>
      <c r="BN105" s="120"/>
      <c r="BO105" s="120"/>
      <c r="BP105" s="120"/>
      <c r="BQ105" s="120"/>
      <c r="BR105" s="120"/>
      <c r="BS105" s="120"/>
      <c r="BT105" s="120"/>
      <c r="BU105" s="120"/>
      <c r="BV105" s="120"/>
      <c r="BW105" s="120"/>
      <c r="BX105" s="120"/>
      <c r="BY105" s="120"/>
      <c r="BZ105" s="120"/>
      <c r="CA105" s="120"/>
      <c r="CB105" s="120" t="str">
        <f>"      " &amp; "단위테스트" &amp; " " &amp; IF(P105="","",TEXT(P105,"M/D-")) &amp; IF(Q105="","",TEXT(Q105,"M/D")) &amp; " "</f>
        <v xml:space="preserve">      단위테스트 1/18-5/28 </v>
      </c>
      <c r="CC105" s="120"/>
      <c r="CD105" s="120"/>
      <c r="CE105" s="120"/>
      <c r="CF105" s="120"/>
      <c r="CG105" s="120"/>
    </row>
    <row r="106" spans="1:85" ht="12" customHeight="1" outlineLevel="2">
      <c r="A106" s="101"/>
      <c r="B106" s="101" t="s">
        <v>1392</v>
      </c>
      <c r="C106" s="101">
        <v>3</v>
      </c>
      <c r="D106" s="117" t="s">
        <v>1681</v>
      </c>
      <c r="E106" s="102"/>
      <c r="F106" s="102"/>
      <c r="G106" s="102" t="s">
        <v>1483</v>
      </c>
      <c r="H106" s="102"/>
      <c r="I106" s="102"/>
      <c r="J106" s="102"/>
      <c r="K106" s="102"/>
      <c r="L106" s="102"/>
      <c r="M106" s="102"/>
      <c r="N106" s="102"/>
      <c r="O106" s="234"/>
      <c r="P106" s="103"/>
      <c r="Q106" s="103"/>
      <c r="R106" s="102"/>
      <c r="S106" s="104">
        <v>0</v>
      </c>
      <c r="T106" s="104">
        <v>0</v>
      </c>
      <c r="U106" s="104">
        <v>0</v>
      </c>
      <c r="V106" s="104">
        <v>0</v>
      </c>
      <c r="W106" s="103"/>
      <c r="X106" s="103"/>
      <c r="Y106" s="105">
        <v>0</v>
      </c>
      <c r="Z106" s="106">
        <v>0</v>
      </c>
      <c r="AA106" s="104"/>
      <c r="AB106" s="102"/>
      <c r="AC106" s="102"/>
      <c r="AD106" s="116">
        <v>0</v>
      </c>
      <c r="AE106" s="206">
        <v>0</v>
      </c>
      <c r="AF106" s="119"/>
      <c r="AG106" s="120"/>
      <c r="AH106" s="120"/>
      <c r="AI106" s="120"/>
      <c r="AJ106" s="120"/>
      <c r="AK106" s="120"/>
      <c r="AL106" s="120"/>
      <c r="AM106" s="120"/>
      <c r="AN106" s="120"/>
      <c r="AO106" s="120"/>
      <c r="AP106" s="120"/>
      <c r="AQ106" s="120"/>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row>
    <row r="107" spans="1:85" ht="12" customHeight="1" outlineLevel="3">
      <c r="A107" s="101"/>
      <c r="B107" s="101"/>
      <c r="C107" s="101">
        <v>4</v>
      </c>
      <c r="D107" s="117" t="s">
        <v>1682</v>
      </c>
      <c r="E107" s="102"/>
      <c r="F107" s="102"/>
      <c r="G107" s="102"/>
      <c r="H107" s="102" t="s">
        <v>1485</v>
      </c>
      <c r="I107" s="102"/>
      <c r="J107" s="102"/>
      <c r="K107" s="102"/>
      <c r="L107" s="102"/>
      <c r="M107" s="102"/>
      <c r="N107" s="102"/>
      <c r="O107" s="234"/>
      <c r="P107" s="103"/>
      <c r="Q107" s="103"/>
      <c r="R107" s="102"/>
      <c r="S107" s="104">
        <v>0</v>
      </c>
      <c r="T107" s="104">
        <v>0</v>
      </c>
      <c r="U107" s="104">
        <v>0</v>
      </c>
      <c r="V107" s="104">
        <v>0</v>
      </c>
      <c r="W107" s="103"/>
      <c r="X107" s="103"/>
      <c r="Y107" s="105">
        <v>0</v>
      </c>
      <c r="Z107" s="106">
        <v>0</v>
      </c>
      <c r="AA107" s="104">
        <v>1</v>
      </c>
      <c r="AB107" s="102"/>
      <c r="AC107" s="102"/>
      <c r="AD107" s="116">
        <v>0</v>
      </c>
      <c r="AE107" s="206">
        <v>0</v>
      </c>
      <c r="AF107" s="119"/>
      <c r="AG107" s="120"/>
      <c r="AH107" s="120"/>
      <c r="AI107" s="120"/>
      <c r="AJ107" s="120"/>
      <c r="AK107" s="120"/>
      <c r="AL107" s="120"/>
      <c r="AM107" s="120"/>
      <c r="AN107" s="120"/>
      <c r="AO107" s="120"/>
      <c r="AP107" s="120"/>
      <c r="AQ107" s="120"/>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row>
    <row r="108" spans="1:85" ht="12" customHeight="1" outlineLevel="3">
      <c r="A108" s="101"/>
      <c r="B108" s="101"/>
      <c r="C108" s="101">
        <v>4</v>
      </c>
      <c r="D108" s="117" t="s">
        <v>1751</v>
      </c>
      <c r="E108" s="102"/>
      <c r="F108" s="102"/>
      <c r="G108" s="102"/>
      <c r="H108" s="102" t="s">
        <v>1487</v>
      </c>
      <c r="I108" s="102"/>
      <c r="J108" s="102"/>
      <c r="K108" s="102"/>
      <c r="L108" s="102"/>
      <c r="M108" s="102"/>
      <c r="N108" s="102"/>
      <c r="O108" s="234"/>
      <c r="P108" s="103"/>
      <c r="Q108" s="103"/>
      <c r="R108" s="102"/>
      <c r="S108" s="104">
        <v>0</v>
      </c>
      <c r="T108" s="104">
        <v>0</v>
      </c>
      <c r="U108" s="104">
        <v>0</v>
      </c>
      <c r="V108" s="104">
        <v>0</v>
      </c>
      <c r="W108" s="103"/>
      <c r="X108" s="103"/>
      <c r="Y108" s="105">
        <v>0</v>
      </c>
      <c r="Z108" s="106">
        <v>0</v>
      </c>
      <c r="AA108" s="104">
        <v>1</v>
      </c>
      <c r="AB108" s="102"/>
      <c r="AC108" s="102"/>
      <c r="AD108" s="116">
        <v>0</v>
      </c>
      <c r="AE108" s="206">
        <v>0</v>
      </c>
      <c r="AF108" s="119"/>
      <c r="AG108" s="120"/>
      <c r="AH108" s="120"/>
      <c r="AI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row>
    <row r="109" spans="1:85" ht="12" customHeight="1">
      <c r="A109" s="101"/>
      <c r="B109" s="101" t="s">
        <v>1392</v>
      </c>
      <c r="C109" s="101">
        <v>1</v>
      </c>
      <c r="D109" s="117" t="s">
        <v>1752</v>
      </c>
      <c r="E109" s="102" t="s">
        <v>1744</v>
      </c>
      <c r="F109" s="102"/>
      <c r="G109" s="102"/>
      <c r="H109" s="102"/>
      <c r="I109" s="102"/>
      <c r="J109" s="102"/>
      <c r="K109" s="102"/>
      <c r="L109" s="102"/>
      <c r="M109" s="102"/>
      <c r="N109" s="102"/>
      <c r="O109" s="234"/>
      <c r="P109" s="103">
        <v>46244</v>
      </c>
      <c r="Q109" s="103">
        <v>46402</v>
      </c>
      <c r="R109" s="102"/>
      <c r="S109" s="104">
        <v>146</v>
      </c>
      <c r="T109" s="104">
        <v>8</v>
      </c>
      <c r="U109" s="104">
        <v>108</v>
      </c>
      <c r="V109" s="104">
        <v>8</v>
      </c>
      <c r="W109" s="103"/>
      <c r="X109" s="103"/>
      <c r="Y109" s="105">
        <v>0</v>
      </c>
      <c r="Z109" s="106">
        <v>0</v>
      </c>
      <c r="AA109" s="104"/>
      <c r="AB109" s="102"/>
      <c r="AC109" s="102"/>
      <c r="AD109" s="116">
        <v>5.4794520547945202E-2</v>
      </c>
      <c r="AE109" s="207">
        <v>5.4794520547945202E-2</v>
      </c>
      <c r="AF109" s="119"/>
      <c r="AG109" s="120"/>
      <c r="AH109" s="120"/>
      <c r="AI109" s="120"/>
      <c r="AJ109" s="120"/>
      <c r="AK109" s="120"/>
      <c r="AL109" s="120"/>
      <c r="AM109" s="120"/>
      <c r="AN109" s="120" t="str">
        <f>"   " &amp; TEXT(AE109,"#0.00%") &amp; " "</f>
        <v xml:space="preserve">   5.48% </v>
      </c>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t="str">
        <f>"      " &amp; "실내 내비게이션 맵 구축" &amp; " " &amp; IF(P109="","",TEXT(P109,"M/D-")) &amp; IF(Q109="","",TEXT(Q109,"M/D")) &amp; " "</f>
        <v xml:space="preserve">      실내 내비게이션 맵 구축 8/10-1/15 </v>
      </c>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row>
    <row r="110" spans="1:85" ht="12" customHeight="1" outlineLevel="1">
      <c r="A110" s="101"/>
      <c r="B110" s="101" t="s">
        <v>1392</v>
      </c>
      <c r="C110" s="101">
        <v>2</v>
      </c>
      <c r="D110" s="117" t="s">
        <v>1753</v>
      </c>
      <c r="E110" s="102"/>
      <c r="F110" s="102" t="s">
        <v>1745</v>
      </c>
      <c r="G110" s="102"/>
      <c r="H110" s="102"/>
      <c r="I110" s="102"/>
      <c r="J110" s="102"/>
      <c r="K110" s="102"/>
      <c r="L110" s="102"/>
      <c r="M110" s="102"/>
      <c r="N110" s="102"/>
      <c r="O110" s="234"/>
      <c r="P110" s="103">
        <v>46244</v>
      </c>
      <c r="Q110" s="103">
        <v>46269</v>
      </c>
      <c r="R110" s="102"/>
      <c r="S110" s="104">
        <v>16</v>
      </c>
      <c r="T110" s="104">
        <v>8</v>
      </c>
      <c r="U110" s="104">
        <v>19</v>
      </c>
      <c r="V110" s="104">
        <v>8</v>
      </c>
      <c r="W110" s="103"/>
      <c r="X110" s="103"/>
      <c r="Y110" s="105">
        <v>0</v>
      </c>
      <c r="Z110" s="106">
        <v>0</v>
      </c>
      <c r="AA110" s="104"/>
      <c r="AB110" s="102"/>
      <c r="AC110" s="102"/>
      <c r="AD110" s="116">
        <v>0.5</v>
      </c>
      <c r="AE110" s="207">
        <v>0.5</v>
      </c>
      <c r="AF110" s="119"/>
      <c r="AG110" s="120"/>
      <c r="AH110" s="120"/>
      <c r="AI110" s="120"/>
      <c r="AJ110" s="120"/>
      <c r="AK110" s="120"/>
      <c r="AL110" s="120"/>
      <c r="AM110" s="120"/>
      <c r="AN110" s="120"/>
      <c r="AO110" s="120" t="str">
        <f>"" &amp; TEXT(AE110,"#0.00%") &amp; " " &amp; "사전 데이터 구축" &amp; " " &amp; IF(P110="","",TEXT(P110,"M/D-")) &amp; IF(Q110="","",TEXT(Q110,"M/D")) &amp; " "</f>
        <v xml:space="preserve">50.00% 사전 데이터 구축 8/10-9/4 </v>
      </c>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row>
    <row r="111" spans="1:85" ht="12" customHeight="1" outlineLevel="2">
      <c r="A111" s="101"/>
      <c r="B111" s="101"/>
      <c r="C111" s="101">
        <v>3</v>
      </c>
      <c r="D111" s="117" t="s">
        <v>1754</v>
      </c>
      <c r="E111" s="102"/>
      <c r="F111" s="102"/>
      <c r="G111" s="102" t="s">
        <v>1746</v>
      </c>
      <c r="H111" s="102"/>
      <c r="I111" s="102"/>
      <c r="J111" s="102"/>
      <c r="K111" s="102"/>
      <c r="L111" s="102"/>
      <c r="M111" s="102"/>
      <c r="N111" s="102"/>
      <c r="O111" s="234"/>
      <c r="P111" s="103">
        <v>46244</v>
      </c>
      <c r="Q111" s="103">
        <v>46248</v>
      </c>
      <c r="R111" s="102"/>
      <c r="S111" s="104">
        <v>5</v>
      </c>
      <c r="T111" s="104">
        <v>5</v>
      </c>
      <c r="U111" s="104">
        <v>5</v>
      </c>
      <c r="V111" s="104">
        <v>5</v>
      </c>
      <c r="W111" s="103"/>
      <c r="X111" s="103"/>
      <c r="Y111" s="105"/>
      <c r="Z111" s="106">
        <v>0</v>
      </c>
      <c r="AA111" s="104"/>
      <c r="AB111" s="102"/>
      <c r="AC111" s="102"/>
      <c r="AD111" s="116">
        <v>1</v>
      </c>
      <c r="AE111" s="198">
        <v>1</v>
      </c>
      <c r="AF111" s="119"/>
      <c r="AG111" s="120"/>
      <c r="AH111" s="120"/>
      <c r="AI111" s="120"/>
      <c r="AJ111" s="120"/>
      <c r="AK111" s="120"/>
      <c r="AL111" s="120"/>
      <c r="AM111" s="120" t="str">
        <f>"      " &amp; TEXT(AE111,"#0.00%") &amp; " " &amp; "현장조사 계획수립" &amp; " " &amp; IF(P111="","",TEXT(P111,"M/D-")) &amp; IF(Q111="","",TEXT(Q111,"M/D")) &amp; " "</f>
        <v xml:space="preserve">      100.00% 현장조사 계획수립 8/10-8/14 </v>
      </c>
      <c r="AN111" s="120"/>
      <c r="AO111" s="120"/>
      <c r="AP111" s="120"/>
      <c r="AQ111" s="120"/>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row>
    <row r="112" spans="1:85" ht="12" customHeight="1" outlineLevel="2">
      <c r="A112" s="101"/>
      <c r="B112" s="101"/>
      <c r="C112" s="101">
        <v>3</v>
      </c>
      <c r="D112" s="117" t="s">
        <v>1755</v>
      </c>
      <c r="E112" s="102"/>
      <c r="F112" s="102"/>
      <c r="G112" s="102" t="s">
        <v>1747</v>
      </c>
      <c r="H112" s="102"/>
      <c r="I112" s="102"/>
      <c r="J112" s="102"/>
      <c r="K112" s="102"/>
      <c r="L112" s="102"/>
      <c r="M112" s="102"/>
      <c r="N112" s="102"/>
      <c r="O112" s="234"/>
      <c r="P112" s="103">
        <v>46251</v>
      </c>
      <c r="Q112" s="103">
        <v>46255</v>
      </c>
      <c r="R112" s="102"/>
      <c r="S112" s="104">
        <v>4</v>
      </c>
      <c r="T112" s="104">
        <v>3</v>
      </c>
      <c r="U112" s="104">
        <v>4</v>
      </c>
      <c r="V112" s="104">
        <v>3</v>
      </c>
      <c r="W112" s="103"/>
      <c r="X112" s="103"/>
      <c r="Y112" s="105"/>
      <c r="Z112" s="106">
        <v>0</v>
      </c>
      <c r="AA112" s="104"/>
      <c r="AB112" s="102"/>
      <c r="AC112" s="102"/>
      <c r="AD112" s="116">
        <v>0.75</v>
      </c>
      <c r="AE112" s="198">
        <v>0.75</v>
      </c>
      <c r="AF112" s="119"/>
      <c r="AG112" s="120"/>
      <c r="AH112" s="120"/>
      <c r="AI112" s="120"/>
      <c r="AJ112" s="120"/>
      <c r="AK112" s="120"/>
      <c r="AL112" s="120"/>
      <c r="AM112" s="120"/>
      <c r="AN112" s="120" t="str">
        <f>"     " &amp; TEXT(AE112,"#0.00%") &amp; " " &amp; "현장조사(센서 측위)" &amp; " " &amp; IF(P112="","",TEXT(P112,"M/D-")) &amp; IF(Q112="","",TEXT(Q112,"M/D")) &amp; " "</f>
        <v xml:space="preserve">     75.00% 현장조사(센서 측위) 8/17-8/21 </v>
      </c>
      <c r="AO112" s="120"/>
      <c r="AP112" s="120"/>
      <c r="AQ112" s="120"/>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row>
    <row r="113" spans="1:85" ht="12" customHeight="1" outlineLevel="2">
      <c r="A113" s="101"/>
      <c r="B113" s="101"/>
      <c r="C113" s="101">
        <v>3</v>
      </c>
      <c r="D113" s="117" t="s">
        <v>1756</v>
      </c>
      <c r="E113" s="102"/>
      <c r="F113" s="102"/>
      <c r="G113" s="102" t="s">
        <v>1748</v>
      </c>
      <c r="H113" s="102"/>
      <c r="I113" s="102"/>
      <c r="J113" s="102"/>
      <c r="K113" s="102"/>
      <c r="L113" s="102"/>
      <c r="M113" s="102"/>
      <c r="N113" s="102"/>
      <c r="O113" s="234"/>
      <c r="P113" s="103">
        <v>46257</v>
      </c>
      <c r="Q113" s="103">
        <v>46264</v>
      </c>
      <c r="R113" s="102"/>
      <c r="S113" s="104">
        <v>5</v>
      </c>
      <c r="T113" s="104">
        <v>0</v>
      </c>
      <c r="U113" s="104">
        <v>5</v>
      </c>
      <c r="V113" s="104">
        <v>0</v>
      </c>
      <c r="W113" s="103"/>
      <c r="X113" s="103"/>
      <c r="Y113" s="105"/>
      <c r="Z113" s="106">
        <v>0</v>
      </c>
      <c r="AA113" s="104"/>
      <c r="AB113" s="102"/>
      <c r="AC113" s="102"/>
      <c r="AD113" s="116">
        <v>0</v>
      </c>
      <c r="AE113" s="198">
        <v>0</v>
      </c>
      <c r="AF113" s="119"/>
      <c r="AG113" s="120"/>
      <c r="AH113" s="120"/>
      <c r="AI113" s="120"/>
      <c r="AJ113" s="120"/>
      <c r="AK113" s="120"/>
      <c r="AL113" s="120"/>
      <c r="AM113" s="120"/>
      <c r="AN113" s="120"/>
      <c r="AO113" s="120" t="str">
        <f>"" &amp; TEXT(AE113,"#0.00%") &amp; " " &amp; "내비게이션 맵 구축" &amp; " " &amp; IF(P113="","",TEXT(P113,"M/D-")) &amp; IF(Q113="","",TEXT(Q113,"M/D")) &amp; " "</f>
        <v xml:space="preserve">0.00% 내비게이션 맵 구축 8/23-8/30 </v>
      </c>
      <c r="AP113" s="120"/>
      <c r="AQ113" s="120"/>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row>
    <row r="114" spans="1:85" ht="12" customHeight="1" outlineLevel="2">
      <c r="A114" s="101"/>
      <c r="B114" s="101"/>
      <c r="C114" s="101">
        <v>3</v>
      </c>
      <c r="D114" s="117" t="s">
        <v>1757</v>
      </c>
      <c r="E114" s="102"/>
      <c r="F114" s="102"/>
      <c r="G114" s="102" t="s">
        <v>1749</v>
      </c>
      <c r="H114" s="102"/>
      <c r="I114" s="102"/>
      <c r="J114" s="102"/>
      <c r="K114" s="102"/>
      <c r="L114" s="102"/>
      <c r="M114" s="102"/>
      <c r="N114" s="102"/>
      <c r="O114" s="234"/>
      <c r="P114" s="103">
        <v>46268</v>
      </c>
      <c r="Q114" s="103">
        <v>46269</v>
      </c>
      <c r="R114" s="102"/>
      <c r="S114" s="104">
        <v>2</v>
      </c>
      <c r="T114" s="104">
        <v>0</v>
      </c>
      <c r="U114" s="104">
        <v>2</v>
      </c>
      <c r="V114" s="104">
        <v>0</v>
      </c>
      <c r="W114" s="103"/>
      <c r="X114" s="103"/>
      <c r="Y114" s="105"/>
      <c r="Z114" s="106">
        <v>0</v>
      </c>
      <c r="AA114" s="104"/>
      <c r="AB114" s="102"/>
      <c r="AC114" s="102"/>
      <c r="AD114" s="116">
        <v>0</v>
      </c>
      <c r="AE114" s="198">
        <v>0</v>
      </c>
      <c r="AF114" s="119"/>
      <c r="AG114" s="120"/>
      <c r="AH114" s="120"/>
      <c r="AI114" s="120"/>
      <c r="AJ114" s="120"/>
      <c r="AK114" s="120"/>
      <c r="AL114" s="120"/>
      <c r="AM114" s="120"/>
      <c r="AN114" s="120"/>
      <c r="AO114" s="120"/>
      <c r="AP114" s="120" t="str">
        <f>"    " &amp; TEXT(AE114,"#0.00%") &amp; " " &amp; "시연 및 평가" &amp; " " &amp; IF(P114="","",TEXT(P114,"M/D-")) &amp; IF(Q114="","",TEXT(Q114,"M/D")) &amp; " "</f>
        <v xml:space="preserve">    0.00% 시연 및 평가 9/3-9/4 </v>
      </c>
      <c r="AQ114" s="120"/>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row>
    <row r="115" spans="1:85" ht="12" customHeight="1" outlineLevel="1">
      <c r="A115" s="101"/>
      <c r="B115" s="101" t="s">
        <v>1392</v>
      </c>
      <c r="C115" s="101">
        <v>2</v>
      </c>
      <c r="D115" s="117" t="s">
        <v>1758</v>
      </c>
      <c r="E115" s="102"/>
      <c r="F115" s="102" t="s">
        <v>1762</v>
      </c>
      <c r="G115" s="102"/>
      <c r="H115" s="102"/>
      <c r="I115" s="102"/>
      <c r="J115" s="102"/>
      <c r="K115" s="102"/>
      <c r="L115" s="102"/>
      <c r="M115" s="102"/>
      <c r="N115" s="102"/>
      <c r="O115" s="234"/>
      <c r="P115" s="103">
        <v>46265</v>
      </c>
      <c r="Q115" s="103">
        <v>46402</v>
      </c>
      <c r="R115" s="102"/>
      <c r="S115" s="104">
        <v>130</v>
      </c>
      <c r="T115" s="104">
        <v>0</v>
      </c>
      <c r="U115" s="104">
        <v>94</v>
      </c>
      <c r="V115" s="104">
        <v>0</v>
      </c>
      <c r="W115" s="103"/>
      <c r="X115" s="103"/>
      <c r="Y115" s="105">
        <v>0</v>
      </c>
      <c r="Z115" s="106">
        <v>0</v>
      </c>
      <c r="AA115" s="104"/>
      <c r="AB115" s="102"/>
      <c r="AC115" s="102"/>
      <c r="AD115" s="116">
        <v>0</v>
      </c>
      <c r="AE115" s="207">
        <v>0</v>
      </c>
      <c r="AF115" s="119"/>
      <c r="AG115" s="120"/>
      <c r="AH115" s="120"/>
      <c r="AI115" s="120"/>
      <c r="AJ115" s="120"/>
      <c r="AK115" s="120"/>
      <c r="AL115" s="120"/>
      <c r="AM115" s="120"/>
      <c r="AN115" s="120"/>
      <c r="AO115" s="120"/>
      <c r="AP115" s="120" t="str">
        <f>" " &amp; TEXT(AE115,"#0.00%") &amp; " "</f>
        <v xml:space="preserve"> 0.00% </v>
      </c>
      <c r="AQ115" s="120"/>
      <c r="AR115" s="120"/>
      <c r="AS115" s="120"/>
      <c r="AT115" s="120"/>
      <c r="AU115" s="120"/>
      <c r="AV115" s="120"/>
      <c r="AW115" s="120"/>
      <c r="AX115" s="120"/>
      <c r="AY115" s="120"/>
      <c r="AZ115" s="120"/>
      <c r="BA115" s="120"/>
      <c r="BB115" s="120"/>
      <c r="BC115" s="120"/>
      <c r="BD115" s="120"/>
      <c r="BE115" s="120"/>
      <c r="BF115" s="120"/>
      <c r="BG115" s="120"/>
      <c r="BH115" s="120"/>
      <c r="BI115" s="120" t="str">
        <f>"      " &amp; "1단계 시범 구축 (10개 역사)" &amp; " " &amp; IF(P115="","",TEXT(P115,"M/D-")) &amp; IF(Q115="","",TEXT(Q115,"M/D")) &amp; " "</f>
        <v xml:space="preserve">      1단계 시범 구축 (10개 역사) 8/31-1/15 </v>
      </c>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row>
    <row r="116" spans="1:85" ht="12" customHeight="1" outlineLevel="2">
      <c r="A116" s="101"/>
      <c r="B116" s="101"/>
      <c r="C116" s="101">
        <v>3</v>
      </c>
      <c r="D116" s="117" t="s">
        <v>1759</v>
      </c>
      <c r="E116" s="102"/>
      <c r="F116" s="102"/>
      <c r="G116" s="102" t="s">
        <v>1763</v>
      </c>
      <c r="H116" s="102"/>
      <c r="I116" s="102"/>
      <c r="J116" s="102"/>
      <c r="K116" s="102"/>
      <c r="L116" s="102"/>
      <c r="M116" s="102"/>
      <c r="N116" s="102"/>
      <c r="O116" s="234"/>
      <c r="P116" s="103">
        <v>46265</v>
      </c>
      <c r="Q116" s="103">
        <v>46290</v>
      </c>
      <c r="R116" s="102"/>
      <c r="S116" s="104">
        <v>18</v>
      </c>
      <c r="T116" s="104">
        <v>0</v>
      </c>
      <c r="U116" s="104">
        <v>18</v>
      </c>
      <c r="V116" s="104">
        <v>0</v>
      </c>
      <c r="W116" s="103"/>
      <c r="X116" s="103"/>
      <c r="Y116" s="105"/>
      <c r="Z116" s="106">
        <v>0</v>
      </c>
      <c r="AA116" s="104"/>
      <c r="AB116" s="102"/>
      <c r="AC116" s="102"/>
      <c r="AD116" s="116">
        <v>0</v>
      </c>
      <c r="AE116" s="198">
        <v>0</v>
      </c>
      <c r="AF116" s="119"/>
      <c r="AG116" s="120"/>
      <c r="AH116" s="120"/>
      <c r="AI116" s="120"/>
      <c r="AJ116" s="120"/>
      <c r="AK116" s="120"/>
      <c r="AL116" s="120"/>
      <c r="AM116" s="120"/>
      <c r="AN116" s="120"/>
      <c r="AO116" s="120"/>
      <c r="AP116" s="120" t="str">
        <f>" " &amp; TEXT(AE116,"#0.00%") &amp; " "</f>
        <v xml:space="preserve"> 0.00% </v>
      </c>
      <c r="AQ116" s="120"/>
      <c r="AR116" s="120"/>
      <c r="AS116" s="120" t="str">
        <f>"      " &amp; "자료수집" &amp; " " &amp; IF(P116="","",TEXT(P116,"M/D-")) &amp; IF(Q116="","",TEXT(Q116,"M/D")) &amp; " "</f>
        <v xml:space="preserve">      자료수집 8/31-9/25 </v>
      </c>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row>
    <row r="117" spans="1:85" ht="12" customHeight="1" outlineLevel="2">
      <c r="A117" s="101"/>
      <c r="B117" s="101"/>
      <c r="C117" s="101">
        <v>3</v>
      </c>
      <c r="D117" s="117" t="s">
        <v>1760</v>
      </c>
      <c r="E117" s="102"/>
      <c r="F117" s="102"/>
      <c r="G117" s="102" t="s">
        <v>1764</v>
      </c>
      <c r="H117" s="102"/>
      <c r="I117" s="102"/>
      <c r="J117" s="102"/>
      <c r="K117" s="102"/>
      <c r="L117" s="102"/>
      <c r="M117" s="102"/>
      <c r="N117" s="102"/>
      <c r="O117" s="234"/>
      <c r="P117" s="103">
        <v>46279</v>
      </c>
      <c r="Q117" s="103">
        <v>46304</v>
      </c>
      <c r="R117" s="102"/>
      <c r="S117" s="104">
        <v>16</v>
      </c>
      <c r="T117" s="104">
        <v>0</v>
      </c>
      <c r="U117" s="104">
        <v>16</v>
      </c>
      <c r="V117" s="104">
        <v>0</v>
      </c>
      <c r="W117" s="103"/>
      <c r="X117" s="103"/>
      <c r="Y117" s="105"/>
      <c r="Z117" s="106">
        <v>0</v>
      </c>
      <c r="AA117" s="104"/>
      <c r="AB117" s="102"/>
      <c r="AC117" s="102"/>
      <c r="AD117" s="116">
        <v>0</v>
      </c>
      <c r="AE117" s="198">
        <v>0</v>
      </c>
      <c r="AF117" s="119"/>
      <c r="AG117" s="120"/>
      <c r="AH117" s="120"/>
      <c r="AI117" s="120"/>
      <c r="AJ117" s="120"/>
      <c r="AK117" s="120"/>
      <c r="AL117" s="120"/>
      <c r="AM117" s="120"/>
      <c r="AN117" s="120"/>
      <c r="AO117" s="120"/>
      <c r="AP117" s="120"/>
      <c r="AQ117" s="120"/>
      <c r="AR117" s="120" t="str">
        <f>" " &amp; TEXT(AE117,"#0.00%") &amp; " "</f>
        <v xml:space="preserve"> 0.00% </v>
      </c>
      <c r="AS117" s="120"/>
      <c r="AT117" s="120"/>
      <c r="AU117" s="120" t="str">
        <f>"      " &amp; "역사 실내지도 구축(도면 변환)" &amp; " " &amp; IF(P117="","",TEXT(P117,"M/D-")) &amp; IF(Q117="","",TEXT(Q117,"M/D")) &amp; " "</f>
        <v xml:space="preserve">      역사 실내지도 구축(도면 변환) 9/14-10/9 </v>
      </c>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row>
    <row r="118" spans="1:85" ht="12" customHeight="1" outlineLevel="2">
      <c r="A118" s="101"/>
      <c r="B118" s="101"/>
      <c r="C118" s="101">
        <v>3</v>
      </c>
      <c r="D118" s="117" t="s">
        <v>1761</v>
      </c>
      <c r="E118" s="102"/>
      <c r="F118" s="102"/>
      <c r="G118" s="102" t="s">
        <v>1768</v>
      </c>
      <c r="H118" s="102"/>
      <c r="I118" s="102"/>
      <c r="J118" s="102"/>
      <c r="K118" s="102"/>
      <c r="L118" s="102"/>
      <c r="M118" s="102"/>
      <c r="N118" s="102"/>
      <c r="O118" s="234"/>
      <c r="P118" s="103">
        <v>46307</v>
      </c>
      <c r="Q118" s="103">
        <v>46325</v>
      </c>
      <c r="R118" s="102"/>
      <c r="S118" s="104">
        <v>15</v>
      </c>
      <c r="T118" s="104">
        <v>0</v>
      </c>
      <c r="U118" s="104">
        <v>15</v>
      </c>
      <c r="V118" s="104">
        <v>0</v>
      </c>
      <c r="W118" s="103"/>
      <c r="X118" s="103"/>
      <c r="Y118" s="105"/>
      <c r="Z118" s="106">
        <v>0</v>
      </c>
      <c r="AA118" s="104"/>
      <c r="AB118" s="102"/>
      <c r="AC118" s="102"/>
      <c r="AD118" s="116">
        <v>0</v>
      </c>
      <c r="AE118" s="198">
        <v>0</v>
      </c>
      <c r="AF118" s="119"/>
      <c r="AG118" s="120"/>
      <c r="AH118" s="120"/>
      <c r="AI118" s="120"/>
      <c r="AJ118" s="120"/>
      <c r="AK118" s="120"/>
      <c r="AL118" s="120"/>
      <c r="AM118" s="120"/>
      <c r="AN118" s="120"/>
      <c r="AO118" s="120"/>
      <c r="AP118" s="120"/>
      <c r="AQ118" s="120"/>
      <c r="AR118" s="120"/>
      <c r="AS118" s="120"/>
      <c r="AT118" s="120"/>
      <c r="AU118" s="120"/>
      <c r="AV118" s="120" t="str">
        <f>" " &amp; TEXT(AE118,"#0.00%") &amp; " " &amp; "현장조사 (POI 구축)" &amp; " " &amp; IF(P118="","",TEXT(P118,"M/D-")) &amp; IF(Q118="","",TEXT(Q118,"M/D")) &amp; " "</f>
        <v xml:space="preserve"> 0.00% 현장조사 (POI 구축) 10/12-10/30 </v>
      </c>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row>
    <row r="119" spans="1:85" ht="12" customHeight="1" outlineLevel="2">
      <c r="A119" s="101"/>
      <c r="B119" s="101"/>
      <c r="C119" s="101">
        <v>3</v>
      </c>
      <c r="D119" s="117" t="s">
        <v>1769</v>
      </c>
      <c r="E119" s="102"/>
      <c r="F119" s="102"/>
      <c r="G119" s="102" t="s">
        <v>1765</v>
      </c>
      <c r="H119" s="102"/>
      <c r="I119" s="102"/>
      <c r="J119" s="102"/>
      <c r="K119" s="102"/>
      <c r="L119" s="102"/>
      <c r="M119" s="102"/>
      <c r="N119" s="102"/>
      <c r="O119" s="234"/>
      <c r="P119" s="103">
        <v>46328</v>
      </c>
      <c r="Q119" s="103">
        <v>46339</v>
      </c>
      <c r="R119" s="102"/>
      <c r="S119" s="104">
        <v>10</v>
      </c>
      <c r="T119" s="104">
        <v>0</v>
      </c>
      <c r="U119" s="104">
        <v>10</v>
      </c>
      <c r="V119" s="104">
        <v>0</v>
      </c>
      <c r="W119" s="103"/>
      <c r="X119" s="103"/>
      <c r="Y119" s="105"/>
      <c r="Z119" s="106">
        <v>0</v>
      </c>
      <c r="AA119" s="104"/>
      <c r="AB119" s="102"/>
      <c r="AC119" s="102"/>
      <c r="AD119" s="116">
        <v>0</v>
      </c>
      <c r="AE119" s="198">
        <v>0</v>
      </c>
      <c r="AF119" s="119"/>
      <c r="AG119" s="120"/>
      <c r="AH119" s="120"/>
      <c r="AI119" s="120"/>
      <c r="AJ119" s="120"/>
      <c r="AK119" s="120"/>
      <c r="AL119" s="120"/>
      <c r="AM119" s="120"/>
      <c r="AN119" s="120"/>
      <c r="AO119" s="120"/>
      <c r="AP119" s="120"/>
      <c r="AQ119" s="120"/>
      <c r="AR119" s="120"/>
      <c r="AS119" s="120"/>
      <c r="AT119" s="120"/>
      <c r="AU119" s="120"/>
      <c r="AV119" s="120"/>
      <c r="AW119" s="120"/>
      <c r="AX119" s="120"/>
      <c r="AY119" s="120" t="str">
        <f>" " &amp; TEXT(AE119,"#0.00%") &amp; " " &amp; "서비스 DB 구축" &amp; " " &amp; IF(P119="","",TEXT(P119,"M/D-")) &amp; IF(Q119="","",TEXT(Q119,"M/D")) &amp; " "</f>
        <v xml:space="preserve"> 0.00% 서비스 DB 구축 11/2-11/13 </v>
      </c>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row>
    <row r="120" spans="1:85" ht="12" customHeight="1" outlineLevel="2">
      <c r="A120" s="101"/>
      <c r="B120" s="101"/>
      <c r="C120" s="101">
        <v>3</v>
      </c>
      <c r="D120" s="117" t="s">
        <v>1770</v>
      </c>
      <c r="E120" s="102"/>
      <c r="F120" s="102"/>
      <c r="G120" s="102" t="s">
        <v>1746</v>
      </c>
      <c r="H120" s="102"/>
      <c r="I120" s="102"/>
      <c r="J120" s="102"/>
      <c r="K120" s="102"/>
      <c r="L120" s="102"/>
      <c r="M120" s="102"/>
      <c r="N120" s="102"/>
      <c r="O120" s="234" t="s">
        <v>1811</v>
      </c>
      <c r="P120" s="103">
        <v>46339</v>
      </c>
      <c r="Q120" s="103">
        <v>46353</v>
      </c>
      <c r="R120" s="102"/>
      <c r="S120" s="104">
        <v>11</v>
      </c>
      <c r="T120" s="104">
        <v>0</v>
      </c>
      <c r="U120" s="104">
        <v>11</v>
      </c>
      <c r="V120" s="104">
        <v>0</v>
      </c>
      <c r="W120" s="103"/>
      <c r="X120" s="103"/>
      <c r="Y120" s="105"/>
      <c r="Z120" s="106">
        <v>0</v>
      </c>
      <c r="AA120" s="104"/>
      <c r="AB120" s="102"/>
      <c r="AC120" s="102"/>
      <c r="AD120" s="116">
        <v>0</v>
      </c>
      <c r="AE120" s="198">
        <v>0</v>
      </c>
      <c r="AF120" s="119"/>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t="str">
        <f>"     " &amp; TEXT(AE120,"#0.00%") &amp; " " &amp; "현장조사 계획수립" &amp; " " &amp; IF(P120="","",TEXT(P120,"M/D-")) &amp; IF(Q120="","",TEXT(Q120,"M/D")) &amp; " "</f>
        <v xml:space="preserve">     0.00% 현장조사 계획수립 11/13-11/27 </v>
      </c>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row>
    <row r="121" spans="1:85" ht="12" customHeight="1" outlineLevel="2">
      <c r="A121" s="101"/>
      <c r="B121" s="101"/>
      <c r="C121" s="101">
        <v>3</v>
      </c>
      <c r="D121" s="117" t="s">
        <v>1771</v>
      </c>
      <c r="E121" s="102"/>
      <c r="F121" s="102"/>
      <c r="G121" s="102" t="s">
        <v>1767</v>
      </c>
      <c r="H121" s="102"/>
      <c r="I121" s="102"/>
      <c r="J121" s="102"/>
      <c r="K121" s="102"/>
      <c r="L121" s="102"/>
      <c r="M121" s="102"/>
      <c r="N121" s="102"/>
      <c r="O121" s="234"/>
      <c r="P121" s="103">
        <v>46356</v>
      </c>
      <c r="Q121" s="103">
        <v>46381</v>
      </c>
      <c r="R121" s="102"/>
      <c r="S121" s="104">
        <v>19</v>
      </c>
      <c r="T121" s="104">
        <v>0</v>
      </c>
      <c r="U121" s="104">
        <v>19</v>
      </c>
      <c r="V121" s="104">
        <v>0</v>
      </c>
      <c r="W121" s="103"/>
      <c r="X121" s="103"/>
      <c r="Y121" s="105"/>
      <c r="Z121" s="106">
        <v>0</v>
      </c>
      <c r="AA121" s="104"/>
      <c r="AB121" s="102"/>
      <c r="AC121" s="102"/>
      <c r="AD121" s="116">
        <v>0</v>
      </c>
      <c r="AE121" s="198">
        <v>0</v>
      </c>
      <c r="AF121" s="119"/>
      <c r="AG121" s="120"/>
      <c r="AH121" s="120"/>
      <c r="AI121" s="120"/>
      <c r="AJ121" s="120"/>
      <c r="AK121" s="120"/>
      <c r="AL121" s="120"/>
      <c r="AM121" s="120"/>
      <c r="AN121" s="120"/>
      <c r="AO121" s="120"/>
      <c r="AP121" s="120"/>
      <c r="AQ121" s="120"/>
      <c r="AR121" s="120"/>
      <c r="AS121" s="120"/>
      <c r="AT121" s="120"/>
      <c r="AU121" s="120"/>
      <c r="AV121" s="120"/>
      <c r="AW121" s="120"/>
      <c r="AX121" s="120"/>
      <c r="AY121" s="120"/>
      <c r="AZ121" s="120"/>
      <c r="BA121" s="120"/>
      <c r="BB121" s="120"/>
      <c r="BC121" s="120" t="str">
        <f>" " &amp; TEXT(AE121,"#0.00%") &amp; " "</f>
        <v xml:space="preserve"> 0.00% </v>
      </c>
      <c r="BD121" s="120"/>
      <c r="BE121" s="120"/>
      <c r="BF121" s="120" t="str">
        <f>"      " &amp; "현장조사 (센서 측위)" &amp; " " &amp; IF(P121="","",TEXT(P121,"M/D-")) &amp; IF(Q121="","",TEXT(Q121,"M/D")) &amp; " "</f>
        <v xml:space="preserve">      현장조사 (센서 측위) 11/30-12/25 </v>
      </c>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row>
    <row r="122" spans="1:85" ht="12" customHeight="1" outlineLevel="2">
      <c r="A122" s="101"/>
      <c r="B122" s="101"/>
      <c r="C122" s="101">
        <v>3</v>
      </c>
      <c r="D122" s="117" t="s">
        <v>1772</v>
      </c>
      <c r="E122" s="102"/>
      <c r="F122" s="102"/>
      <c r="G122" s="102" t="s">
        <v>1748</v>
      </c>
      <c r="H122" s="102"/>
      <c r="I122" s="102"/>
      <c r="J122" s="102"/>
      <c r="K122" s="102"/>
      <c r="L122" s="102"/>
      <c r="M122" s="102"/>
      <c r="N122" s="102"/>
      <c r="O122" s="234"/>
      <c r="P122" s="103">
        <v>46363</v>
      </c>
      <c r="Q122" s="103">
        <v>46388</v>
      </c>
      <c r="R122" s="102"/>
      <c r="S122" s="104">
        <v>18</v>
      </c>
      <c r="T122" s="104">
        <v>0</v>
      </c>
      <c r="U122" s="104">
        <v>18</v>
      </c>
      <c r="V122" s="104">
        <v>0</v>
      </c>
      <c r="W122" s="103"/>
      <c r="X122" s="103"/>
      <c r="Y122" s="105"/>
      <c r="Z122" s="106">
        <v>0</v>
      </c>
      <c r="AA122" s="104"/>
      <c r="AB122" s="102"/>
      <c r="AC122" s="102"/>
      <c r="AD122" s="116">
        <v>0</v>
      </c>
      <c r="AE122" s="198">
        <v>0</v>
      </c>
      <c r="AF122" s="119"/>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t="str">
        <f>" " &amp; TEXT(AE122,"#0.00%") &amp; " "</f>
        <v xml:space="preserve"> 0.00% </v>
      </c>
      <c r="BE122" s="120"/>
      <c r="BF122" s="120"/>
      <c r="BG122" s="120" t="str">
        <f>"      " &amp; "내비게이션 맵 구축" &amp; " " &amp; IF(P122="","",TEXT(P122,"M/D-")) &amp; IF(Q122="","",TEXT(Q122,"M/D")) &amp; " "</f>
        <v xml:space="preserve">      내비게이션 맵 구축 12/7-1/1 </v>
      </c>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row>
    <row r="123" spans="1:85" ht="12" customHeight="1" outlineLevel="2">
      <c r="A123" s="101"/>
      <c r="B123" s="101"/>
      <c r="C123" s="101">
        <v>3</v>
      </c>
      <c r="D123" s="117" t="s">
        <v>1773</v>
      </c>
      <c r="E123" s="102"/>
      <c r="F123" s="102"/>
      <c r="G123" s="102" t="s">
        <v>1766</v>
      </c>
      <c r="H123" s="102"/>
      <c r="I123" s="102"/>
      <c r="J123" s="102"/>
      <c r="K123" s="102"/>
      <c r="L123" s="102"/>
      <c r="M123" s="102"/>
      <c r="N123" s="102"/>
      <c r="O123" s="234"/>
      <c r="P123" s="103">
        <v>46370</v>
      </c>
      <c r="Q123" s="103">
        <v>46402</v>
      </c>
      <c r="R123" s="102"/>
      <c r="S123" s="104">
        <v>23</v>
      </c>
      <c r="T123" s="104">
        <v>0</v>
      </c>
      <c r="U123" s="104">
        <v>23</v>
      </c>
      <c r="V123" s="104">
        <v>0</v>
      </c>
      <c r="W123" s="103"/>
      <c r="X123" s="103"/>
      <c r="Y123" s="105"/>
      <c r="Z123" s="106">
        <v>0</v>
      </c>
      <c r="AA123" s="104"/>
      <c r="AB123" s="102"/>
      <c r="AC123" s="102"/>
      <c r="AD123" s="116">
        <v>0</v>
      </c>
      <c r="AE123" s="198">
        <v>0</v>
      </c>
      <c r="AF123" s="119"/>
      <c r="AG123" s="120"/>
      <c r="AH123" s="120"/>
      <c r="AI123" s="120"/>
      <c r="AJ123" s="120"/>
      <c r="AK123" s="120"/>
      <c r="AL123" s="120"/>
      <c r="AM123" s="120"/>
      <c r="AN123" s="120"/>
      <c r="AO123" s="120"/>
      <c r="AP123" s="120"/>
      <c r="AQ123" s="120"/>
      <c r="AR123" s="120"/>
      <c r="AS123" s="120"/>
      <c r="AT123" s="120"/>
      <c r="AU123" s="120"/>
      <c r="AV123" s="120"/>
      <c r="AW123" s="120"/>
      <c r="AX123" s="120"/>
      <c r="AY123" s="120"/>
      <c r="AZ123" s="120"/>
      <c r="BA123" s="120"/>
      <c r="BB123" s="120"/>
      <c r="BC123" s="120"/>
      <c r="BD123" s="120"/>
      <c r="BE123" s="120" t="str">
        <f>" " &amp; TEXT(AE123,"#0.00%") &amp; " "</f>
        <v xml:space="preserve"> 0.00% </v>
      </c>
      <c r="BF123" s="120"/>
      <c r="BG123" s="120"/>
      <c r="BH123" s="120"/>
      <c r="BI123" s="120" t="str">
        <f>"      " &amp; "데이터 검증/보정/테스트" &amp; " " &amp; IF(P123="","",TEXT(P123,"M/D-")) &amp; IF(Q123="","",TEXT(Q123,"M/D")) &amp; " "</f>
        <v xml:space="preserve">      데이터 검증/보정/테스트 12/14-1/15 </v>
      </c>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row>
    <row r="124" spans="1:85" ht="12" customHeight="1">
      <c r="A124" s="101"/>
      <c r="B124" s="101" t="s">
        <v>1392</v>
      </c>
      <c r="C124" s="101">
        <v>1</v>
      </c>
      <c r="D124" s="117" t="s">
        <v>1799</v>
      </c>
      <c r="E124" s="102" t="s">
        <v>1713</v>
      </c>
      <c r="F124" s="102"/>
      <c r="G124" s="102"/>
      <c r="H124" s="102"/>
      <c r="I124" s="102"/>
      <c r="J124" s="102"/>
      <c r="K124" s="102"/>
      <c r="L124" s="102"/>
      <c r="M124" s="102"/>
      <c r="N124" s="102"/>
      <c r="O124" s="234"/>
      <c r="P124" s="103">
        <v>46342</v>
      </c>
      <c r="Q124" s="103">
        <v>46549</v>
      </c>
      <c r="R124" s="102"/>
      <c r="S124" s="104">
        <v>55</v>
      </c>
      <c r="T124" s="104">
        <v>0</v>
      </c>
      <c r="U124" s="104">
        <v>143</v>
      </c>
      <c r="V124" s="104">
        <v>0</v>
      </c>
      <c r="W124" s="103"/>
      <c r="X124" s="103"/>
      <c r="Y124" s="105">
        <v>0</v>
      </c>
      <c r="Z124" s="106">
        <v>0</v>
      </c>
      <c r="AA124" s="104"/>
      <c r="AB124" s="102"/>
      <c r="AC124" s="102"/>
      <c r="AD124" s="116">
        <v>0</v>
      </c>
      <c r="AE124" s="207">
        <v>0</v>
      </c>
      <c r="AF124" s="119"/>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t="str">
        <f>" " &amp; TEXT(AE124,"#0.00%") &amp; " "</f>
        <v xml:space="preserve"> 0.00% </v>
      </c>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t="str">
        <f>"      " &amp; "시스템 이관" &amp; " " &amp; IF(P124="","",TEXT(P124,"M/D-")) &amp; IF(Q124="","",TEXT(Q124,"M/D")) &amp; " "</f>
        <v xml:space="preserve">      시스템 이관 11/16-6/11 </v>
      </c>
      <c r="CE124" s="120"/>
      <c r="CF124" s="120"/>
      <c r="CG124" s="120"/>
    </row>
    <row r="125" spans="1:85" ht="12" customHeight="1" outlineLevel="1">
      <c r="A125" s="101"/>
      <c r="B125" s="101" t="s">
        <v>1392</v>
      </c>
      <c r="C125" s="101">
        <v>2</v>
      </c>
      <c r="D125" s="117" t="s">
        <v>1800</v>
      </c>
      <c r="E125" s="102"/>
      <c r="F125" s="102" t="s">
        <v>1727</v>
      </c>
      <c r="G125" s="102"/>
      <c r="H125" s="102"/>
      <c r="I125" s="102"/>
      <c r="J125" s="102"/>
      <c r="K125" s="102"/>
      <c r="L125" s="102"/>
      <c r="M125" s="102"/>
      <c r="N125" s="102"/>
      <c r="O125" s="234"/>
      <c r="P125" s="103">
        <v>46342</v>
      </c>
      <c r="Q125" s="103">
        <v>46374</v>
      </c>
      <c r="R125" s="102"/>
      <c r="S125" s="104">
        <v>25</v>
      </c>
      <c r="T125" s="104">
        <v>0</v>
      </c>
      <c r="U125" s="104">
        <v>25</v>
      </c>
      <c r="V125" s="104">
        <v>0</v>
      </c>
      <c r="W125" s="103"/>
      <c r="X125" s="103"/>
      <c r="Y125" s="105">
        <v>0</v>
      </c>
      <c r="Z125" s="106">
        <v>0</v>
      </c>
      <c r="AA125" s="104"/>
      <c r="AB125" s="102"/>
      <c r="AC125" s="102"/>
      <c r="AD125" s="116">
        <v>0</v>
      </c>
      <c r="AE125" s="207">
        <v>0</v>
      </c>
      <c r="AF125" s="119"/>
      <c r="AG125" s="120"/>
      <c r="AH125" s="120"/>
      <c r="AI125" s="120"/>
      <c r="AJ125" s="120"/>
      <c r="AK125" s="120"/>
      <c r="AL125" s="120"/>
      <c r="AM125" s="120"/>
      <c r="AN125" s="120"/>
      <c r="AO125" s="120"/>
      <c r="AP125" s="120"/>
      <c r="AQ125" s="120"/>
      <c r="AR125" s="120"/>
      <c r="AS125" s="120"/>
      <c r="AT125" s="120"/>
      <c r="AU125" s="120"/>
      <c r="AV125" s="120"/>
      <c r="AW125" s="120"/>
      <c r="AX125" s="120"/>
      <c r="AY125" s="120"/>
      <c r="AZ125" s="120"/>
      <c r="BA125" s="120" t="str">
        <f>" " &amp; TEXT(AE125,"#0.00%") &amp; " "</f>
        <v xml:space="preserve"> 0.00% </v>
      </c>
      <c r="BB125" s="120"/>
      <c r="BC125" s="120"/>
      <c r="BD125" s="120"/>
      <c r="BE125" s="120" t="str">
        <f>"      " &amp; "운영 환경 구성" &amp; " " &amp; IF(P125="","",TEXT(P125,"M/D-")) &amp; IF(Q125="","",TEXT(Q125,"M/D")) &amp; " "</f>
        <v xml:space="preserve">      운영 환경 구성 11/16-12/18 </v>
      </c>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row>
    <row r="126" spans="1:85" ht="12" customHeight="1" outlineLevel="2">
      <c r="A126" s="101"/>
      <c r="B126" s="101"/>
      <c r="C126" s="101">
        <v>3</v>
      </c>
      <c r="D126" s="117" t="s">
        <v>1801</v>
      </c>
      <c r="E126" s="102"/>
      <c r="F126" s="102"/>
      <c r="G126" s="102" t="s">
        <v>1728</v>
      </c>
      <c r="H126" s="102"/>
      <c r="I126" s="102"/>
      <c r="J126" s="102"/>
      <c r="K126" s="102"/>
      <c r="L126" s="102"/>
      <c r="M126" s="102"/>
      <c r="N126" s="102"/>
      <c r="O126" s="234"/>
      <c r="P126" s="103">
        <v>46342</v>
      </c>
      <c r="Q126" s="103">
        <v>46374</v>
      </c>
      <c r="R126" s="102"/>
      <c r="S126" s="104">
        <v>25</v>
      </c>
      <c r="T126" s="104">
        <v>0</v>
      </c>
      <c r="U126" s="104">
        <v>25</v>
      </c>
      <c r="V126" s="104">
        <v>0</v>
      </c>
      <c r="W126" s="103"/>
      <c r="X126" s="103"/>
      <c r="Y126" s="105"/>
      <c r="Z126" s="106">
        <v>0</v>
      </c>
      <c r="AA126" s="104">
        <v>1</v>
      </c>
      <c r="AB126" s="102"/>
      <c r="AC126" s="102"/>
      <c r="AD126" s="116">
        <v>0</v>
      </c>
      <c r="AE126" s="198">
        <v>0</v>
      </c>
      <c r="AF126" s="119"/>
      <c r="AG126" s="120"/>
      <c r="AH126" s="120"/>
      <c r="AI126" s="120"/>
      <c r="AJ126" s="120"/>
      <c r="AK126" s="120"/>
      <c r="AL126" s="120"/>
      <c r="AM126" s="120"/>
      <c r="AN126" s="120"/>
      <c r="AO126" s="120"/>
      <c r="AP126" s="120"/>
      <c r="AQ126" s="120"/>
      <c r="AR126" s="120"/>
      <c r="AS126" s="120"/>
      <c r="AT126" s="120"/>
      <c r="AU126" s="120"/>
      <c r="AV126" s="120"/>
      <c r="AW126" s="120"/>
      <c r="AX126" s="120"/>
      <c r="AY126" s="120"/>
      <c r="AZ126" s="120"/>
      <c r="BA126" s="120" t="str">
        <f>" " &amp; TEXT(AE126,"#0.00%") &amp; " "</f>
        <v xml:space="preserve"> 0.00% </v>
      </c>
      <c r="BB126" s="120"/>
      <c r="BC126" s="120"/>
      <c r="BD126" s="120"/>
      <c r="BE126" s="120" t="str">
        <f>"      " &amp; "시스템 설치 및 운영 환경 구성" &amp; " " &amp; IF(P126="","",TEXT(P126,"M/D-")) &amp; IF(Q126="","",TEXT(Q126,"M/D")) &amp; " "</f>
        <v xml:space="preserve">      시스템 설치 및 운영 환경 구성 11/16-12/18 </v>
      </c>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row>
    <row r="127" spans="1:85" ht="12" customHeight="1" outlineLevel="1">
      <c r="A127" s="101"/>
      <c r="B127" s="101" t="s">
        <v>1392</v>
      </c>
      <c r="C127" s="101">
        <v>2</v>
      </c>
      <c r="D127" s="117" t="s">
        <v>1802</v>
      </c>
      <c r="E127" s="102"/>
      <c r="F127" s="102" t="s">
        <v>1729</v>
      </c>
      <c r="G127" s="102"/>
      <c r="H127" s="102"/>
      <c r="I127" s="102"/>
      <c r="J127" s="102"/>
      <c r="K127" s="102"/>
      <c r="L127" s="102"/>
      <c r="M127" s="102"/>
      <c r="N127" s="102"/>
      <c r="O127" s="234"/>
      <c r="P127" s="103">
        <v>46377</v>
      </c>
      <c r="Q127" s="103">
        <v>46549</v>
      </c>
      <c r="R127" s="102"/>
      <c r="S127" s="104">
        <v>30</v>
      </c>
      <c r="T127" s="104">
        <v>0</v>
      </c>
      <c r="U127" s="104">
        <v>118</v>
      </c>
      <c r="V127" s="104">
        <v>0</v>
      </c>
      <c r="W127" s="103"/>
      <c r="X127" s="103"/>
      <c r="Y127" s="105">
        <v>0</v>
      </c>
      <c r="Z127" s="106">
        <v>0</v>
      </c>
      <c r="AA127" s="104"/>
      <c r="AB127" s="102"/>
      <c r="AC127" s="102"/>
      <c r="AD127" s="116">
        <v>0</v>
      </c>
      <c r="AE127" s="207">
        <v>0</v>
      </c>
      <c r="AF127" s="119"/>
      <c r="AG127" s="120"/>
      <c r="AH127" s="120"/>
      <c r="AI127" s="120"/>
      <c r="AJ127" s="120"/>
      <c r="AK127" s="120"/>
      <c r="AL127" s="120"/>
      <c r="AM127" s="120"/>
      <c r="AN127" s="120"/>
      <c r="AO127" s="120"/>
      <c r="AP127" s="120"/>
      <c r="AQ127" s="120"/>
      <c r="AR127" s="120"/>
      <c r="AS127" s="120"/>
      <c r="AT127" s="120"/>
      <c r="AU127" s="120"/>
      <c r="AV127" s="120"/>
      <c r="AW127" s="120"/>
      <c r="AX127" s="120"/>
      <c r="AY127" s="120"/>
      <c r="AZ127" s="120"/>
      <c r="BA127" s="120"/>
      <c r="BB127" s="120"/>
      <c r="BC127" s="120"/>
      <c r="BD127" s="120"/>
      <c r="BE127" s="120"/>
      <c r="BF127" s="120" t="str">
        <f>" " &amp; TEXT(AE127,"#0.00%") &amp; " "</f>
        <v xml:space="preserve"> 0.00% </v>
      </c>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t="str">
        <f>"      " &amp; "전환 및 배포" &amp; " " &amp; IF(P127="","",TEXT(P127,"M/D-")) &amp; IF(Q127="","",TEXT(Q127,"M/D")) &amp; " "</f>
        <v xml:space="preserve">      전환 및 배포 12/21-6/11 </v>
      </c>
      <c r="CE127" s="120"/>
      <c r="CF127" s="120"/>
      <c r="CG127" s="120"/>
    </row>
    <row r="128" spans="1:85" ht="12" customHeight="1" outlineLevel="2">
      <c r="A128" s="101"/>
      <c r="B128" s="101" t="s">
        <v>1392</v>
      </c>
      <c r="C128" s="101">
        <v>3</v>
      </c>
      <c r="D128" s="117" t="s">
        <v>1803</v>
      </c>
      <c r="E128" s="102"/>
      <c r="F128" s="102"/>
      <c r="G128" s="102" t="s">
        <v>1732</v>
      </c>
      <c r="H128" s="102"/>
      <c r="I128" s="102"/>
      <c r="J128" s="102"/>
      <c r="K128" s="102"/>
      <c r="L128" s="102"/>
      <c r="M128" s="102"/>
      <c r="N128" s="102"/>
      <c r="O128" s="234"/>
      <c r="P128" s="103">
        <v>46377</v>
      </c>
      <c r="Q128" s="103">
        <v>46415</v>
      </c>
      <c r="R128" s="102"/>
      <c r="S128" s="104">
        <v>17</v>
      </c>
      <c r="T128" s="104">
        <v>0</v>
      </c>
      <c r="U128" s="104">
        <v>27</v>
      </c>
      <c r="V128" s="104">
        <v>0</v>
      </c>
      <c r="W128" s="103"/>
      <c r="X128" s="103"/>
      <c r="Y128" s="105">
        <v>0</v>
      </c>
      <c r="Z128" s="106">
        <v>0</v>
      </c>
      <c r="AA128" s="104"/>
      <c r="AB128" s="102"/>
      <c r="AC128" s="102"/>
      <c r="AD128" s="116">
        <v>0</v>
      </c>
      <c r="AE128" s="207">
        <v>0</v>
      </c>
      <c r="AF128" s="119"/>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20" t="str">
        <f>" " &amp; TEXT(AE128,"#0.00%") &amp; " "</f>
        <v xml:space="preserve"> 0.00% </v>
      </c>
      <c r="BG128" s="120"/>
      <c r="BH128" s="120"/>
      <c r="BI128" s="120"/>
      <c r="BJ128" s="120"/>
      <c r="BK128" s="120" t="str">
        <f>"     " &amp; "1차 전환 및 배포" &amp; " " &amp; IF(P128="","",TEXT(P128,"M/D-")) &amp; IF(Q128="","",TEXT(Q128,"M/D")) &amp; " "</f>
        <v xml:space="preserve">     1차 전환 및 배포 12/21-1/28 </v>
      </c>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row>
    <row r="129" spans="1:85" ht="12" customHeight="1" outlineLevel="3">
      <c r="A129" s="101"/>
      <c r="B129" s="101"/>
      <c r="C129" s="101">
        <v>4</v>
      </c>
      <c r="D129" s="117" t="s">
        <v>1804</v>
      </c>
      <c r="E129" s="102"/>
      <c r="F129" s="102"/>
      <c r="G129" s="102"/>
      <c r="H129" s="102" t="s">
        <v>1730</v>
      </c>
      <c r="I129" s="102"/>
      <c r="J129" s="102"/>
      <c r="K129" s="102"/>
      <c r="L129" s="102"/>
      <c r="M129" s="102"/>
      <c r="N129" s="102"/>
      <c r="O129" s="234"/>
      <c r="P129" s="103">
        <v>46377</v>
      </c>
      <c r="Q129" s="103">
        <v>46381</v>
      </c>
      <c r="R129" s="102"/>
      <c r="S129" s="104">
        <v>4</v>
      </c>
      <c r="T129" s="104">
        <v>0</v>
      </c>
      <c r="U129" s="104">
        <v>4</v>
      </c>
      <c r="V129" s="104">
        <v>0</v>
      </c>
      <c r="W129" s="103"/>
      <c r="X129" s="103"/>
      <c r="Y129" s="105"/>
      <c r="Z129" s="106">
        <v>0</v>
      </c>
      <c r="AA129" s="104">
        <v>1</v>
      </c>
      <c r="AB129" s="102"/>
      <c r="AC129" s="102"/>
      <c r="AD129" s="116">
        <v>0</v>
      </c>
      <c r="AE129" s="198">
        <v>0</v>
      </c>
      <c r="AF129" s="119"/>
      <c r="AG129" s="120"/>
      <c r="AH129" s="120"/>
      <c r="AI129" s="120"/>
      <c r="AJ129" s="120"/>
      <c r="AK129" s="120"/>
      <c r="AL129" s="120"/>
      <c r="AM129" s="120"/>
      <c r="AN129" s="120"/>
      <c r="AO129" s="120"/>
      <c r="AP129" s="120"/>
      <c r="AQ129" s="120"/>
      <c r="AR129" s="120"/>
      <c r="AS129" s="120"/>
      <c r="AT129" s="120"/>
      <c r="AU129" s="120"/>
      <c r="AV129" s="120"/>
      <c r="AW129" s="120"/>
      <c r="AX129" s="120"/>
      <c r="AY129" s="120"/>
      <c r="AZ129" s="120"/>
      <c r="BA129" s="120"/>
      <c r="BB129" s="120"/>
      <c r="BC129" s="120"/>
      <c r="BD129" s="120"/>
      <c r="BE129" s="120"/>
      <c r="BF129" s="120" t="str">
        <f>" " &amp; TEXT(AE129,"#0.00%") &amp; " " &amp; "1차 데이터베이스이관" &amp; " " &amp; IF(P129="","",TEXT(P129,"M/D-")) &amp; IF(Q129="","",TEXT(Q129,"M/D")) &amp; " "</f>
        <v xml:space="preserve"> 0.00% 1차 데이터베이스이관 12/21-12/25 </v>
      </c>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row>
    <row r="130" spans="1:85" ht="12" customHeight="1" outlineLevel="3">
      <c r="A130" s="101"/>
      <c r="B130" s="101"/>
      <c r="C130" s="101">
        <v>4</v>
      </c>
      <c r="D130" s="117" t="s">
        <v>1805</v>
      </c>
      <c r="E130" s="102"/>
      <c r="F130" s="102"/>
      <c r="G130" s="102"/>
      <c r="H130" s="102" t="s">
        <v>1731</v>
      </c>
      <c r="I130" s="102"/>
      <c r="J130" s="102"/>
      <c r="K130" s="102"/>
      <c r="L130" s="102"/>
      <c r="M130" s="102"/>
      <c r="N130" s="102"/>
      <c r="O130" s="234"/>
      <c r="P130" s="103">
        <v>46377</v>
      </c>
      <c r="Q130" s="103">
        <v>46381</v>
      </c>
      <c r="R130" s="102"/>
      <c r="S130" s="104">
        <v>4</v>
      </c>
      <c r="T130" s="104">
        <v>0</v>
      </c>
      <c r="U130" s="104">
        <v>4</v>
      </c>
      <c r="V130" s="104">
        <v>0</v>
      </c>
      <c r="W130" s="103"/>
      <c r="X130" s="103"/>
      <c r="Y130" s="105"/>
      <c r="Z130" s="106">
        <v>0</v>
      </c>
      <c r="AA130" s="104"/>
      <c r="AB130" s="102"/>
      <c r="AC130" s="102"/>
      <c r="AD130" s="116">
        <v>0</v>
      </c>
      <c r="AE130" s="198">
        <v>0</v>
      </c>
      <c r="AF130" s="119"/>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t="str">
        <f>" " &amp; TEXT(AE130,"#0.00%") &amp; " " &amp; "1차 시스템 이관" &amp; " " &amp; IF(P130="","",TEXT(P130,"M/D-")) &amp; IF(Q130="","",TEXT(Q130,"M/D")) &amp; " "</f>
        <v xml:space="preserve"> 0.00% 1차 시스템 이관 12/21-12/25 </v>
      </c>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row>
    <row r="131" spans="1:85" ht="12" customHeight="1" outlineLevel="3">
      <c r="A131" s="101"/>
      <c r="B131" s="101"/>
      <c r="C131" s="101">
        <v>4</v>
      </c>
      <c r="D131" s="117" t="s">
        <v>1806</v>
      </c>
      <c r="E131" s="102"/>
      <c r="F131" s="102"/>
      <c r="G131" s="102"/>
      <c r="H131" s="102" t="s">
        <v>1733</v>
      </c>
      <c r="I131" s="102"/>
      <c r="J131" s="102"/>
      <c r="K131" s="102"/>
      <c r="L131" s="102"/>
      <c r="M131" s="102"/>
      <c r="N131" s="102"/>
      <c r="O131" s="234"/>
      <c r="P131" s="103">
        <v>46405</v>
      </c>
      <c r="Q131" s="103">
        <v>46415</v>
      </c>
      <c r="R131" s="102"/>
      <c r="S131" s="104">
        <v>9</v>
      </c>
      <c r="T131" s="104">
        <v>0</v>
      </c>
      <c r="U131" s="104">
        <v>9</v>
      </c>
      <c r="V131" s="104">
        <v>0</v>
      </c>
      <c r="W131" s="103"/>
      <c r="X131" s="103"/>
      <c r="Y131" s="105"/>
      <c r="Z131" s="106">
        <v>0</v>
      </c>
      <c r="AA131" s="104"/>
      <c r="AB131" s="102"/>
      <c r="AC131" s="102"/>
      <c r="AD131" s="116">
        <v>0</v>
      </c>
      <c r="AE131" s="198">
        <v>0</v>
      </c>
      <c r="AF131" s="119"/>
      <c r="AG131" s="120"/>
      <c r="AH131" s="120"/>
      <c r="AI131" s="120"/>
      <c r="AJ131" s="120"/>
      <c r="AK131" s="120"/>
      <c r="AL131" s="120"/>
      <c r="AM131" s="120"/>
      <c r="AN131" s="120"/>
      <c r="AO131" s="120"/>
      <c r="AP131" s="120"/>
      <c r="AQ131" s="120"/>
      <c r="AR131" s="120"/>
      <c r="AS131" s="120"/>
      <c r="AT131" s="120"/>
      <c r="AU131" s="120"/>
      <c r="AV131" s="120"/>
      <c r="AW131" s="120"/>
      <c r="AX131" s="120"/>
      <c r="AY131" s="120"/>
      <c r="AZ131" s="120"/>
      <c r="BA131" s="120"/>
      <c r="BB131" s="120"/>
      <c r="BC131" s="120"/>
      <c r="BD131" s="120"/>
      <c r="BE131" s="120"/>
      <c r="BF131" s="120"/>
      <c r="BG131" s="120"/>
      <c r="BH131" s="120"/>
      <c r="BI131" s="120"/>
      <c r="BJ131" s="120" t="str">
        <f>" " &amp; TEXT(AE131,"#0.00%") &amp; " " &amp; "1차 앱 스토어 등록" &amp; " " &amp; IF(P131="","",TEXT(P131,"M/D-")) &amp; IF(Q131="","",TEXT(Q131,"M/D")) &amp; " "</f>
        <v xml:space="preserve"> 0.00% 1차 앱 스토어 등록 1/18-1/28 </v>
      </c>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row>
    <row r="132" spans="1:85" ht="12" customHeight="1" outlineLevel="2">
      <c r="A132" s="101"/>
      <c r="B132" s="101" t="s">
        <v>1392</v>
      </c>
      <c r="C132" s="101">
        <v>3</v>
      </c>
      <c r="D132" s="117" t="s">
        <v>1807</v>
      </c>
      <c r="E132" s="102"/>
      <c r="F132" s="102"/>
      <c r="G132" s="102" t="s">
        <v>1734</v>
      </c>
      <c r="H132" s="102"/>
      <c r="I132" s="102"/>
      <c r="J132" s="102"/>
      <c r="K132" s="102"/>
      <c r="L132" s="102"/>
      <c r="M132" s="102"/>
      <c r="N132" s="102"/>
      <c r="O132" s="234"/>
      <c r="P132" s="103">
        <v>46407</v>
      </c>
      <c r="Q132" s="103">
        <v>46549</v>
      </c>
      <c r="R132" s="102"/>
      <c r="S132" s="104">
        <v>13</v>
      </c>
      <c r="T132" s="104">
        <v>0</v>
      </c>
      <c r="U132" s="104">
        <v>98</v>
      </c>
      <c r="V132" s="104">
        <v>0</v>
      </c>
      <c r="W132" s="103"/>
      <c r="X132" s="103"/>
      <c r="Y132" s="105">
        <v>0</v>
      </c>
      <c r="Z132" s="106">
        <v>0</v>
      </c>
      <c r="AA132" s="104"/>
      <c r="AB132" s="102"/>
      <c r="AC132" s="102"/>
      <c r="AD132" s="116">
        <v>0</v>
      </c>
      <c r="AE132" s="207">
        <v>0</v>
      </c>
      <c r="AF132" s="119"/>
      <c r="AG132" s="120"/>
      <c r="AH132" s="120"/>
      <c r="AI132" s="120"/>
      <c r="AJ132" s="120"/>
      <c r="AK132" s="120"/>
      <c r="AL132" s="120"/>
      <c r="AM132" s="120"/>
      <c r="AN132" s="120"/>
      <c r="AO132" s="120"/>
      <c r="AP132" s="120"/>
      <c r="AQ132" s="120"/>
      <c r="AR132" s="120"/>
      <c r="AS132" s="120"/>
      <c r="AT132" s="120"/>
      <c r="AU132" s="120"/>
      <c r="AV132" s="120"/>
      <c r="AW132" s="120"/>
      <c r="AX132" s="120"/>
      <c r="AY132" s="120"/>
      <c r="AZ132" s="120"/>
      <c r="BA132" s="120"/>
      <c r="BB132" s="120"/>
      <c r="BC132" s="120"/>
      <c r="BD132" s="120"/>
      <c r="BE132" s="120"/>
      <c r="BF132" s="120"/>
      <c r="BG132" s="120"/>
      <c r="BH132" s="120"/>
      <c r="BI132" s="120"/>
      <c r="BJ132" s="120" t="str">
        <f>"   " &amp; TEXT(AE132,"#0.00%") &amp; " "</f>
        <v xml:space="preserve">   0.00% </v>
      </c>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t="str">
        <f>"      " &amp; "2차 전환 및 배포" &amp; " " &amp; IF(P132="","",TEXT(P132,"M/D-")) &amp; IF(Q132="","",TEXT(Q132,"M/D")) &amp; " "</f>
        <v xml:space="preserve">      2차 전환 및 배포 1/20-6/11 </v>
      </c>
      <c r="CE132" s="120"/>
      <c r="CF132" s="120"/>
      <c r="CG132" s="120"/>
    </row>
    <row r="133" spans="1:85" ht="12" customHeight="1" outlineLevel="3">
      <c r="A133" s="101"/>
      <c r="B133" s="101"/>
      <c r="C133" s="101">
        <v>4</v>
      </c>
      <c r="D133" s="117" t="s">
        <v>1808</v>
      </c>
      <c r="E133" s="102"/>
      <c r="F133" s="102"/>
      <c r="G133" s="102"/>
      <c r="H133" s="102" t="s">
        <v>1735</v>
      </c>
      <c r="I133" s="102"/>
      <c r="J133" s="102"/>
      <c r="K133" s="102"/>
      <c r="L133" s="102"/>
      <c r="M133" s="102"/>
      <c r="N133" s="102"/>
      <c r="O133" s="234"/>
      <c r="P133" s="103">
        <v>46545</v>
      </c>
      <c r="Q133" s="103">
        <v>46549</v>
      </c>
      <c r="R133" s="102"/>
      <c r="S133" s="104">
        <v>5</v>
      </c>
      <c r="T133" s="104">
        <v>0</v>
      </c>
      <c r="U133" s="104">
        <v>5</v>
      </c>
      <c r="V133" s="104">
        <v>0</v>
      </c>
      <c r="W133" s="103"/>
      <c r="X133" s="103"/>
      <c r="Y133" s="105"/>
      <c r="Z133" s="106">
        <v>0</v>
      </c>
      <c r="AA133" s="104">
        <v>1</v>
      </c>
      <c r="AB133" s="102"/>
      <c r="AC133" s="102"/>
      <c r="AD133" s="116">
        <v>0</v>
      </c>
      <c r="AE133" s="198">
        <v>0</v>
      </c>
      <c r="AF133" s="119"/>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t="str">
        <f>" " &amp; TEXT(AE133,"#0.00%") &amp; " " &amp; "2차 데이터베이스이관" &amp; " " &amp; IF(P133="","",TEXT(P133,"M/D-")) &amp; IF(Q133="","",TEXT(Q133,"M/D")) &amp; " "</f>
        <v xml:space="preserve"> 0.00% 2차 데이터베이스이관 6/7-6/11 </v>
      </c>
      <c r="CE133" s="120"/>
      <c r="CF133" s="120"/>
      <c r="CG133" s="120"/>
    </row>
    <row r="134" spans="1:85" ht="12" customHeight="1" outlineLevel="3">
      <c r="A134" s="101"/>
      <c r="B134" s="101"/>
      <c r="C134" s="101">
        <v>4</v>
      </c>
      <c r="D134" s="117" t="s">
        <v>1809</v>
      </c>
      <c r="E134" s="102"/>
      <c r="F134" s="102"/>
      <c r="G134" s="102"/>
      <c r="H134" s="102" t="s">
        <v>1736</v>
      </c>
      <c r="I134" s="102"/>
      <c r="J134" s="102"/>
      <c r="K134" s="102"/>
      <c r="L134" s="102"/>
      <c r="M134" s="102"/>
      <c r="N134" s="102"/>
      <c r="O134" s="234"/>
      <c r="P134" s="103">
        <v>46545</v>
      </c>
      <c r="Q134" s="103">
        <v>46549</v>
      </c>
      <c r="R134" s="102"/>
      <c r="S134" s="104">
        <v>5</v>
      </c>
      <c r="T134" s="104">
        <v>0</v>
      </c>
      <c r="U134" s="104">
        <v>5</v>
      </c>
      <c r="V134" s="104">
        <v>0</v>
      </c>
      <c r="W134" s="103"/>
      <c r="X134" s="103"/>
      <c r="Y134" s="105"/>
      <c r="Z134" s="106">
        <v>0</v>
      </c>
      <c r="AA134" s="104"/>
      <c r="AB134" s="102"/>
      <c r="AC134" s="102"/>
      <c r="AD134" s="116">
        <v>0</v>
      </c>
      <c r="AE134" s="198">
        <v>0</v>
      </c>
      <c r="AF134" s="119"/>
      <c r="AG134" s="120"/>
      <c r="AH134" s="120"/>
      <c r="AI134" s="120"/>
      <c r="AJ134" s="120"/>
      <c r="AK134" s="120"/>
      <c r="AL134" s="120"/>
      <c r="AM134" s="120"/>
      <c r="AN134" s="120"/>
      <c r="AO134" s="120"/>
      <c r="AP134" s="120"/>
      <c r="AQ134" s="120"/>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t="str">
        <f>" " &amp; TEXT(AE134,"#0.00%") &amp; " " &amp; "2차 시스템 이관" &amp; " " &amp; IF(P134="","",TEXT(P134,"M/D-")) &amp; IF(Q134="","",TEXT(Q134,"M/D")) &amp; " "</f>
        <v xml:space="preserve"> 0.00% 2차 시스템 이관 6/7-6/11 </v>
      </c>
      <c r="CE134" s="120"/>
      <c r="CF134" s="120"/>
      <c r="CG134" s="120"/>
    </row>
    <row r="135" spans="1:85" ht="12" customHeight="1" outlineLevel="3">
      <c r="A135" s="101"/>
      <c r="B135" s="101"/>
      <c r="C135" s="101">
        <v>4</v>
      </c>
      <c r="D135" s="117" t="s">
        <v>1810</v>
      </c>
      <c r="E135" s="102"/>
      <c r="F135" s="102"/>
      <c r="G135" s="102"/>
      <c r="H135" s="236" t="s">
        <v>1737</v>
      </c>
      <c r="I135" s="236"/>
      <c r="J135" s="236"/>
      <c r="K135" s="236"/>
      <c r="L135" s="236"/>
      <c r="M135" s="236"/>
      <c r="N135" s="102"/>
      <c r="O135" s="234"/>
      <c r="P135" s="238">
        <v>46552</v>
      </c>
      <c r="Q135" s="238">
        <v>46554</v>
      </c>
      <c r="R135" s="102"/>
      <c r="S135" s="104">
        <v>3</v>
      </c>
      <c r="T135" s="104">
        <v>0</v>
      </c>
      <c r="U135" s="104">
        <v>3</v>
      </c>
      <c r="V135" s="104">
        <v>0</v>
      </c>
      <c r="W135" s="103"/>
      <c r="X135" s="103"/>
      <c r="Y135" s="105"/>
      <c r="Z135" s="106">
        <v>0</v>
      </c>
      <c r="AA135" s="104"/>
      <c r="AB135" s="102"/>
      <c r="AC135" s="102"/>
      <c r="AD135" s="116">
        <v>0</v>
      </c>
      <c r="AE135" s="198">
        <v>0</v>
      </c>
      <c r="AF135" s="119"/>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t="str">
        <f>"   " &amp; TEXT(AE135,"#0.00%") &amp; " " &amp; "2차 앱 스토어 등록" &amp; " " &amp; IF(P135="","",TEXT(P135,"M/D-")) &amp; IF(Q135="","",TEXT(Q135,"M/D")) &amp; " "</f>
        <v xml:space="preserve">   0.00% 2차 앱 스토어 등록 6/14-6/16 </v>
      </c>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row>
    <row r="136" spans="1:85" ht="12" customHeight="1">
      <c r="A136" s="151"/>
      <c r="B136" s="151"/>
      <c r="C136" s="151"/>
      <c r="D136" s="152"/>
      <c r="E136" s="153"/>
      <c r="F136" s="153"/>
      <c r="G136" s="153"/>
      <c r="H136" s="153"/>
      <c r="I136" s="153"/>
      <c r="J136" s="153"/>
      <c r="K136" s="153"/>
      <c r="L136" s="153"/>
      <c r="M136" s="153"/>
      <c r="N136" s="153"/>
      <c r="O136" s="152"/>
      <c r="P136" s="154"/>
      <c r="Q136" s="154"/>
      <c r="R136" s="153"/>
      <c r="S136" s="155"/>
      <c r="T136" s="155"/>
      <c r="U136" s="155"/>
      <c r="V136" s="155"/>
      <c r="W136" s="154"/>
      <c r="X136" s="154"/>
      <c r="Y136" s="156"/>
      <c r="Z136" s="157"/>
      <c r="AA136" s="155"/>
      <c r="AB136" s="153"/>
      <c r="AC136" s="153"/>
      <c r="AD136" s="158"/>
      <c r="AE136" s="159"/>
      <c r="AF136" s="118"/>
      <c r="AG136" s="118"/>
      <c r="AH136" s="118"/>
      <c r="AI136" s="118"/>
      <c r="AJ136" s="118"/>
      <c r="AK136" s="118"/>
      <c r="AL136" s="118"/>
      <c r="AM136" s="118"/>
      <c r="AN136" s="118"/>
      <c r="AO136" s="118"/>
      <c r="AP136" s="118"/>
      <c r="AQ136" s="118"/>
      <c r="AR136" s="118"/>
      <c r="AS136" s="118"/>
      <c r="AT136" s="118"/>
      <c r="AU136" s="118"/>
      <c r="AV136" s="118"/>
      <c r="AW136" s="118"/>
      <c r="AX136" s="118"/>
      <c r="AY136" s="118"/>
      <c r="AZ136" s="118"/>
      <c r="BA136" s="118"/>
      <c r="BB136" s="118"/>
      <c r="BC136" s="118"/>
      <c r="BD136" s="118"/>
      <c r="BE136" s="118"/>
      <c r="BF136" s="118"/>
      <c r="BG136" s="118"/>
      <c r="BH136" s="118"/>
      <c r="BI136" s="118"/>
      <c r="BJ136" s="118"/>
      <c r="BK136" s="118"/>
      <c r="BL136" s="118"/>
      <c r="BM136" s="118"/>
      <c r="BN136" s="118"/>
      <c r="BO136" s="118"/>
      <c r="BP136" s="118"/>
      <c r="BQ136" s="118"/>
      <c r="BR136" s="118"/>
      <c r="BS136" s="118"/>
      <c r="BT136" s="118"/>
      <c r="BU136" s="118"/>
      <c r="BV136" s="118"/>
      <c r="BW136" s="118"/>
      <c r="BX136" s="118"/>
      <c r="BY136" s="118"/>
      <c r="BZ136" s="118"/>
      <c r="CA136" s="118"/>
      <c r="CB136" s="118"/>
      <c r="CC136" s="118"/>
      <c r="CD136" s="118"/>
      <c r="CE136" s="118"/>
      <c r="CF136" s="118"/>
      <c r="CG136" s="118"/>
    </row>
  </sheetData>
  <sheetProtection formatCells="0" formatColumns="0" formatRows="0" insertColumns="0" insertRows="0" insertHyperlinks="0" deleteColumns="0" deleteRows="0" sort="0" autoFilter="0" pivotTables="0"/>
  <dataConsolidate/>
  <mergeCells count="50">
    <mergeCell ref="AR2:AU2"/>
    <mergeCell ref="AV3:AY3"/>
    <mergeCell ref="AV2:AY2"/>
    <mergeCell ref="AZ3:BC3"/>
    <mergeCell ref="AZ2:BC2"/>
    <mergeCell ref="AR3:AU3"/>
    <mergeCell ref="O3:O4"/>
    <mergeCell ref="P3:P4"/>
    <mergeCell ref="X3:X4"/>
    <mergeCell ref="T3:T4"/>
    <mergeCell ref="A3:A4"/>
    <mergeCell ref="B3:B4"/>
    <mergeCell ref="C3:C4"/>
    <mergeCell ref="D3:D4"/>
    <mergeCell ref="E3:N4"/>
    <mergeCell ref="Q3:Q4"/>
    <mergeCell ref="R3:R4"/>
    <mergeCell ref="S3:S4"/>
    <mergeCell ref="AJ3:AM3"/>
    <mergeCell ref="AJ2:AM2"/>
    <mergeCell ref="AN3:AQ3"/>
    <mergeCell ref="AN2:AQ2"/>
    <mergeCell ref="U3:U4"/>
    <mergeCell ref="V3:V4"/>
    <mergeCell ref="W3:W4"/>
    <mergeCell ref="AE3:AE4"/>
    <mergeCell ref="AF2:AI2"/>
    <mergeCell ref="AF3:AI3"/>
    <mergeCell ref="AC3:AC4"/>
    <mergeCell ref="AD3:AD4"/>
    <mergeCell ref="Y3:Y4"/>
    <mergeCell ref="AB3:AB4"/>
    <mergeCell ref="AA3:AA4"/>
    <mergeCell ref="Z3:Z4"/>
    <mergeCell ref="BD3:BG3"/>
    <mergeCell ref="BD2:BG2"/>
    <mergeCell ref="BH3:BK3"/>
    <mergeCell ref="BH2:BK2"/>
    <mergeCell ref="BL3:BO3"/>
    <mergeCell ref="BL2:BO2"/>
    <mergeCell ref="CF3:CI3"/>
    <mergeCell ref="CF2:CI2"/>
    <mergeCell ref="CB3:CE3"/>
    <mergeCell ref="CB2:CE2"/>
    <mergeCell ref="BP3:BS3"/>
    <mergeCell ref="BP2:BS2"/>
    <mergeCell ref="BT3:BW3"/>
    <mergeCell ref="BT2:BW2"/>
    <mergeCell ref="BX3:CA3"/>
    <mergeCell ref="BX2:CA2"/>
  </mergeCells>
  <phoneticPr fontId="1" type="noConversion"/>
  <conditionalFormatting sqref="D5:AD135">
    <cfRule type="expression" dxfId="1" priority="1">
      <formula>($B5="G")</formula>
    </cfRule>
  </conditionalFormatting>
  <hyperlinks>
    <hyperlink ref="AF1:BJ1" r:id="rId1" display="https://xlworks.net/xlgantt-project-scheduler/" xr:uid="{00000000-0004-0000-0100-000000000000}"/>
  </hyperlinks>
  <pageMargins left="0.19685039370078741" right="0.23622047244094491" top="0.43307086614173229" bottom="0.23622047244094491" header="0.23622047244094491" footer="0.19685039370078741"/>
  <pageSetup paperSize="9" scale="3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baseColWidth="10" defaultColWidth="10" defaultRowHeight="15"/>
  <cols>
    <col min="1" max="1" width="40.6640625" style="57" customWidth="1"/>
    <col min="2" max="2" width="13.1640625" style="55" customWidth="1"/>
    <col min="3" max="3" width="9.83203125" style="59" customWidth="1"/>
    <col min="4" max="4" width="31.33203125" style="59" customWidth="1"/>
    <col min="5" max="6" width="14.16406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1570</v>
      </c>
      <c r="B1" s="2"/>
      <c r="C1" s="2"/>
      <c r="D1" s="2"/>
      <c r="E1" s="2"/>
      <c r="F1" s="2"/>
      <c r="G1" s="2"/>
      <c r="H1" s="2"/>
      <c r="I1" s="2"/>
      <c r="J1" s="2"/>
      <c r="K1" s="2"/>
      <c r="L1" s="285"/>
      <c r="M1" s="286"/>
      <c r="N1" s="286"/>
      <c r="O1" s="3"/>
      <c r="P1" s="3"/>
      <c r="Q1" s="3"/>
    </row>
    <row r="2" spans="1:17" s="7" customFormat="1" ht="14">
      <c r="A2" s="5" t="s">
        <v>1573</v>
      </c>
      <c r="B2" s="6"/>
    </row>
    <row r="3" spans="1:17" s="7" customFormat="1" ht="14">
      <c r="A3" s="5" t="s">
        <v>1574</v>
      </c>
      <c r="B3" s="6"/>
    </row>
    <row r="4" spans="1:17" s="7" customFormat="1" ht="14">
      <c r="A4" s="287"/>
      <c r="B4" s="287"/>
      <c r="C4" s="8"/>
      <c r="D4" s="9"/>
      <c r="E4" s="9"/>
      <c r="F4" s="9"/>
    </row>
    <row r="5" spans="1:17" s="15" customFormat="1" ht="14">
      <c r="A5" s="10"/>
      <c r="B5" s="11"/>
      <c r="C5" s="12"/>
      <c r="D5" s="13"/>
      <c r="E5" s="14"/>
      <c r="F5" s="14"/>
      <c r="G5" s="14"/>
    </row>
    <row r="6" spans="1:17" s="15" customFormat="1" ht="14">
      <c r="A6" s="16" t="s">
        <v>1575</v>
      </c>
      <c r="B6" s="17">
        <v>2613</v>
      </c>
      <c r="C6" s="15" t="s">
        <v>0</v>
      </c>
      <c r="D6" s="284" t="s">
        <v>1576</v>
      </c>
      <c r="E6" s="284"/>
      <c r="F6" s="284"/>
      <c r="G6" s="284"/>
    </row>
    <row r="7" spans="1:17" s="15" customFormat="1" ht="14">
      <c r="A7" s="18"/>
      <c r="B7" s="19"/>
      <c r="C7" s="20"/>
      <c r="D7" s="21"/>
      <c r="E7" s="21"/>
      <c r="F7" s="21"/>
      <c r="G7" s="21"/>
    </row>
    <row r="8" spans="1:17" s="15" customFormat="1" ht="12.75" customHeight="1">
      <c r="A8" s="22"/>
      <c r="B8" s="23"/>
      <c r="D8" s="24"/>
      <c r="E8" s="24"/>
      <c r="F8" s="24"/>
      <c r="G8" s="24"/>
      <c r="J8" s="25"/>
    </row>
    <row r="9" spans="1:17" s="15" customFormat="1" ht="14">
      <c r="A9" s="16" t="s">
        <v>1577</v>
      </c>
      <c r="B9" s="17">
        <v>71</v>
      </c>
      <c r="C9" s="15" t="s">
        <v>0</v>
      </c>
      <c r="D9" s="288" t="s">
        <v>1578</v>
      </c>
      <c r="E9" s="283"/>
      <c r="F9" s="283"/>
      <c r="G9" s="283"/>
    </row>
    <row r="10" spans="1:17" s="15" customFormat="1" ht="14">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1571</v>
      </c>
      <c r="B12" s="17">
        <v>70.999999999999986</v>
      </c>
      <c r="C12" s="15" t="s">
        <v>0</v>
      </c>
      <c r="D12" s="288" t="s">
        <v>1572</v>
      </c>
      <c r="E12" s="283"/>
      <c r="F12" s="283"/>
      <c r="G12" s="283"/>
    </row>
    <row r="13" spans="1:17" s="32" customFormat="1" ht="14">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1579</v>
      </c>
      <c r="B15" s="17"/>
      <c r="C15" s="15" t="s">
        <v>0</v>
      </c>
      <c r="D15" s="283" t="s">
        <v>1580</v>
      </c>
      <c r="E15" s="283"/>
      <c r="F15" s="283"/>
      <c r="G15" s="283"/>
    </row>
    <row r="16" spans="1:17" s="15" customFormat="1" ht="14">
      <c r="A16" s="30"/>
      <c r="B16" s="36"/>
      <c r="C16" s="37"/>
      <c r="D16" s="27"/>
      <c r="E16" s="27"/>
      <c r="F16" s="27"/>
      <c r="G16" s="27"/>
    </row>
    <row r="17" spans="1:7" s="32" customFormat="1" ht="12.75" customHeight="1">
      <c r="A17" s="38"/>
      <c r="B17" s="34"/>
      <c r="C17" s="35"/>
      <c r="D17" s="24"/>
      <c r="E17" s="24"/>
      <c r="F17" s="24"/>
      <c r="G17" s="24"/>
    </row>
    <row r="18" spans="1:7" s="15" customFormat="1" ht="14">
      <c r="A18" s="16" t="s">
        <v>1581</v>
      </c>
      <c r="B18" s="39">
        <v>2.7171833141982394E-2</v>
      </c>
      <c r="D18" s="283" t="s">
        <v>1582</v>
      </c>
      <c r="E18" s="283"/>
      <c r="F18" s="283"/>
      <c r="G18" s="283"/>
    </row>
    <row r="19" spans="1:7" s="15" customFormat="1" ht="14">
      <c r="A19" s="40"/>
      <c r="B19" s="36"/>
      <c r="C19" s="37"/>
      <c r="D19" s="27"/>
      <c r="E19" s="27"/>
      <c r="F19" s="27"/>
      <c r="G19" s="27"/>
    </row>
    <row r="20" spans="1:7" s="15" customFormat="1" ht="12.75" customHeight="1">
      <c r="A20" s="41"/>
      <c r="B20" s="11"/>
      <c r="C20" s="12"/>
      <c r="D20" s="24"/>
      <c r="E20" s="24"/>
      <c r="F20" s="24"/>
      <c r="G20" s="24"/>
    </row>
    <row r="21" spans="1:7" s="15" customFormat="1" ht="14">
      <c r="A21" s="16" t="s">
        <v>1583</v>
      </c>
      <c r="B21" s="39">
        <v>2.7171833141982391E-2</v>
      </c>
      <c r="D21" s="283" t="s">
        <v>1584</v>
      </c>
      <c r="E21" s="283"/>
      <c r="F21" s="283"/>
      <c r="G21" s="283"/>
    </row>
    <row r="22" spans="1:7" s="15" customFormat="1" ht="14">
      <c r="A22" s="42"/>
      <c r="B22" s="43"/>
      <c r="C22" s="44"/>
      <c r="D22" s="27"/>
      <c r="E22" s="27"/>
      <c r="F22" s="27"/>
      <c r="G22" s="27"/>
    </row>
    <row r="23" spans="1:7" s="15" customFormat="1" ht="13.5" customHeight="1">
      <c r="A23" s="45"/>
      <c r="B23" s="46"/>
      <c r="C23" s="47"/>
      <c r="D23" s="48"/>
      <c r="E23" s="48"/>
      <c r="F23" s="48"/>
      <c r="G23" s="48"/>
    </row>
    <row r="24" spans="1:7" s="15" customFormat="1" ht="14">
      <c r="A24" s="16" t="s">
        <v>1585</v>
      </c>
      <c r="B24" s="49">
        <f>ACTUAL_RATE-PLANNED_RATE</f>
        <v>0</v>
      </c>
      <c r="D24" s="284" t="s">
        <v>1586</v>
      </c>
      <c r="E24" s="284"/>
      <c r="F24" s="284"/>
      <c r="G24" s="284"/>
    </row>
    <row r="25" spans="1:7" s="15" customFormat="1" ht="14">
      <c r="A25" s="50"/>
      <c r="B25" s="51"/>
      <c r="C25" s="52"/>
      <c r="D25" s="53"/>
      <c r="E25" s="53"/>
      <c r="F25" s="53"/>
      <c r="G25" s="53"/>
    </row>
    <row r="26" spans="1:7" s="56" customFormat="1">
      <c r="A26" s="54"/>
      <c r="B26" s="55"/>
    </row>
    <row r="27" spans="1:7">
      <c r="B27" s="58"/>
      <c r="G27" s="57"/>
    </row>
    <row r="28" spans="1:7">
      <c r="B28" s="194"/>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A1:L24"/>
  <sheetViews>
    <sheetView showGridLines="0" zoomScale="85" zoomScaleNormal="85" workbookViewId="0">
      <pane ySplit="6" topLeftCell="A7" activePane="bottomLeft" state="frozen"/>
      <selection pane="bottomLeft" activeCell="F11" sqref="F11"/>
    </sheetView>
  </sheetViews>
  <sheetFormatPr baseColWidth="10" defaultColWidth="9.1640625" defaultRowHeight="15" outlineLevelRow="2"/>
  <cols>
    <col min="1" max="1" width="20.6640625" style="220" customWidth="1"/>
    <col min="2" max="2" width="8.1640625" style="220" bestFit="1" customWidth="1"/>
    <col min="3" max="3" width="18" style="220" bestFit="1" customWidth="1"/>
    <col min="4" max="5" width="10" style="220" bestFit="1" customWidth="1"/>
    <col min="6" max="6" width="9" style="221" bestFit="1" customWidth="1"/>
    <col min="7" max="9" width="9" style="220" bestFit="1" customWidth="1"/>
    <col min="10" max="10" width="7.83203125" style="220" bestFit="1" customWidth="1"/>
    <col min="11" max="11" width="9.1640625" style="220"/>
    <col min="12" max="12" width="8.33203125" style="220" bestFit="1" customWidth="1"/>
    <col min="13" max="16384" width="9.1640625" style="220"/>
  </cols>
  <sheetData>
    <row r="1" spans="1:12" ht="37" customHeight="1">
      <c r="A1" s="1" t="s">
        <v>1661</v>
      </c>
    </row>
    <row r="2" spans="1:12">
      <c r="A2" s="220" t="s">
        <v>1305</v>
      </c>
    </row>
    <row r="3" spans="1:12">
      <c r="A3" s="220" t="s">
        <v>1306</v>
      </c>
    </row>
    <row r="6" spans="1:12" ht="48">
      <c r="A6" s="199" t="s">
        <v>1619</v>
      </c>
      <c r="B6" s="200" t="s">
        <v>288</v>
      </c>
      <c r="C6" s="200" t="s">
        <v>1662</v>
      </c>
      <c r="D6" s="200" t="s">
        <v>1603</v>
      </c>
      <c r="E6" s="200" t="s">
        <v>1604</v>
      </c>
      <c r="F6" s="217" t="s">
        <v>1663</v>
      </c>
      <c r="G6" s="200" t="s">
        <v>1664</v>
      </c>
      <c r="H6" s="200" t="s">
        <v>1665</v>
      </c>
      <c r="I6" s="200" t="s">
        <v>1666</v>
      </c>
      <c r="J6" s="200" t="s">
        <v>1667</v>
      </c>
      <c r="K6" s="200" t="s">
        <v>1668</v>
      </c>
      <c r="L6" s="218" t="s">
        <v>1669</v>
      </c>
    </row>
    <row r="7" spans="1:12" outlineLevel="2">
      <c r="A7" s="222" t="s">
        <v>1670</v>
      </c>
      <c r="B7" s="223" t="s">
        <v>1355</v>
      </c>
      <c r="C7" s="222" t="s">
        <v>1441</v>
      </c>
      <c r="D7" s="62">
        <v>46196</v>
      </c>
      <c r="E7" s="62">
        <v>46200</v>
      </c>
      <c r="F7" s="221">
        <v>1</v>
      </c>
      <c r="G7" s="220">
        <v>4</v>
      </c>
      <c r="H7" s="220">
        <v>4</v>
      </c>
      <c r="I7" s="220">
        <v>4</v>
      </c>
      <c r="J7" s="221">
        <v>1</v>
      </c>
      <c r="K7" s="221">
        <v>1</v>
      </c>
      <c r="L7" s="221">
        <f t="shared" ref="L7:L22" si="0">K7-J7</f>
        <v>0</v>
      </c>
    </row>
    <row r="8" spans="1:12" outlineLevel="2">
      <c r="A8" s="222" t="s">
        <v>1670</v>
      </c>
      <c r="B8" s="223" t="s">
        <v>1443</v>
      </c>
      <c r="C8" s="222" t="s">
        <v>1444</v>
      </c>
      <c r="D8" s="62">
        <v>46196</v>
      </c>
      <c r="E8" s="62">
        <v>46200</v>
      </c>
      <c r="F8" s="221">
        <v>1</v>
      </c>
      <c r="G8" s="220">
        <v>4</v>
      </c>
      <c r="H8" s="220">
        <v>4</v>
      </c>
      <c r="I8" s="220">
        <v>4</v>
      </c>
      <c r="J8" s="221">
        <v>1</v>
      </c>
      <c r="K8" s="221">
        <v>1</v>
      </c>
      <c r="L8" s="221">
        <f t="shared" si="0"/>
        <v>0</v>
      </c>
    </row>
    <row r="9" spans="1:12" outlineLevel="2">
      <c r="A9" s="222" t="s">
        <v>1670</v>
      </c>
      <c r="B9" s="223" t="s">
        <v>1446</v>
      </c>
      <c r="C9" s="222" t="s">
        <v>1447</v>
      </c>
      <c r="D9" s="62">
        <v>46203</v>
      </c>
      <c r="E9" s="62">
        <v>46203</v>
      </c>
      <c r="F9" s="221">
        <v>0</v>
      </c>
      <c r="G9" s="220">
        <v>0</v>
      </c>
      <c r="H9" s="220">
        <v>0</v>
      </c>
      <c r="I9" s="220">
        <v>0</v>
      </c>
      <c r="J9" s="221">
        <v>1</v>
      </c>
      <c r="K9" s="221">
        <v>1</v>
      </c>
      <c r="L9" s="221">
        <f t="shared" si="0"/>
        <v>0</v>
      </c>
    </row>
    <row r="10" spans="1:12" outlineLevel="2">
      <c r="A10" s="222" t="s">
        <v>1670</v>
      </c>
      <c r="B10" s="223" t="s">
        <v>1356</v>
      </c>
      <c r="C10" s="222" t="s">
        <v>1650</v>
      </c>
      <c r="D10" s="62">
        <v>46239</v>
      </c>
      <c r="E10" s="62">
        <v>46239</v>
      </c>
      <c r="F10" s="221">
        <v>1</v>
      </c>
      <c r="G10" s="220">
        <v>1</v>
      </c>
      <c r="H10" s="220">
        <v>1</v>
      </c>
      <c r="I10" s="220">
        <v>1</v>
      </c>
      <c r="J10" s="221">
        <v>1</v>
      </c>
      <c r="K10" s="221">
        <v>1</v>
      </c>
      <c r="L10" s="221">
        <f t="shared" si="0"/>
        <v>0</v>
      </c>
    </row>
    <row r="11" spans="1:12" outlineLevel="2">
      <c r="A11" s="222" t="s">
        <v>1670</v>
      </c>
      <c r="B11" s="223" t="s">
        <v>1357</v>
      </c>
      <c r="C11" s="222" t="s">
        <v>1651</v>
      </c>
      <c r="D11" s="62">
        <v>46267</v>
      </c>
      <c r="E11" s="62">
        <v>46267</v>
      </c>
      <c r="F11" s="221">
        <v>1</v>
      </c>
      <c r="G11" s="220">
        <v>1</v>
      </c>
      <c r="H11" s="220">
        <v>0</v>
      </c>
      <c r="I11" s="220">
        <v>0</v>
      </c>
      <c r="J11" s="221">
        <v>0</v>
      </c>
      <c r="K11" s="221">
        <v>0</v>
      </c>
      <c r="L11" s="221">
        <f t="shared" si="0"/>
        <v>0</v>
      </c>
    </row>
    <row r="12" spans="1:12" outlineLevel="2">
      <c r="A12" s="222" t="s">
        <v>1670</v>
      </c>
      <c r="B12" s="223" t="s">
        <v>1364</v>
      </c>
      <c r="C12" s="222" t="s">
        <v>1652</v>
      </c>
      <c r="D12" s="62">
        <v>46295</v>
      </c>
      <c r="E12" s="62">
        <v>46295</v>
      </c>
      <c r="F12" s="221">
        <v>1</v>
      </c>
      <c r="G12" s="220">
        <v>1</v>
      </c>
      <c r="H12" s="220">
        <v>0</v>
      </c>
      <c r="I12" s="220">
        <v>0</v>
      </c>
      <c r="J12" s="221">
        <v>0</v>
      </c>
      <c r="K12" s="221">
        <v>0</v>
      </c>
      <c r="L12" s="221">
        <f t="shared" si="0"/>
        <v>0</v>
      </c>
    </row>
    <row r="13" spans="1:12" outlineLevel="2">
      <c r="A13" s="222" t="s">
        <v>1670</v>
      </c>
      <c r="B13" s="223" t="s">
        <v>1365</v>
      </c>
      <c r="C13" s="222" t="s">
        <v>1653</v>
      </c>
      <c r="D13" s="62">
        <v>46330</v>
      </c>
      <c r="E13" s="62">
        <v>46330</v>
      </c>
      <c r="F13" s="221">
        <v>1</v>
      </c>
      <c r="G13" s="220">
        <v>1</v>
      </c>
      <c r="H13" s="220">
        <v>0</v>
      </c>
      <c r="I13" s="220">
        <v>0</v>
      </c>
      <c r="J13" s="221">
        <v>0</v>
      </c>
      <c r="K13" s="221">
        <v>0</v>
      </c>
      <c r="L13" s="221">
        <f t="shared" si="0"/>
        <v>0</v>
      </c>
    </row>
    <row r="14" spans="1:12" outlineLevel="2">
      <c r="A14" s="222" t="s">
        <v>1670</v>
      </c>
      <c r="B14" s="223" t="s">
        <v>1642</v>
      </c>
      <c r="C14" s="222" t="s">
        <v>1449</v>
      </c>
      <c r="D14" s="62">
        <v>46370</v>
      </c>
      <c r="E14" s="62">
        <v>46370</v>
      </c>
      <c r="F14" s="221">
        <v>1</v>
      </c>
      <c r="G14" s="220">
        <v>1</v>
      </c>
      <c r="H14" s="220">
        <v>0</v>
      </c>
      <c r="I14" s="220">
        <v>0</v>
      </c>
      <c r="J14" s="221">
        <v>0</v>
      </c>
      <c r="K14" s="221">
        <v>0</v>
      </c>
      <c r="L14" s="221">
        <f t="shared" si="0"/>
        <v>0</v>
      </c>
    </row>
    <row r="15" spans="1:12" outlineLevel="2">
      <c r="A15" s="222" t="s">
        <v>1670</v>
      </c>
      <c r="B15" s="223" t="s">
        <v>1643</v>
      </c>
      <c r="C15" s="222" t="s">
        <v>1654</v>
      </c>
      <c r="D15" s="62">
        <v>46390</v>
      </c>
      <c r="E15" s="62">
        <v>46390</v>
      </c>
      <c r="F15" s="221">
        <v>1</v>
      </c>
      <c r="G15" s="220">
        <v>0</v>
      </c>
      <c r="H15" s="220">
        <v>0</v>
      </c>
      <c r="I15" s="220">
        <v>0</v>
      </c>
      <c r="J15" s="221">
        <v>0</v>
      </c>
      <c r="K15" s="221">
        <v>0</v>
      </c>
      <c r="L15" s="221">
        <f t="shared" si="0"/>
        <v>0</v>
      </c>
    </row>
    <row r="16" spans="1:12" outlineLevel="2">
      <c r="A16" s="222" t="s">
        <v>1670</v>
      </c>
      <c r="B16" s="223" t="s">
        <v>1644</v>
      </c>
      <c r="C16" s="222" t="s">
        <v>1655</v>
      </c>
      <c r="D16" s="62">
        <v>46421</v>
      </c>
      <c r="E16" s="62">
        <v>46421</v>
      </c>
      <c r="F16" s="221">
        <v>1</v>
      </c>
      <c r="G16" s="220">
        <v>1</v>
      </c>
      <c r="H16" s="220">
        <v>0</v>
      </c>
      <c r="I16" s="220">
        <v>0</v>
      </c>
      <c r="J16" s="221">
        <v>0</v>
      </c>
      <c r="K16" s="221">
        <v>0</v>
      </c>
      <c r="L16" s="221">
        <f t="shared" si="0"/>
        <v>0</v>
      </c>
    </row>
    <row r="17" spans="1:12" outlineLevel="2">
      <c r="A17" s="222" t="s">
        <v>1670</v>
      </c>
      <c r="B17" s="223" t="s">
        <v>1645</v>
      </c>
      <c r="C17" s="222" t="s">
        <v>1656</v>
      </c>
      <c r="D17" s="62">
        <v>46449</v>
      </c>
      <c r="E17" s="62">
        <v>46449</v>
      </c>
      <c r="F17" s="221">
        <v>1</v>
      </c>
      <c r="G17" s="220">
        <v>1</v>
      </c>
      <c r="H17" s="220">
        <v>0</v>
      </c>
      <c r="I17" s="220">
        <v>0</v>
      </c>
      <c r="J17" s="221">
        <v>0</v>
      </c>
      <c r="K17" s="221">
        <v>0</v>
      </c>
      <c r="L17" s="221">
        <f t="shared" si="0"/>
        <v>0</v>
      </c>
    </row>
    <row r="18" spans="1:12" outlineLevel="2">
      <c r="A18" s="222" t="s">
        <v>1670</v>
      </c>
      <c r="B18" s="223" t="s">
        <v>1646</v>
      </c>
      <c r="C18" s="222" t="s">
        <v>1657</v>
      </c>
      <c r="D18" s="62">
        <v>46507</v>
      </c>
      <c r="E18" s="62">
        <v>46507</v>
      </c>
      <c r="F18" s="221">
        <v>1</v>
      </c>
      <c r="G18" s="220">
        <v>1</v>
      </c>
      <c r="H18" s="220">
        <v>0</v>
      </c>
      <c r="I18" s="220">
        <v>0</v>
      </c>
      <c r="J18" s="221">
        <v>0</v>
      </c>
      <c r="K18" s="221">
        <v>0</v>
      </c>
      <c r="L18" s="221">
        <f t="shared" si="0"/>
        <v>0</v>
      </c>
    </row>
    <row r="19" spans="1:12" outlineLevel="2">
      <c r="A19" s="222" t="s">
        <v>1670</v>
      </c>
      <c r="B19" s="223" t="s">
        <v>1647</v>
      </c>
      <c r="C19" s="222" t="s">
        <v>1658</v>
      </c>
      <c r="D19" s="62">
        <v>46511</v>
      </c>
      <c r="E19" s="62">
        <v>46511</v>
      </c>
      <c r="F19" s="221">
        <v>1</v>
      </c>
      <c r="G19" s="220">
        <v>1</v>
      </c>
      <c r="H19" s="220">
        <v>0</v>
      </c>
      <c r="I19" s="220">
        <v>0</v>
      </c>
      <c r="J19" s="221">
        <v>0</v>
      </c>
      <c r="K19" s="221">
        <v>0</v>
      </c>
      <c r="L19" s="221">
        <f t="shared" si="0"/>
        <v>0</v>
      </c>
    </row>
    <row r="20" spans="1:12" outlineLevel="2">
      <c r="A20" s="222" t="s">
        <v>1670</v>
      </c>
      <c r="B20" s="223" t="s">
        <v>1648</v>
      </c>
      <c r="C20" s="222" t="s">
        <v>1659</v>
      </c>
      <c r="D20" s="62">
        <v>46540</v>
      </c>
      <c r="E20" s="62">
        <v>46540</v>
      </c>
      <c r="F20" s="221">
        <v>1</v>
      </c>
      <c r="G20" s="220">
        <v>1</v>
      </c>
      <c r="H20" s="220">
        <v>0</v>
      </c>
      <c r="I20" s="220">
        <v>0</v>
      </c>
      <c r="J20" s="221">
        <v>0</v>
      </c>
      <c r="K20" s="221">
        <v>0</v>
      </c>
      <c r="L20" s="221">
        <f t="shared" si="0"/>
        <v>0</v>
      </c>
    </row>
    <row r="21" spans="1:12" outlineLevel="2">
      <c r="A21" s="222" t="s">
        <v>1670</v>
      </c>
      <c r="B21" s="223" t="s">
        <v>1649</v>
      </c>
      <c r="C21" s="222" t="s">
        <v>1660</v>
      </c>
      <c r="D21" s="62">
        <v>46555</v>
      </c>
      <c r="E21" s="62">
        <v>46555</v>
      </c>
      <c r="F21" s="221">
        <v>1</v>
      </c>
      <c r="G21" s="220">
        <v>1</v>
      </c>
      <c r="H21" s="220">
        <v>0</v>
      </c>
      <c r="I21" s="220">
        <v>0</v>
      </c>
      <c r="J21" s="221">
        <v>0</v>
      </c>
      <c r="K21" s="221">
        <v>0</v>
      </c>
      <c r="L21" s="221">
        <f t="shared" si="0"/>
        <v>0</v>
      </c>
    </row>
    <row r="22" spans="1:12" outlineLevel="1">
      <c r="A22" s="224" t="s">
        <v>1671</v>
      </c>
      <c r="B22" s="225"/>
      <c r="C22" s="226"/>
      <c r="D22" s="227"/>
      <c r="E22" s="227"/>
      <c r="F22" s="228"/>
      <c r="G22" s="229">
        <f>SUBTOTAL(9,G7:G21)</f>
        <v>19</v>
      </c>
      <c r="H22" s="229">
        <f>SUBTOTAL(9,H7:H21)</f>
        <v>9</v>
      </c>
      <c r="I22" s="229">
        <f>SUBTOTAL(9,I7:I21)</f>
        <v>9</v>
      </c>
      <c r="J22" s="228">
        <f>H22/G22</f>
        <v>0.47368421052631576</v>
      </c>
      <c r="K22" s="228">
        <f>I22/G22</f>
        <v>0.47368421052631576</v>
      </c>
      <c r="L22" s="228">
        <f t="shared" si="0"/>
        <v>0</v>
      </c>
    </row>
    <row r="23" spans="1:12" outlineLevel="1">
      <c r="J23" s="221"/>
      <c r="K23" s="221"/>
      <c r="L23" s="221"/>
    </row>
    <row r="24" spans="1:12" outlineLevel="1">
      <c r="A24" s="230" t="s">
        <v>1672</v>
      </c>
      <c r="B24" s="229"/>
      <c r="C24" s="229"/>
      <c r="D24" s="229"/>
      <c r="E24" s="229"/>
      <c r="F24" s="228"/>
      <c r="G24" s="229">
        <f>SUBTOTAL(9,G7:G23)</f>
        <v>19</v>
      </c>
      <c r="H24" s="229">
        <f>SUBTOTAL(9,H7:H23)</f>
        <v>9</v>
      </c>
      <c r="I24" s="229">
        <f>SUBTOTAL(9,I7:I23)</f>
        <v>9</v>
      </c>
      <c r="J24" s="228">
        <f>H24/G24</f>
        <v>0.47368421052631576</v>
      </c>
      <c r="K24" s="228">
        <f>I24/G24</f>
        <v>0.47368421052631576</v>
      </c>
      <c r="L24" s="228">
        <f>K24-J24</f>
        <v>0</v>
      </c>
    </row>
  </sheetData>
  <sortState xmlns:xlrd2="http://schemas.microsoft.com/office/spreadsheetml/2017/richdata2" ref="A7:L23">
    <sortCondition ref="A7:A50"/>
    <sortCondition ref="D7:D50"/>
  </sortState>
  <dataConsolidate/>
  <phoneticPr fontId="1" type="noConversion"/>
  <hyperlinks>
    <hyperlink ref="B7" location="Schedule!$D$7" display="1.1.1" xr:uid="{00000000-0004-0000-0300-000000000000}"/>
    <hyperlink ref="B8" location="Schedule!$D$9" display="1.1.2.1" xr:uid="{00000000-0004-0000-0300-000001000000}"/>
    <hyperlink ref="B9" location="Schedule!$D$10" display="1.1.2.2" xr:uid="{00000000-0004-0000-0300-000002000000}"/>
    <hyperlink ref="B10" location="Schedule!$D$12" display="1.2.1" xr:uid="{00000000-0004-0000-0300-000003000000}"/>
    <hyperlink ref="B11" location="Schedule!$D$13" display="1.2.2" xr:uid="{00000000-0004-0000-0300-000004000000}"/>
    <hyperlink ref="B12" location="Schedule!$D$14" display="1.2.3" xr:uid="{00000000-0004-0000-0300-000005000000}"/>
    <hyperlink ref="B13" location="Schedule!$D$15" display="1.2.4" xr:uid="{00000000-0004-0000-0300-000006000000}"/>
    <hyperlink ref="B14" location="Schedule!$D$16" display="1.2.5" xr:uid="{00000000-0004-0000-0300-000007000000}"/>
    <hyperlink ref="B15" location="Schedule!$D$17" display="1.2.6" xr:uid="{00000000-0004-0000-0300-000008000000}"/>
    <hyperlink ref="B16" location="Schedule!$D$18" display="1.2.7" xr:uid="{00000000-0004-0000-0300-000009000000}"/>
    <hyperlink ref="B17" location="Schedule!$D$19" display="1.2.8" xr:uid="{00000000-0004-0000-0300-00000A000000}"/>
    <hyperlink ref="B18" location="Schedule!$D$20" display="1.2.9" xr:uid="{00000000-0004-0000-0300-00000B000000}"/>
    <hyperlink ref="B19" location="Schedule!$D$21" display="1.2.10" xr:uid="{00000000-0004-0000-0300-00000C000000}"/>
    <hyperlink ref="B20" location="Schedule!$D$22" display="1.2.11" xr:uid="{00000000-0004-0000-0300-00000D000000}"/>
    <hyperlink ref="B21" location="Schedule!$D$23" display="1.2.12" xr:uid="{00000000-0004-0000-0300-00000E000000}"/>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2" tint="-9.9978637043366805E-2"/>
  </sheetPr>
  <dimension ref="A1:K156"/>
  <sheetViews>
    <sheetView zoomScale="85" zoomScaleNormal="85" workbookViewId="0">
      <selection activeCell="C2" sqref="C2"/>
    </sheetView>
  </sheetViews>
  <sheetFormatPr baseColWidth="10" defaultColWidth="8.83203125" defaultRowHeight="17"/>
  <cols>
    <col min="1" max="1" width="11.6640625" bestFit="1" customWidth="1"/>
    <col min="2" max="2" width="5.5" bestFit="1" customWidth="1"/>
    <col min="3" max="4" width="26.33203125" bestFit="1" customWidth="1"/>
    <col min="5" max="5" width="18.1640625" bestFit="1" customWidth="1"/>
    <col min="6" max="7" width="24.1640625" bestFit="1" customWidth="1"/>
    <col min="8" max="8" width="16.1640625" bestFit="1" customWidth="1"/>
    <col min="9" max="10" width="30.5" bestFit="1" customWidth="1"/>
    <col min="11" max="11" width="22.1640625" bestFit="1" customWidth="1"/>
  </cols>
  <sheetData>
    <row r="1" spans="1:11">
      <c r="A1" s="201" t="s">
        <v>1511</v>
      </c>
      <c r="B1" s="201" t="s">
        <v>1512</v>
      </c>
      <c r="C1" s="201" t="s">
        <v>1427</v>
      </c>
      <c r="D1" s="201" t="s">
        <v>1507</v>
      </c>
      <c r="E1" s="201" t="s">
        <v>1340</v>
      </c>
      <c r="F1" s="201" t="s">
        <v>1428</v>
      </c>
      <c r="G1" s="201" t="s">
        <v>1508</v>
      </c>
      <c r="H1" s="201" t="s">
        <v>1336</v>
      </c>
      <c r="I1" s="201" t="s">
        <v>1513</v>
      </c>
      <c r="J1" s="201" t="s">
        <v>1509</v>
      </c>
      <c r="K1" s="201" t="s">
        <v>1510</v>
      </c>
    </row>
    <row r="2" spans="1:11">
      <c r="A2" s="202">
        <v>46086</v>
      </c>
      <c r="B2" s="203">
        <v>10</v>
      </c>
      <c r="C2" s="204">
        <v>3</v>
      </c>
      <c r="D2" s="204">
        <v>3</v>
      </c>
      <c r="E2" s="193">
        <v>1.1824990145841546E-2</v>
      </c>
      <c r="F2" s="204">
        <v>3</v>
      </c>
      <c r="G2" s="204">
        <v>3</v>
      </c>
      <c r="H2" s="193">
        <v>1.1824990145841546E-2</v>
      </c>
      <c r="I2" s="204">
        <v>0</v>
      </c>
      <c r="J2" s="204">
        <v>0</v>
      </c>
      <c r="K2" s="193">
        <v>0</v>
      </c>
    </row>
    <row r="3" spans="1:11">
      <c r="A3" s="202">
        <v>46087</v>
      </c>
      <c r="B3" s="203">
        <v>10</v>
      </c>
      <c r="C3" s="204">
        <v>1</v>
      </c>
      <c r="D3" s="204">
        <v>4</v>
      </c>
      <c r="E3" s="193">
        <v>1.5766653527788728E-2</v>
      </c>
      <c r="F3" s="204">
        <v>1</v>
      </c>
      <c r="G3" s="204">
        <v>4</v>
      </c>
      <c r="H3" s="193">
        <v>1.5766653527788728E-2</v>
      </c>
      <c r="I3" s="204">
        <v>0</v>
      </c>
      <c r="J3" s="204">
        <v>0</v>
      </c>
      <c r="K3" s="193">
        <v>0</v>
      </c>
    </row>
    <row r="4" spans="1:11">
      <c r="A4" s="202">
        <v>46088</v>
      </c>
      <c r="B4" s="203">
        <v>10</v>
      </c>
      <c r="C4" s="204">
        <v>0</v>
      </c>
      <c r="D4" s="204">
        <v>4</v>
      </c>
      <c r="E4" s="193">
        <v>1.5766653527788728E-2</v>
      </c>
      <c r="F4" s="204">
        <v>0</v>
      </c>
      <c r="G4" s="204">
        <v>4</v>
      </c>
      <c r="H4" s="193">
        <v>1.5766653527788728E-2</v>
      </c>
      <c r="I4" s="204">
        <v>0</v>
      </c>
      <c r="J4" s="204">
        <v>0</v>
      </c>
      <c r="K4" s="193">
        <v>0</v>
      </c>
    </row>
    <row r="5" spans="1:11">
      <c r="A5" s="202">
        <v>46089</v>
      </c>
      <c r="B5" s="203">
        <v>11</v>
      </c>
      <c r="C5" s="204">
        <v>0</v>
      </c>
      <c r="D5" s="204">
        <v>4</v>
      </c>
      <c r="E5" s="193">
        <v>1.5766653527788728E-2</v>
      </c>
      <c r="F5" s="204">
        <v>0</v>
      </c>
      <c r="G5" s="204">
        <v>4</v>
      </c>
      <c r="H5" s="193">
        <v>1.5766653527788728E-2</v>
      </c>
      <c r="I5" s="204">
        <v>0</v>
      </c>
      <c r="J5" s="204">
        <v>0</v>
      </c>
      <c r="K5" s="193">
        <v>0</v>
      </c>
    </row>
    <row r="6" spans="1:11">
      <c r="A6" s="202">
        <v>46090</v>
      </c>
      <c r="B6" s="203">
        <v>11</v>
      </c>
      <c r="C6" s="204">
        <v>1</v>
      </c>
      <c r="D6" s="204">
        <v>5</v>
      </c>
      <c r="E6" s="193">
        <v>1.9708316909735908E-2</v>
      </c>
      <c r="F6" s="204">
        <v>1</v>
      </c>
      <c r="G6" s="204">
        <v>5</v>
      </c>
      <c r="H6" s="193">
        <v>1.9708316909735908E-2</v>
      </c>
      <c r="I6" s="204">
        <v>0</v>
      </c>
      <c r="J6" s="204">
        <v>0</v>
      </c>
      <c r="K6" s="193">
        <v>0</v>
      </c>
    </row>
    <row r="7" spans="1:11">
      <c r="A7" s="202">
        <v>46091</v>
      </c>
      <c r="B7" s="203">
        <v>11</v>
      </c>
      <c r="C7" s="204">
        <v>1</v>
      </c>
      <c r="D7" s="204">
        <v>6</v>
      </c>
      <c r="E7" s="193">
        <v>2.3649980291683092E-2</v>
      </c>
      <c r="F7" s="204">
        <v>1</v>
      </c>
      <c r="G7" s="204">
        <v>6</v>
      </c>
      <c r="H7" s="193">
        <v>2.3649980291683092E-2</v>
      </c>
      <c r="I7" s="204">
        <v>0</v>
      </c>
      <c r="J7" s="204">
        <v>0</v>
      </c>
      <c r="K7" s="193">
        <v>0</v>
      </c>
    </row>
    <row r="8" spans="1:11">
      <c r="A8" s="202">
        <v>46092</v>
      </c>
      <c r="B8" s="203">
        <v>11</v>
      </c>
      <c r="C8" s="204">
        <v>1</v>
      </c>
      <c r="D8" s="204">
        <v>7</v>
      </c>
      <c r="E8" s="193">
        <v>2.7591643673630272E-2</v>
      </c>
      <c r="F8" s="204">
        <v>1</v>
      </c>
      <c r="G8" s="204">
        <v>7</v>
      </c>
      <c r="H8" s="193">
        <v>2.7591643673630272E-2</v>
      </c>
      <c r="I8" s="204">
        <v>0</v>
      </c>
      <c r="J8" s="204">
        <v>0</v>
      </c>
      <c r="K8" s="193">
        <v>0</v>
      </c>
    </row>
    <row r="9" spans="1:11">
      <c r="A9" s="202">
        <v>46093</v>
      </c>
      <c r="B9" s="203">
        <v>11</v>
      </c>
      <c r="C9" s="204">
        <v>2</v>
      </c>
      <c r="D9" s="204">
        <v>9</v>
      </c>
      <c r="E9" s="193">
        <v>3.5474970437524636E-2</v>
      </c>
      <c r="F9" s="204">
        <v>2</v>
      </c>
      <c r="G9" s="204">
        <v>9</v>
      </c>
      <c r="H9" s="193">
        <v>3.5474970437524636E-2</v>
      </c>
      <c r="I9" s="204">
        <v>0</v>
      </c>
      <c r="J9" s="204">
        <v>0</v>
      </c>
      <c r="K9" s="193">
        <v>0</v>
      </c>
    </row>
    <row r="10" spans="1:11">
      <c r="A10" s="202">
        <v>46094</v>
      </c>
      <c r="B10" s="203">
        <v>11</v>
      </c>
      <c r="C10" s="204">
        <v>2</v>
      </c>
      <c r="D10" s="204">
        <v>11</v>
      </c>
      <c r="E10" s="193">
        <v>4.3358297201419004E-2</v>
      </c>
      <c r="F10" s="204">
        <v>2</v>
      </c>
      <c r="G10" s="204">
        <v>11</v>
      </c>
      <c r="H10" s="193">
        <v>4.3358297201419004E-2</v>
      </c>
      <c r="I10" s="204">
        <v>0</v>
      </c>
      <c r="J10" s="204">
        <v>0</v>
      </c>
      <c r="K10" s="193">
        <v>0</v>
      </c>
    </row>
    <row r="11" spans="1:11">
      <c r="A11" s="202">
        <v>46095</v>
      </c>
      <c r="B11" s="203">
        <v>11</v>
      </c>
      <c r="C11" s="204">
        <v>0</v>
      </c>
      <c r="D11" s="204">
        <v>11</v>
      </c>
      <c r="E11" s="193">
        <v>4.3358297201419004E-2</v>
      </c>
      <c r="F11" s="204">
        <v>0</v>
      </c>
      <c r="G11" s="204">
        <v>11</v>
      </c>
      <c r="H11" s="193">
        <v>4.3358297201419004E-2</v>
      </c>
      <c r="I11" s="204">
        <v>0</v>
      </c>
      <c r="J11" s="204">
        <v>0</v>
      </c>
      <c r="K11" s="193">
        <v>0</v>
      </c>
    </row>
    <row r="12" spans="1:11">
      <c r="A12" s="202">
        <v>46096</v>
      </c>
      <c r="B12" s="203">
        <v>12</v>
      </c>
      <c r="C12" s="204">
        <v>0</v>
      </c>
      <c r="D12" s="204">
        <v>11</v>
      </c>
      <c r="E12" s="193">
        <v>4.3358297201419004E-2</v>
      </c>
      <c r="F12" s="204">
        <v>0</v>
      </c>
      <c r="G12" s="204">
        <v>11</v>
      </c>
      <c r="H12" s="193">
        <v>4.3358297201419004E-2</v>
      </c>
      <c r="I12" s="204">
        <v>0</v>
      </c>
      <c r="J12" s="204">
        <v>0</v>
      </c>
      <c r="K12" s="193">
        <v>0</v>
      </c>
    </row>
    <row r="13" spans="1:11">
      <c r="A13" s="202">
        <v>46097</v>
      </c>
      <c r="B13" s="203">
        <v>12</v>
      </c>
      <c r="C13" s="204">
        <v>2</v>
      </c>
      <c r="D13" s="204">
        <v>13</v>
      </c>
      <c r="E13" s="193">
        <v>5.1241623965313364E-2</v>
      </c>
      <c r="F13" s="204">
        <v>2</v>
      </c>
      <c r="G13" s="204">
        <v>13</v>
      </c>
      <c r="H13" s="193">
        <v>5.1241623965313364E-2</v>
      </c>
      <c r="I13" s="204">
        <v>0</v>
      </c>
      <c r="J13" s="204">
        <v>0</v>
      </c>
      <c r="K13" s="193">
        <v>0</v>
      </c>
    </row>
    <row r="14" spans="1:11">
      <c r="A14" s="202">
        <v>46098</v>
      </c>
      <c r="B14" s="203">
        <v>12</v>
      </c>
      <c r="C14" s="204">
        <v>1</v>
      </c>
      <c r="D14" s="204">
        <v>14</v>
      </c>
      <c r="E14" s="193">
        <v>5.5183287347260544E-2</v>
      </c>
      <c r="F14" s="204">
        <v>1</v>
      </c>
      <c r="G14" s="204">
        <v>14</v>
      </c>
      <c r="H14" s="193">
        <v>5.5183287347260544E-2</v>
      </c>
      <c r="I14" s="204">
        <v>0</v>
      </c>
      <c r="J14" s="204">
        <v>0</v>
      </c>
      <c r="K14" s="193">
        <v>0</v>
      </c>
    </row>
    <row r="15" spans="1:11">
      <c r="A15" s="202">
        <v>46099</v>
      </c>
      <c r="B15" s="203">
        <v>12</v>
      </c>
      <c r="C15" s="204">
        <v>1</v>
      </c>
      <c r="D15" s="204">
        <v>15</v>
      </c>
      <c r="E15" s="193">
        <v>5.9124950729207731E-2</v>
      </c>
      <c r="F15" s="204">
        <v>1</v>
      </c>
      <c r="G15" s="204">
        <v>15</v>
      </c>
      <c r="H15" s="193">
        <v>5.9124950729207731E-2</v>
      </c>
      <c r="I15" s="204">
        <v>0</v>
      </c>
      <c r="J15" s="204">
        <v>0</v>
      </c>
      <c r="K15" s="193">
        <v>0</v>
      </c>
    </row>
    <row r="16" spans="1:11">
      <c r="A16" s="202">
        <v>46100</v>
      </c>
      <c r="B16" s="203">
        <v>12</v>
      </c>
      <c r="C16" s="204">
        <v>2</v>
      </c>
      <c r="D16" s="204">
        <v>17</v>
      </c>
      <c r="E16" s="193">
        <v>6.7008277493102092E-2</v>
      </c>
      <c r="F16" s="204">
        <v>2</v>
      </c>
      <c r="G16" s="204">
        <v>17</v>
      </c>
      <c r="H16" s="193">
        <v>6.7008277493102092E-2</v>
      </c>
      <c r="I16" s="204">
        <v>0</v>
      </c>
      <c r="J16" s="204">
        <v>0</v>
      </c>
      <c r="K16" s="193">
        <v>0</v>
      </c>
    </row>
    <row r="17" spans="1:11">
      <c r="A17" s="202">
        <v>46101</v>
      </c>
      <c r="B17" s="203">
        <v>12</v>
      </c>
      <c r="C17" s="204">
        <v>2</v>
      </c>
      <c r="D17" s="204">
        <v>19</v>
      </c>
      <c r="E17" s="193">
        <v>7.4891604256996452E-2</v>
      </c>
      <c r="F17" s="204">
        <v>2</v>
      </c>
      <c r="G17" s="204">
        <v>19</v>
      </c>
      <c r="H17" s="193">
        <v>7.4891604256996452E-2</v>
      </c>
      <c r="I17" s="204">
        <v>0</v>
      </c>
      <c r="J17" s="204">
        <v>0</v>
      </c>
      <c r="K17" s="193">
        <v>0</v>
      </c>
    </row>
    <row r="18" spans="1:11">
      <c r="A18" s="202">
        <v>46102</v>
      </c>
      <c r="B18" s="203">
        <v>12</v>
      </c>
      <c r="C18" s="204">
        <v>0</v>
      </c>
      <c r="D18" s="204">
        <v>19</v>
      </c>
      <c r="E18" s="193">
        <v>7.4891604256996452E-2</v>
      </c>
      <c r="F18" s="204">
        <v>0</v>
      </c>
      <c r="G18" s="204">
        <v>19</v>
      </c>
      <c r="H18" s="193">
        <v>7.4891604256996452E-2</v>
      </c>
      <c r="I18" s="204">
        <v>0</v>
      </c>
      <c r="J18" s="204">
        <v>0</v>
      </c>
      <c r="K18" s="193">
        <v>0</v>
      </c>
    </row>
    <row r="19" spans="1:11">
      <c r="A19" s="202">
        <v>46103</v>
      </c>
      <c r="B19" s="203">
        <v>13</v>
      </c>
      <c r="C19" s="204">
        <v>0</v>
      </c>
      <c r="D19" s="204">
        <v>19</v>
      </c>
      <c r="E19" s="193">
        <v>7.4891604256996452E-2</v>
      </c>
      <c r="F19" s="204">
        <v>0</v>
      </c>
      <c r="G19" s="204">
        <v>19</v>
      </c>
      <c r="H19" s="193">
        <v>7.4891604256996452E-2</v>
      </c>
      <c r="I19" s="204">
        <v>0</v>
      </c>
      <c r="J19" s="204">
        <v>0</v>
      </c>
      <c r="K19" s="193">
        <v>0</v>
      </c>
    </row>
    <row r="20" spans="1:11">
      <c r="A20" s="202">
        <v>46104</v>
      </c>
      <c r="B20" s="203">
        <v>13</v>
      </c>
      <c r="C20" s="204">
        <v>2</v>
      </c>
      <c r="D20" s="204">
        <v>21</v>
      </c>
      <c r="E20" s="193">
        <v>8.2774931020890813E-2</v>
      </c>
      <c r="F20" s="204">
        <v>2</v>
      </c>
      <c r="G20" s="204">
        <v>21</v>
      </c>
      <c r="H20" s="193">
        <v>8.2774931020890813E-2</v>
      </c>
      <c r="I20" s="204">
        <v>0</v>
      </c>
      <c r="J20" s="204">
        <v>0</v>
      </c>
      <c r="K20" s="193">
        <v>0</v>
      </c>
    </row>
    <row r="21" spans="1:11">
      <c r="A21" s="202">
        <v>46105</v>
      </c>
      <c r="B21" s="203">
        <v>13</v>
      </c>
      <c r="C21" s="204">
        <v>2</v>
      </c>
      <c r="D21" s="204">
        <v>23</v>
      </c>
      <c r="E21" s="193">
        <v>9.0658257784785187E-2</v>
      </c>
      <c r="F21" s="204">
        <v>2</v>
      </c>
      <c r="G21" s="204">
        <v>23</v>
      </c>
      <c r="H21" s="193">
        <v>9.0658257784785187E-2</v>
      </c>
      <c r="I21" s="204">
        <v>0</v>
      </c>
      <c r="J21" s="204">
        <v>0</v>
      </c>
      <c r="K21" s="193">
        <v>0</v>
      </c>
    </row>
    <row r="22" spans="1:11">
      <c r="A22" s="202">
        <v>46106</v>
      </c>
      <c r="B22" s="203">
        <v>13</v>
      </c>
      <c r="C22" s="204">
        <v>2</v>
      </c>
      <c r="D22" s="204">
        <v>25</v>
      </c>
      <c r="E22" s="193">
        <v>9.8541584548679548E-2</v>
      </c>
      <c r="F22" s="204">
        <v>2</v>
      </c>
      <c r="G22" s="204">
        <v>25</v>
      </c>
      <c r="H22" s="193">
        <v>9.8541584548679548E-2</v>
      </c>
      <c r="I22" s="204">
        <v>0</v>
      </c>
      <c r="J22" s="204">
        <v>0</v>
      </c>
      <c r="K22" s="193">
        <v>0</v>
      </c>
    </row>
    <row r="23" spans="1:11">
      <c r="A23" s="202">
        <v>46107</v>
      </c>
      <c r="B23" s="203">
        <v>13</v>
      </c>
      <c r="C23" s="204">
        <v>5.7</v>
      </c>
      <c r="D23" s="204">
        <v>30.7</v>
      </c>
      <c r="E23" s="193">
        <v>0.12100906582577849</v>
      </c>
      <c r="F23" s="204">
        <v>5.19</v>
      </c>
      <c r="G23" s="204">
        <v>30.19</v>
      </c>
      <c r="H23" s="193">
        <v>0.11899881750098541</v>
      </c>
      <c r="I23" s="204">
        <v>0</v>
      </c>
      <c r="J23" s="204">
        <v>0</v>
      </c>
      <c r="K23" s="193">
        <v>0</v>
      </c>
    </row>
    <row r="24" spans="1:11">
      <c r="A24" s="202">
        <v>46108</v>
      </c>
      <c r="B24" s="203">
        <v>13</v>
      </c>
      <c r="C24" s="204">
        <v>4.7</v>
      </c>
      <c r="D24" s="204">
        <v>35.4</v>
      </c>
      <c r="E24" s="193">
        <v>0.13953488372093023</v>
      </c>
      <c r="F24" s="204">
        <v>4.1900000000000004</v>
      </c>
      <c r="G24" s="204">
        <v>34.380000000000003</v>
      </c>
      <c r="H24" s="193">
        <v>0.13551438707134408</v>
      </c>
      <c r="I24" s="204">
        <v>0</v>
      </c>
      <c r="J24" s="204">
        <v>0</v>
      </c>
      <c r="K24" s="193">
        <v>0</v>
      </c>
    </row>
    <row r="25" spans="1:11">
      <c r="A25" s="202">
        <v>46109</v>
      </c>
      <c r="B25" s="203">
        <v>13</v>
      </c>
      <c r="C25" s="204">
        <v>0</v>
      </c>
      <c r="D25" s="204">
        <v>35.4</v>
      </c>
      <c r="E25" s="193">
        <v>0.13953488372093023</v>
      </c>
      <c r="F25" s="204">
        <v>0</v>
      </c>
      <c r="G25" s="204">
        <v>34.380000000000003</v>
      </c>
      <c r="H25" s="193">
        <v>0.13551438707134408</v>
      </c>
      <c r="I25" s="204">
        <v>0</v>
      </c>
      <c r="J25" s="204">
        <v>0</v>
      </c>
      <c r="K25" s="193">
        <v>0</v>
      </c>
    </row>
    <row r="26" spans="1:11">
      <c r="A26" s="202">
        <v>46110</v>
      </c>
      <c r="B26" s="203">
        <v>14</v>
      </c>
      <c r="C26" s="204">
        <v>0</v>
      </c>
      <c r="D26" s="204">
        <v>35.4</v>
      </c>
      <c r="E26" s="193">
        <v>0.13953488372093023</v>
      </c>
      <c r="F26" s="204">
        <v>0</v>
      </c>
      <c r="G26" s="204">
        <v>34.380000000000003</v>
      </c>
      <c r="H26" s="193">
        <v>0.13551438707134408</v>
      </c>
      <c r="I26" s="204">
        <v>0</v>
      </c>
      <c r="J26" s="204">
        <v>0</v>
      </c>
      <c r="K26" s="193">
        <v>0</v>
      </c>
    </row>
    <row r="27" spans="1:11">
      <c r="A27" s="202">
        <v>46111</v>
      </c>
      <c r="B27" s="203">
        <v>14</v>
      </c>
      <c r="C27" s="204">
        <v>4.7</v>
      </c>
      <c r="D27" s="204">
        <v>40.1</v>
      </c>
      <c r="E27" s="193">
        <v>0.15806070161608199</v>
      </c>
      <c r="F27" s="204">
        <v>4.1900000000000004</v>
      </c>
      <c r="G27" s="204">
        <v>38.57</v>
      </c>
      <c r="H27" s="193">
        <v>0.15202995664170277</v>
      </c>
      <c r="I27" s="204">
        <v>0</v>
      </c>
      <c r="J27" s="204">
        <v>0</v>
      </c>
      <c r="K27" s="193">
        <v>0</v>
      </c>
    </row>
    <row r="28" spans="1:11">
      <c r="A28" s="202">
        <v>46112</v>
      </c>
      <c r="B28" s="203">
        <v>14</v>
      </c>
      <c r="C28" s="204">
        <v>1</v>
      </c>
      <c r="D28" s="204">
        <v>41.1</v>
      </c>
      <c r="E28" s="193">
        <v>0.16200236499802917</v>
      </c>
      <c r="F28" s="204">
        <v>1</v>
      </c>
      <c r="G28" s="204">
        <v>39.57</v>
      </c>
      <c r="H28" s="193">
        <v>0.15597162002364995</v>
      </c>
      <c r="I28" s="204">
        <v>0</v>
      </c>
      <c r="J28" s="204">
        <v>0</v>
      </c>
      <c r="K28" s="193">
        <v>0</v>
      </c>
    </row>
    <row r="29" spans="1:11">
      <c r="A29" s="202">
        <v>46113</v>
      </c>
      <c r="B29" s="203">
        <v>14</v>
      </c>
      <c r="C29" s="204">
        <v>1</v>
      </c>
      <c r="D29" s="204">
        <v>42.1</v>
      </c>
      <c r="E29" s="193">
        <v>0.16594402837997635</v>
      </c>
      <c r="F29" s="204">
        <v>1</v>
      </c>
      <c r="G29" s="204">
        <v>40.57</v>
      </c>
      <c r="H29" s="193">
        <v>0.15991328340559713</v>
      </c>
      <c r="I29" s="204">
        <v>0</v>
      </c>
      <c r="J29" s="204">
        <v>0</v>
      </c>
      <c r="K29" s="193">
        <v>0</v>
      </c>
    </row>
    <row r="30" spans="1:11">
      <c r="A30" s="202">
        <v>46114</v>
      </c>
      <c r="B30" s="203">
        <v>14</v>
      </c>
      <c r="C30" s="204">
        <v>2.2000000000000002</v>
      </c>
      <c r="D30" s="204">
        <v>44.3</v>
      </c>
      <c r="E30" s="193">
        <v>0.17461568782026018</v>
      </c>
      <c r="F30" s="204">
        <v>3.2</v>
      </c>
      <c r="G30" s="204">
        <v>43.77</v>
      </c>
      <c r="H30" s="193">
        <v>0.17252660622782814</v>
      </c>
      <c r="I30" s="204">
        <v>0</v>
      </c>
      <c r="J30" s="204">
        <v>0</v>
      </c>
      <c r="K30" s="193">
        <v>0</v>
      </c>
    </row>
    <row r="31" spans="1:11">
      <c r="A31" s="202">
        <v>46115</v>
      </c>
      <c r="B31" s="203">
        <v>14</v>
      </c>
      <c r="C31" s="204">
        <v>2</v>
      </c>
      <c r="D31" s="204">
        <v>46.3</v>
      </c>
      <c r="E31" s="193">
        <v>0.18249901458415455</v>
      </c>
      <c r="F31" s="204">
        <v>3</v>
      </c>
      <c r="G31" s="204">
        <v>46.77</v>
      </c>
      <c r="H31" s="193">
        <v>0.18435159637366968</v>
      </c>
      <c r="I31" s="204">
        <v>0</v>
      </c>
      <c r="J31" s="204">
        <v>0</v>
      </c>
      <c r="K31" s="193">
        <v>0</v>
      </c>
    </row>
    <row r="32" spans="1:11">
      <c r="A32" s="202">
        <v>46116</v>
      </c>
      <c r="B32" s="203">
        <v>14</v>
      </c>
      <c r="C32" s="204">
        <v>0</v>
      </c>
      <c r="D32" s="204">
        <v>46.3</v>
      </c>
      <c r="E32" s="193">
        <v>0.18249901458415455</v>
      </c>
      <c r="F32" s="204">
        <v>0</v>
      </c>
      <c r="G32" s="204">
        <v>46.77</v>
      </c>
      <c r="H32" s="193">
        <v>0.18435159637366968</v>
      </c>
      <c r="I32" s="204">
        <v>0</v>
      </c>
      <c r="J32" s="204">
        <v>0</v>
      </c>
      <c r="K32" s="193">
        <v>0</v>
      </c>
    </row>
    <row r="33" spans="1:11">
      <c r="A33" s="202">
        <v>46117</v>
      </c>
      <c r="B33" s="203">
        <v>15</v>
      </c>
      <c r="C33" s="204">
        <v>0</v>
      </c>
      <c r="D33" s="204">
        <v>46.3</v>
      </c>
      <c r="E33" s="193">
        <v>0.18249901458415455</v>
      </c>
      <c r="F33" s="204">
        <v>0</v>
      </c>
      <c r="G33" s="204">
        <v>46.77</v>
      </c>
      <c r="H33" s="193">
        <v>0.18435159637366968</v>
      </c>
      <c r="I33" s="204">
        <v>0</v>
      </c>
      <c r="J33" s="204">
        <v>0</v>
      </c>
      <c r="K33" s="193">
        <v>0</v>
      </c>
    </row>
    <row r="34" spans="1:11">
      <c r="A34" s="202">
        <v>46118</v>
      </c>
      <c r="B34" s="203">
        <v>15</v>
      </c>
      <c r="C34" s="204">
        <v>3</v>
      </c>
      <c r="D34" s="204">
        <v>49.3</v>
      </c>
      <c r="E34" s="193">
        <v>0.19432400472999609</v>
      </c>
      <c r="F34" s="204">
        <v>3</v>
      </c>
      <c r="G34" s="204">
        <v>49.77</v>
      </c>
      <c r="H34" s="193">
        <v>0.19617658651951123</v>
      </c>
      <c r="I34" s="204">
        <v>0</v>
      </c>
      <c r="J34" s="204">
        <v>0</v>
      </c>
      <c r="K34" s="193">
        <v>0</v>
      </c>
    </row>
    <row r="35" spans="1:11">
      <c r="A35" s="202">
        <v>46119</v>
      </c>
      <c r="B35" s="203">
        <v>15</v>
      </c>
      <c r="C35" s="204">
        <v>2</v>
      </c>
      <c r="D35" s="204">
        <v>51.3</v>
      </c>
      <c r="E35" s="193">
        <v>0.20220733149389045</v>
      </c>
      <c r="F35" s="204">
        <v>9.6999999999999993</v>
      </c>
      <c r="G35" s="204">
        <v>59.47</v>
      </c>
      <c r="H35" s="193">
        <v>0.23441072132439891</v>
      </c>
      <c r="I35" s="204">
        <v>0</v>
      </c>
      <c r="J35" s="204">
        <v>0</v>
      </c>
      <c r="K35" s="193">
        <v>0</v>
      </c>
    </row>
    <row r="36" spans="1:11">
      <c r="A36" s="202">
        <v>46120</v>
      </c>
      <c r="B36" s="203">
        <v>15</v>
      </c>
      <c r="C36" s="204">
        <v>2</v>
      </c>
      <c r="D36" s="204">
        <v>53.3</v>
      </c>
      <c r="E36" s="193">
        <v>0.21009065825778481</v>
      </c>
      <c r="F36" s="204">
        <v>0</v>
      </c>
      <c r="G36" s="204">
        <v>59.47</v>
      </c>
      <c r="H36" s="193">
        <v>0.23441072132439891</v>
      </c>
      <c r="I36" s="204">
        <v>0</v>
      </c>
      <c r="J36" s="204">
        <v>0</v>
      </c>
      <c r="K36" s="193">
        <v>0</v>
      </c>
    </row>
    <row r="37" spans="1:11">
      <c r="A37" s="202">
        <v>46121</v>
      </c>
      <c r="B37" s="203">
        <v>15</v>
      </c>
      <c r="C37" s="204">
        <v>2</v>
      </c>
      <c r="D37" s="204">
        <v>55.3</v>
      </c>
      <c r="E37" s="193">
        <v>0.21797398502167917</v>
      </c>
      <c r="F37" s="204">
        <v>0</v>
      </c>
      <c r="G37" s="204">
        <v>59.47</v>
      </c>
      <c r="H37" s="193">
        <v>0.23441072132439891</v>
      </c>
      <c r="I37" s="204">
        <v>0</v>
      </c>
      <c r="J37" s="204">
        <v>0</v>
      </c>
      <c r="K37" s="193">
        <v>0</v>
      </c>
    </row>
    <row r="38" spans="1:11">
      <c r="A38" s="202">
        <v>46122</v>
      </c>
      <c r="B38" s="203">
        <v>15</v>
      </c>
      <c r="C38" s="204">
        <v>2</v>
      </c>
      <c r="D38" s="204">
        <v>57.3</v>
      </c>
      <c r="E38" s="193">
        <v>0.22585731178557353</v>
      </c>
      <c r="F38" s="204">
        <v>0</v>
      </c>
      <c r="G38" s="204">
        <v>59.47</v>
      </c>
      <c r="H38" s="193">
        <v>0.23441072132439891</v>
      </c>
      <c r="I38" s="204">
        <v>0</v>
      </c>
      <c r="J38" s="204">
        <v>0</v>
      </c>
      <c r="K38" s="193">
        <v>0</v>
      </c>
    </row>
    <row r="39" spans="1:11">
      <c r="A39" s="202">
        <v>46123</v>
      </c>
      <c r="B39" s="203">
        <v>15</v>
      </c>
      <c r="C39" s="204">
        <v>0</v>
      </c>
      <c r="D39" s="204">
        <v>57.3</v>
      </c>
      <c r="E39" s="193">
        <v>0.22585731178557353</v>
      </c>
      <c r="F39" s="204">
        <v>0</v>
      </c>
      <c r="G39" s="204">
        <v>59.47</v>
      </c>
      <c r="H39" s="193">
        <v>0.23441072132439891</v>
      </c>
      <c r="I39" s="204">
        <v>0</v>
      </c>
      <c r="J39" s="204">
        <v>0</v>
      </c>
      <c r="K39" s="193">
        <v>0</v>
      </c>
    </row>
    <row r="40" spans="1:11">
      <c r="A40" s="202">
        <v>46124</v>
      </c>
      <c r="B40" s="203">
        <v>16</v>
      </c>
      <c r="C40" s="204">
        <v>0</v>
      </c>
      <c r="D40" s="204">
        <v>57.3</v>
      </c>
      <c r="E40" s="193">
        <v>0.22585731178557353</v>
      </c>
      <c r="F40" s="204">
        <v>0</v>
      </c>
      <c r="G40" s="204">
        <v>59.47</v>
      </c>
      <c r="H40" s="193">
        <v>0.23441072132439891</v>
      </c>
      <c r="I40" s="204">
        <v>0</v>
      </c>
      <c r="J40" s="204">
        <v>0</v>
      </c>
      <c r="K40" s="193">
        <v>0</v>
      </c>
    </row>
    <row r="41" spans="1:11">
      <c r="A41" s="202">
        <v>46125</v>
      </c>
      <c r="B41" s="203">
        <v>16</v>
      </c>
      <c r="C41" s="204">
        <v>2</v>
      </c>
      <c r="D41" s="204">
        <v>59.3</v>
      </c>
      <c r="E41" s="193">
        <v>0.23374063854946792</v>
      </c>
      <c r="F41" s="204">
        <v>0</v>
      </c>
      <c r="G41" s="204">
        <v>59.47</v>
      </c>
      <c r="H41" s="193">
        <v>0.23441072132439891</v>
      </c>
      <c r="I41" s="204">
        <v>0</v>
      </c>
      <c r="J41" s="204">
        <v>0</v>
      </c>
      <c r="K41" s="193">
        <v>0</v>
      </c>
    </row>
    <row r="42" spans="1:11">
      <c r="A42" s="202">
        <v>46126</v>
      </c>
      <c r="B42" s="203">
        <v>16</v>
      </c>
      <c r="C42" s="204">
        <v>1</v>
      </c>
      <c r="D42" s="204">
        <v>60.3</v>
      </c>
      <c r="E42" s="193">
        <v>0.2376823019314151</v>
      </c>
      <c r="F42" s="204">
        <v>0</v>
      </c>
      <c r="G42" s="204">
        <v>59.47</v>
      </c>
      <c r="H42" s="193">
        <v>0.23441072132439891</v>
      </c>
      <c r="I42" s="204">
        <v>0</v>
      </c>
      <c r="J42" s="204">
        <v>0</v>
      </c>
      <c r="K42" s="193">
        <v>0</v>
      </c>
    </row>
    <row r="43" spans="1:11">
      <c r="A43" s="202">
        <v>46127</v>
      </c>
      <c r="B43" s="203">
        <v>16</v>
      </c>
      <c r="C43" s="204">
        <v>1</v>
      </c>
      <c r="D43" s="204">
        <v>61.3</v>
      </c>
      <c r="E43" s="193">
        <v>0.24162396531336228</v>
      </c>
      <c r="F43" s="204">
        <v>0</v>
      </c>
      <c r="G43" s="204">
        <v>59.47</v>
      </c>
      <c r="H43" s="193">
        <v>0.23441072132439891</v>
      </c>
      <c r="I43" s="204">
        <v>0</v>
      </c>
      <c r="J43" s="204">
        <v>0</v>
      </c>
      <c r="K43" s="193">
        <v>0</v>
      </c>
    </row>
    <row r="44" spans="1:11">
      <c r="A44" s="202">
        <v>46128</v>
      </c>
      <c r="B44" s="203">
        <v>16</v>
      </c>
      <c r="C44" s="204">
        <v>1</v>
      </c>
      <c r="D44" s="204">
        <v>62.3</v>
      </c>
      <c r="E44" s="193">
        <v>0.24556562869530946</v>
      </c>
      <c r="F44" s="204">
        <v>0</v>
      </c>
      <c r="G44" s="204">
        <v>59.47</v>
      </c>
      <c r="H44" s="193">
        <v>0.23441072132439891</v>
      </c>
      <c r="I44" s="204">
        <v>0</v>
      </c>
      <c r="J44" s="204">
        <v>0</v>
      </c>
      <c r="K44" s="193">
        <v>0</v>
      </c>
    </row>
    <row r="45" spans="1:11">
      <c r="A45" s="202">
        <v>46129</v>
      </c>
      <c r="B45" s="203">
        <v>16</v>
      </c>
      <c r="C45" s="204">
        <v>1</v>
      </c>
      <c r="D45" s="204">
        <v>63.3</v>
      </c>
      <c r="E45" s="193">
        <v>0.24950729207725664</v>
      </c>
      <c r="F45" s="204">
        <v>0</v>
      </c>
      <c r="G45" s="204">
        <v>59.47</v>
      </c>
      <c r="H45" s="193">
        <v>0.23441072132439891</v>
      </c>
      <c r="I45" s="204">
        <v>0</v>
      </c>
      <c r="J45" s="204">
        <v>0</v>
      </c>
      <c r="K45" s="193">
        <v>0</v>
      </c>
    </row>
    <row r="46" spans="1:11">
      <c r="A46" s="202">
        <v>46130</v>
      </c>
      <c r="B46" s="203">
        <v>16</v>
      </c>
      <c r="C46" s="204">
        <v>0</v>
      </c>
      <c r="D46" s="204">
        <v>63.3</v>
      </c>
      <c r="E46" s="193">
        <v>0.24950729207725664</v>
      </c>
      <c r="F46" s="204">
        <v>0</v>
      </c>
      <c r="G46" s="204">
        <v>59.47</v>
      </c>
      <c r="H46" s="193">
        <v>0.23441072132439891</v>
      </c>
      <c r="I46" s="204">
        <v>0</v>
      </c>
      <c r="J46" s="204">
        <v>0</v>
      </c>
      <c r="K46" s="193">
        <v>0</v>
      </c>
    </row>
    <row r="47" spans="1:11">
      <c r="A47" s="202">
        <v>46131</v>
      </c>
      <c r="B47" s="203">
        <v>17</v>
      </c>
      <c r="C47" s="204">
        <v>0</v>
      </c>
      <c r="D47" s="204">
        <v>63.3</v>
      </c>
      <c r="E47" s="193">
        <v>0.24950729207725664</v>
      </c>
      <c r="F47" s="204">
        <v>0</v>
      </c>
      <c r="G47" s="204">
        <v>59.47</v>
      </c>
      <c r="H47" s="193">
        <v>0.23441072132439891</v>
      </c>
      <c r="I47" s="204">
        <v>0</v>
      </c>
      <c r="J47" s="204">
        <v>0</v>
      </c>
      <c r="K47" s="193">
        <v>0</v>
      </c>
    </row>
    <row r="48" spans="1:11">
      <c r="A48" s="202">
        <v>46132</v>
      </c>
      <c r="B48" s="203">
        <v>17</v>
      </c>
      <c r="C48" s="204">
        <v>1</v>
      </c>
      <c r="D48" s="204">
        <v>64.3</v>
      </c>
      <c r="E48" s="193">
        <v>0.25344895545920382</v>
      </c>
      <c r="F48" s="204">
        <v>0</v>
      </c>
      <c r="G48" s="204">
        <v>59.47</v>
      </c>
      <c r="H48" s="193">
        <v>0.23441072132439891</v>
      </c>
      <c r="I48" s="204">
        <v>0</v>
      </c>
      <c r="J48" s="204">
        <v>0</v>
      </c>
      <c r="K48" s="193">
        <v>0</v>
      </c>
    </row>
    <row r="49" spans="1:11">
      <c r="A49" s="202">
        <v>46133</v>
      </c>
      <c r="B49" s="203">
        <v>17</v>
      </c>
      <c r="C49" s="204">
        <v>1</v>
      </c>
      <c r="D49" s="204">
        <v>65.3</v>
      </c>
      <c r="E49" s="193">
        <v>0.257390618841151</v>
      </c>
      <c r="F49" s="204">
        <v>0</v>
      </c>
      <c r="G49" s="204">
        <v>59.47</v>
      </c>
      <c r="H49" s="193">
        <v>0.23441072132439891</v>
      </c>
      <c r="I49" s="204">
        <v>0</v>
      </c>
      <c r="J49" s="204">
        <v>0</v>
      </c>
      <c r="K49" s="193">
        <v>0</v>
      </c>
    </row>
    <row r="50" spans="1:11">
      <c r="A50" s="202">
        <v>46134</v>
      </c>
      <c r="B50" s="203">
        <v>17</v>
      </c>
      <c r="C50" s="204">
        <v>1</v>
      </c>
      <c r="D50" s="204">
        <v>66.3</v>
      </c>
      <c r="E50" s="193">
        <v>0.26133228222309818</v>
      </c>
      <c r="F50" s="204">
        <v>0</v>
      </c>
      <c r="G50" s="204">
        <v>59.47</v>
      </c>
      <c r="H50" s="193">
        <v>0.23441072132439891</v>
      </c>
      <c r="I50" s="204">
        <v>0</v>
      </c>
      <c r="J50" s="204">
        <v>0</v>
      </c>
      <c r="K50" s="193">
        <v>0</v>
      </c>
    </row>
    <row r="51" spans="1:11">
      <c r="A51" s="202">
        <v>46135</v>
      </c>
      <c r="B51" s="203">
        <v>17</v>
      </c>
      <c r="C51" s="204">
        <v>1</v>
      </c>
      <c r="D51" s="204">
        <v>67.3</v>
      </c>
      <c r="E51" s="193">
        <v>0.26527394560504536</v>
      </c>
      <c r="F51" s="204">
        <v>0</v>
      </c>
      <c r="G51" s="204">
        <v>59.47</v>
      </c>
      <c r="H51" s="193">
        <v>0.23441072132439891</v>
      </c>
      <c r="I51" s="204">
        <v>0</v>
      </c>
      <c r="J51" s="204">
        <v>0</v>
      </c>
      <c r="K51" s="193">
        <v>0</v>
      </c>
    </row>
    <row r="52" spans="1:11">
      <c r="A52" s="202">
        <v>46136</v>
      </c>
      <c r="B52" s="203">
        <v>17</v>
      </c>
      <c r="C52" s="204">
        <v>1</v>
      </c>
      <c r="D52" s="204">
        <v>68.3</v>
      </c>
      <c r="E52" s="193">
        <v>0.26921560898699259</v>
      </c>
      <c r="F52" s="204">
        <v>0</v>
      </c>
      <c r="G52" s="204">
        <v>59.47</v>
      </c>
      <c r="H52" s="193">
        <v>0.23441072132439891</v>
      </c>
      <c r="I52" s="204">
        <v>0</v>
      </c>
      <c r="J52" s="204">
        <v>0</v>
      </c>
      <c r="K52" s="193">
        <v>0</v>
      </c>
    </row>
    <row r="53" spans="1:11">
      <c r="A53" s="202">
        <v>46137</v>
      </c>
      <c r="B53" s="203">
        <v>17</v>
      </c>
      <c r="C53" s="204">
        <v>0</v>
      </c>
      <c r="D53" s="204">
        <v>68.3</v>
      </c>
      <c r="E53" s="193">
        <v>0.26921560898699259</v>
      </c>
      <c r="F53" s="204">
        <v>0</v>
      </c>
      <c r="G53" s="204">
        <v>59.47</v>
      </c>
      <c r="H53" s="193">
        <v>0.23441072132439891</v>
      </c>
      <c r="I53" s="204">
        <v>0</v>
      </c>
      <c r="J53" s="204">
        <v>0</v>
      </c>
      <c r="K53" s="193">
        <v>0</v>
      </c>
    </row>
    <row r="54" spans="1:11">
      <c r="A54" s="202">
        <v>46138</v>
      </c>
      <c r="B54" s="203">
        <v>18</v>
      </c>
      <c r="C54" s="204">
        <v>0</v>
      </c>
      <c r="D54" s="204">
        <v>68.3</v>
      </c>
      <c r="E54" s="193">
        <v>0.26921560898699259</v>
      </c>
      <c r="F54" s="204">
        <v>0</v>
      </c>
      <c r="G54" s="204">
        <v>59.47</v>
      </c>
      <c r="H54" s="193">
        <v>0.23441072132439891</v>
      </c>
      <c r="I54" s="204">
        <v>0</v>
      </c>
      <c r="J54" s="204">
        <v>0</v>
      </c>
      <c r="K54" s="193">
        <v>0</v>
      </c>
    </row>
    <row r="55" spans="1:11">
      <c r="A55" s="202">
        <v>46139</v>
      </c>
      <c r="B55" s="203">
        <v>18</v>
      </c>
      <c r="C55" s="204">
        <v>1</v>
      </c>
      <c r="D55" s="204">
        <v>69.3</v>
      </c>
      <c r="E55" s="193">
        <v>0.27315727236893977</v>
      </c>
      <c r="F55" s="204">
        <v>0</v>
      </c>
      <c r="G55" s="204">
        <v>59.47</v>
      </c>
      <c r="H55" s="193">
        <v>0.23441072132439891</v>
      </c>
      <c r="I55" s="204">
        <v>0</v>
      </c>
      <c r="J55" s="204">
        <v>0</v>
      </c>
      <c r="K55" s="193">
        <v>0</v>
      </c>
    </row>
    <row r="56" spans="1:11">
      <c r="A56" s="202">
        <v>46140</v>
      </c>
      <c r="B56" s="203">
        <v>18</v>
      </c>
      <c r="C56" s="204">
        <v>0</v>
      </c>
      <c r="D56" s="204">
        <v>69.3</v>
      </c>
      <c r="E56" s="193">
        <v>0.27315727236893977</v>
      </c>
      <c r="F56" s="204">
        <v>0</v>
      </c>
      <c r="G56" s="204">
        <v>59.47</v>
      </c>
      <c r="H56" s="193">
        <v>0.23441072132439891</v>
      </c>
      <c r="I56" s="204">
        <v>0</v>
      </c>
      <c r="J56" s="204">
        <v>0</v>
      </c>
      <c r="K56" s="193">
        <v>0</v>
      </c>
    </row>
    <row r="57" spans="1:11">
      <c r="A57" s="202">
        <v>46141</v>
      </c>
      <c r="B57" s="203">
        <v>18</v>
      </c>
      <c r="C57" s="204">
        <v>0</v>
      </c>
      <c r="D57" s="204">
        <v>69.3</v>
      </c>
      <c r="E57" s="193">
        <v>0.27315727236893977</v>
      </c>
      <c r="F57" s="204">
        <v>0</v>
      </c>
      <c r="G57" s="204">
        <v>59.47</v>
      </c>
      <c r="H57" s="193">
        <v>0.23441072132439891</v>
      </c>
      <c r="I57" s="204">
        <v>0</v>
      </c>
      <c r="J57" s="204">
        <v>0</v>
      </c>
      <c r="K57" s="193">
        <v>0</v>
      </c>
    </row>
    <row r="58" spans="1:11">
      <c r="A58" s="202">
        <v>46142</v>
      </c>
      <c r="B58" s="203">
        <v>18</v>
      </c>
      <c r="C58" s="204">
        <v>1.2</v>
      </c>
      <c r="D58" s="204">
        <v>70.5</v>
      </c>
      <c r="E58" s="193">
        <v>0.2778872684272764</v>
      </c>
      <c r="F58" s="204">
        <v>0</v>
      </c>
      <c r="G58" s="204">
        <v>59.47</v>
      </c>
      <c r="H58" s="193">
        <v>0.23441072132439891</v>
      </c>
      <c r="I58" s="204">
        <v>0</v>
      </c>
      <c r="J58" s="204">
        <v>0</v>
      </c>
      <c r="K58" s="193">
        <v>0</v>
      </c>
    </row>
    <row r="59" spans="1:11">
      <c r="A59" s="202">
        <v>46143</v>
      </c>
      <c r="B59" s="203">
        <v>18</v>
      </c>
      <c r="C59" s="204">
        <v>1</v>
      </c>
      <c r="D59" s="204">
        <v>71.5</v>
      </c>
      <c r="E59" s="193">
        <v>0.28182893180922358</v>
      </c>
      <c r="F59" s="204">
        <v>0</v>
      </c>
      <c r="G59" s="204">
        <v>59.47</v>
      </c>
      <c r="H59" s="193">
        <v>0.23441072132439891</v>
      </c>
      <c r="I59" s="204">
        <v>0</v>
      </c>
      <c r="J59" s="204">
        <v>0</v>
      </c>
      <c r="K59" s="193">
        <v>0</v>
      </c>
    </row>
    <row r="60" spans="1:11">
      <c r="A60" s="202">
        <v>46144</v>
      </c>
      <c r="B60" s="203">
        <v>18</v>
      </c>
      <c r="C60" s="204">
        <v>0</v>
      </c>
      <c r="D60" s="204">
        <v>71.5</v>
      </c>
      <c r="E60" s="193">
        <v>0.28182893180922358</v>
      </c>
      <c r="F60" s="204">
        <v>0</v>
      </c>
      <c r="G60" s="204">
        <v>59.47</v>
      </c>
      <c r="H60" s="193">
        <v>0.23441072132439891</v>
      </c>
      <c r="I60" s="204">
        <v>0</v>
      </c>
      <c r="J60" s="204">
        <v>0</v>
      </c>
      <c r="K60" s="193">
        <v>0</v>
      </c>
    </row>
    <row r="61" spans="1:11">
      <c r="A61" s="202">
        <v>46145</v>
      </c>
      <c r="B61" s="203">
        <v>19</v>
      </c>
      <c r="C61" s="204">
        <v>0</v>
      </c>
      <c r="D61" s="204">
        <v>71.5</v>
      </c>
      <c r="E61" s="193">
        <v>0.28182893180922358</v>
      </c>
      <c r="F61" s="204">
        <v>0</v>
      </c>
      <c r="G61" s="204">
        <v>59.47</v>
      </c>
      <c r="H61" s="193">
        <v>0.23441072132439891</v>
      </c>
      <c r="I61" s="204">
        <v>0</v>
      </c>
      <c r="J61" s="204">
        <v>0</v>
      </c>
      <c r="K61" s="193">
        <v>0</v>
      </c>
    </row>
    <row r="62" spans="1:11">
      <c r="A62" s="202">
        <v>46146</v>
      </c>
      <c r="B62" s="203">
        <v>19</v>
      </c>
      <c r="C62" s="204">
        <v>3</v>
      </c>
      <c r="D62" s="204">
        <v>74.5</v>
      </c>
      <c r="E62" s="193">
        <v>0.29365392195506512</v>
      </c>
      <c r="F62" s="204">
        <v>0</v>
      </c>
      <c r="G62" s="204">
        <v>59.47</v>
      </c>
      <c r="H62" s="193">
        <v>0.23441072132439891</v>
      </c>
      <c r="I62" s="204">
        <v>0</v>
      </c>
      <c r="J62" s="204">
        <v>0</v>
      </c>
      <c r="K62" s="193">
        <v>0</v>
      </c>
    </row>
    <row r="63" spans="1:11">
      <c r="A63" s="202">
        <v>46147</v>
      </c>
      <c r="B63" s="203">
        <v>19</v>
      </c>
      <c r="C63" s="204">
        <v>0</v>
      </c>
      <c r="D63" s="204">
        <v>74.5</v>
      </c>
      <c r="E63" s="193">
        <v>0.29365392195506512</v>
      </c>
      <c r="F63" s="204">
        <v>0</v>
      </c>
      <c r="G63" s="204">
        <v>59.47</v>
      </c>
      <c r="H63" s="193">
        <v>0.23441072132439891</v>
      </c>
      <c r="I63" s="204">
        <v>0</v>
      </c>
      <c r="J63" s="204">
        <v>0</v>
      </c>
      <c r="K63" s="193">
        <v>0</v>
      </c>
    </row>
    <row r="64" spans="1:11">
      <c r="A64" s="202">
        <v>46148</v>
      </c>
      <c r="B64" s="203">
        <v>19</v>
      </c>
      <c r="C64" s="204">
        <v>3</v>
      </c>
      <c r="D64" s="204">
        <v>77.5</v>
      </c>
      <c r="E64" s="193">
        <v>0.30547891210090666</v>
      </c>
      <c r="F64" s="204">
        <v>0</v>
      </c>
      <c r="G64" s="204">
        <v>59.47</v>
      </c>
      <c r="H64" s="193">
        <v>0.23441072132439891</v>
      </c>
      <c r="I64" s="204">
        <v>0</v>
      </c>
      <c r="J64" s="204">
        <v>0</v>
      </c>
      <c r="K64" s="193">
        <v>0</v>
      </c>
    </row>
    <row r="65" spans="1:11">
      <c r="A65" s="202">
        <v>46149</v>
      </c>
      <c r="B65" s="203">
        <v>19</v>
      </c>
      <c r="C65" s="204">
        <v>5</v>
      </c>
      <c r="D65" s="204">
        <v>82.5</v>
      </c>
      <c r="E65" s="193">
        <v>0.32518722901064256</v>
      </c>
      <c r="F65" s="204">
        <v>0</v>
      </c>
      <c r="G65" s="204">
        <v>59.47</v>
      </c>
      <c r="H65" s="193">
        <v>0.23441072132439891</v>
      </c>
      <c r="I65" s="204">
        <v>0</v>
      </c>
      <c r="J65" s="204">
        <v>0</v>
      </c>
      <c r="K65" s="193">
        <v>0</v>
      </c>
    </row>
    <row r="66" spans="1:11">
      <c r="A66" s="202">
        <v>46150</v>
      </c>
      <c r="B66" s="203">
        <v>19</v>
      </c>
      <c r="C66" s="204">
        <v>4</v>
      </c>
      <c r="D66" s="204">
        <v>86.5</v>
      </c>
      <c r="E66" s="193">
        <v>0.34095388253843129</v>
      </c>
      <c r="F66" s="204">
        <v>0</v>
      </c>
      <c r="G66" s="204">
        <v>59.47</v>
      </c>
      <c r="H66" s="193">
        <v>0.23441072132439891</v>
      </c>
      <c r="I66" s="204">
        <v>0</v>
      </c>
      <c r="J66" s="204">
        <v>0</v>
      </c>
      <c r="K66" s="193">
        <v>0</v>
      </c>
    </row>
    <row r="67" spans="1:11">
      <c r="A67" s="202">
        <v>46151</v>
      </c>
      <c r="B67" s="203">
        <v>19</v>
      </c>
      <c r="C67" s="204">
        <v>0</v>
      </c>
      <c r="D67" s="204">
        <v>86.5</v>
      </c>
      <c r="E67" s="193">
        <v>0.34095388253843129</v>
      </c>
      <c r="F67" s="204">
        <v>0</v>
      </c>
      <c r="G67" s="204">
        <v>59.47</v>
      </c>
      <c r="H67" s="193">
        <v>0.23441072132439891</v>
      </c>
      <c r="I67" s="204">
        <v>0</v>
      </c>
      <c r="J67" s="204">
        <v>0</v>
      </c>
      <c r="K67" s="193">
        <v>0</v>
      </c>
    </row>
    <row r="68" spans="1:11">
      <c r="A68" s="202">
        <v>46152</v>
      </c>
      <c r="B68" s="203">
        <v>20</v>
      </c>
      <c r="C68" s="204">
        <v>0</v>
      </c>
      <c r="D68" s="204">
        <v>86.5</v>
      </c>
      <c r="E68" s="193">
        <v>0.34095388253843129</v>
      </c>
      <c r="F68" s="204">
        <v>0</v>
      </c>
      <c r="G68" s="204">
        <v>59.47</v>
      </c>
      <c r="H68" s="193">
        <v>0.23441072132439891</v>
      </c>
      <c r="I68" s="204">
        <v>0</v>
      </c>
      <c r="J68" s="204">
        <v>0</v>
      </c>
      <c r="K68" s="193">
        <v>0</v>
      </c>
    </row>
    <row r="69" spans="1:11">
      <c r="A69" s="202">
        <v>46153</v>
      </c>
      <c r="B69" s="203">
        <v>20</v>
      </c>
      <c r="C69" s="204">
        <v>3</v>
      </c>
      <c r="D69" s="204">
        <v>89.5</v>
      </c>
      <c r="E69" s="193">
        <v>0.35277887268427283</v>
      </c>
      <c r="F69" s="204">
        <v>0</v>
      </c>
      <c r="G69" s="204">
        <v>59.47</v>
      </c>
      <c r="H69" s="193">
        <v>0.23441072132439891</v>
      </c>
      <c r="I69" s="204">
        <v>0</v>
      </c>
      <c r="J69" s="204">
        <v>0</v>
      </c>
      <c r="K69" s="193">
        <v>0</v>
      </c>
    </row>
    <row r="70" spans="1:11">
      <c r="A70" s="202">
        <v>46154</v>
      </c>
      <c r="B70" s="203">
        <v>20</v>
      </c>
      <c r="C70" s="204">
        <v>3</v>
      </c>
      <c r="D70" s="204">
        <v>92.5</v>
      </c>
      <c r="E70" s="193">
        <v>0.36460386283011437</v>
      </c>
      <c r="F70" s="204">
        <v>0</v>
      </c>
      <c r="G70" s="204">
        <v>59.47</v>
      </c>
      <c r="H70" s="193">
        <v>0.23441072132439891</v>
      </c>
      <c r="I70" s="204">
        <v>0</v>
      </c>
      <c r="J70" s="204">
        <v>0</v>
      </c>
      <c r="K70" s="193">
        <v>0</v>
      </c>
    </row>
    <row r="71" spans="1:11">
      <c r="A71" s="202">
        <v>46155</v>
      </c>
      <c r="B71" s="203">
        <v>20</v>
      </c>
      <c r="C71" s="204">
        <v>3</v>
      </c>
      <c r="D71" s="204">
        <v>95.5</v>
      </c>
      <c r="E71" s="193">
        <v>0.37642885297595591</v>
      </c>
      <c r="F71" s="204">
        <v>0</v>
      </c>
      <c r="G71" s="204">
        <v>59.47</v>
      </c>
      <c r="H71" s="193">
        <v>0.23441072132439891</v>
      </c>
      <c r="I71" s="204">
        <v>0</v>
      </c>
      <c r="J71" s="204">
        <v>0</v>
      </c>
      <c r="K71" s="193">
        <v>0</v>
      </c>
    </row>
    <row r="72" spans="1:11">
      <c r="A72" s="202">
        <v>46156</v>
      </c>
      <c r="B72" s="203">
        <v>20</v>
      </c>
      <c r="C72" s="204">
        <v>3</v>
      </c>
      <c r="D72" s="204">
        <v>98.5</v>
      </c>
      <c r="E72" s="193">
        <v>0.38825384312179745</v>
      </c>
      <c r="F72" s="204">
        <v>0</v>
      </c>
      <c r="G72" s="204">
        <v>59.47</v>
      </c>
      <c r="H72" s="193">
        <v>0.23441072132439891</v>
      </c>
      <c r="I72" s="204">
        <v>0</v>
      </c>
      <c r="J72" s="204">
        <v>0</v>
      </c>
      <c r="K72" s="193">
        <v>0</v>
      </c>
    </row>
    <row r="73" spans="1:11">
      <c r="A73" s="202">
        <v>46157</v>
      </c>
      <c r="B73" s="203">
        <v>20</v>
      </c>
      <c r="C73" s="204">
        <v>3</v>
      </c>
      <c r="D73" s="204">
        <v>101.5</v>
      </c>
      <c r="E73" s="193">
        <v>0.40007883326763904</v>
      </c>
      <c r="F73" s="204">
        <v>0</v>
      </c>
      <c r="G73" s="204">
        <v>59.47</v>
      </c>
      <c r="H73" s="193">
        <v>0.23441072132439891</v>
      </c>
      <c r="I73" s="204">
        <v>0</v>
      </c>
      <c r="J73" s="204">
        <v>0</v>
      </c>
      <c r="K73" s="193">
        <v>0</v>
      </c>
    </row>
    <row r="74" spans="1:11">
      <c r="A74" s="202">
        <v>46158</v>
      </c>
      <c r="B74" s="203">
        <v>20</v>
      </c>
      <c r="C74" s="204">
        <v>0</v>
      </c>
      <c r="D74" s="204">
        <v>101.5</v>
      </c>
      <c r="E74" s="193">
        <v>0.40007883326763904</v>
      </c>
      <c r="F74" s="204">
        <v>0</v>
      </c>
      <c r="G74" s="204">
        <v>59.47</v>
      </c>
      <c r="H74" s="193">
        <v>0.23441072132439891</v>
      </c>
      <c r="I74" s="204">
        <v>0</v>
      </c>
      <c r="J74" s="204">
        <v>0</v>
      </c>
      <c r="K74" s="193">
        <v>0</v>
      </c>
    </row>
    <row r="75" spans="1:11">
      <c r="A75" s="202">
        <v>46159</v>
      </c>
      <c r="B75" s="203">
        <v>21</v>
      </c>
      <c r="C75" s="204">
        <v>0</v>
      </c>
      <c r="D75" s="204">
        <v>101.5</v>
      </c>
      <c r="E75" s="193">
        <v>0.40007883326763904</v>
      </c>
      <c r="F75" s="204">
        <v>0</v>
      </c>
      <c r="G75" s="204">
        <v>59.47</v>
      </c>
      <c r="H75" s="193">
        <v>0.23441072132439891</v>
      </c>
      <c r="I75" s="204">
        <v>0</v>
      </c>
      <c r="J75" s="204">
        <v>0</v>
      </c>
      <c r="K75" s="193">
        <v>0</v>
      </c>
    </row>
    <row r="76" spans="1:11">
      <c r="A76" s="202">
        <v>46160</v>
      </c>
      <c r="B76" s="203">
        <v>21</v>
      </c>
      <c r="C76" s="204">
        <v>4</v>
      </c>
      <c r="D76" s="204">
        <v>105.5</v>
      </c>
      <c r="E76" s="193">
        <v>0.41584548679542777</v>
      </c>
      <c r="F76" s="204">
        <v>0</v>
      </c>
      <c r="G76" s="204">
        <v>59.47</v>
      </c>
      <c r="H76" s="193">
        <v>0.23441072132439891</v>
      </c>
      <c r="I76" s="204">
        <v>0</v>
      </c>
      <c r="J76" s="204">
        <v>0</v>
      </c>
      <c r="K76" s="193">
        <v>0</v>
      </c>
    </row>
    <row r="77" spans="1:11">
      <c r="A77" s="202">
        <v>46161</v>
      </c>
      <c r="B77" s="203">
        <v>21</v>
      </c>
      <c r="C77" s="204">
        <v>3</v>
      </c>
      <c r="D77" s="204">
        <v>108.5</v>
      </c>
      <c r="E77" s="193">
        <v>0.42767047694126931</v>
      </c>
      <c r="F77" s="204">
        <v>0</v>
      </c>
      <c r="G77" s="204">
        <v>59.47</v>
      </c>
      <c r="H77" s="193">
        <v>0.23441072132439891</v>
      </c>
      <c r="I77" s="204">
        <v>0</v>
      </c>
      <c r="J77" s="204">
        <v>0</v>
      </c>
      <c r="K77" s="193">
        <v>0</v>
      </c>
    </row>
    <row r="78" spans="1:11">
      <c r="A78" s="202">
        <v>46162</v>
      </c>
      <c r="B78" s="203">
        <v>21</v>
      </c>
      <c r="C78" s="204">
        <v>3</v>
      </c>
      <c r="D78" s="204">
        <v>111.5</v>
      </c>
      <c r="E78" s="193">
        <v>0.43949546708711085</v>
      </c>
      <c r="F78" s="204">
        <v>0</v>
      </c>
      <c r="G78" s="204">
        <v>59.47</v>
      </c>
      <c r="H78" s="193">
        <v>0.23441072132439891</v>
      </c>
      <c r="I78" s="204">
        <v>0</v>
      </c>
      <c r="J78" s="204">
        <v>0</v>
      </c>
      <c r="K78" s="193">
        <v>0</v>
      </c>
    </row>
    <row r="79" spans="1:11">
      <c r="A79" s="202">
        <v>46163</v>
      </c>
      <c r="B79" s="203">
        <v>21</v>
      </c>
      <c r="C79" s="204">
        <v>4</v>
      </c>
      <c r="D79" s="204">
        <v>115.5</v>
      </c>
      <c r="E79" s="193">
        <v>0.45526212061489957</v>
      </c>
      <c r="F79" s="204">
        <v>0</v>
      </c>
      <c r="G79" s="204">
        <v>59.47</v>
      </c>
      <c r="H79" s="193">
        <v>0.23441072132439891</v>
      </c>
      <c r="I79" s="204">
        <v>0</v>
      </c>
      <c r="J79" s="204">
        <v>0</v>
      </c>
      <c r="K79" s="193">
        <v>0</v>
      </c>
    </row>
    <row r="80" spans="1:11">
      <c r="A80" s="202">
        <v>46164</v>
      </c>
      <c r="B80" s="203">
        <v>21</v>
      </c>
      <c r="C80" s="204">
        <v>4</v>
      </c>
      <c r="D80" s="204">
        <v>119.5</v>
      </c>
      <c r="E80" s="193">
        <v>0.47102877414268829</v>
      </c>
      <c r="F80" s="204">
        <v>0</v>
      </c>
      <c r="G80" s="204">
        <v>59.47</v>
      </c>
      <c r="H80" s="193">
        <v>0.23441072132439891</v>
      </c>
      <c r="I80" s="204">
        <v>0</v>
      </c>
      <c r="J80" s="204">
        <v>0</v>
      </c>
      <c r="K80" s="193">
        <v>0</v>
      </c>
    </row>
    <row r="81" spans="1:11">
      <c r="A81" s="202">
        <v>46165</v>
      </c>
      <c r="B81" s="203">
        <v>21</v>
      </c>
      <c r="C81" s="204">
        <v>0</v>
      </c>
      <c r="D81" s="204">
        <v>119.5</v>
      </c>
      <c r="E81" s="193">
        <v>0.47102877414268829</v>
      </c>
      <c r="F81" s="204">
        <v>0</v>
      </c>
      <c r="G81" s="204">
        <v>59.47</v>
      </c>
      <c r="H81" s="193">
        <v>0.23441072132439891</v>
      </c>
      <c r="I81" s="204">
        <v>0</v>
      </c>
      <c r="J81" s="204">
        <v>0</v>
      </c>
      <c r="K81" s="193">
        <v>0</v>
      </c>
    </row>
    <row r="82" spans="1:11">
      <c r="A82" s="202">
        <v>46166</v>
      </c>
      <c r="B82" s="203">
        <v>22</v>
      </c>
      <c r="C82" s="204">
        <v>0</v>
      </c>
      <c r="D82" s="204">
        <v>119.5</v>
      </c>
      <c r="E82" s="193">
        <v>0.47102877414268829</v>
      </c>
      <c r="F82" s="204">
        <v>0</v>
      </c>
      <c r="G82" s="204">
        <v>59.47</v>
      </c>
      <c r="H82" s="193">
        <v>0.23441072132439891</v>
      </c>
      <c r="I82" s="204">
        <v>0</v>
      </c>
      <c r="J82" s="204">
        <v>0</v>
      </c>
      <c r="K82" s="193">
        <v>0</v>
      </c>
    </row>
    <row r="83" spans="1:11">
      <c r="A83" s="202">
        <v>46167</v>
      </c>
      <c r="B83" s="203">
        <v>22</v>
      </c>
      <c r="C83" s="204">
        <v>0</v>
      </c>
      <c r="D83" s="204">
        <v>119.5</v>
      </c>
      <c r="E83" s="193">
        <v>0.47102877414268829</v>
      </c>
      <c r="F83" s="204">
        <v>0</v>
      </c>
      <c r="G83" s="204">
        <v>59.47</v>
      </c>
      <c r="H83" s="193">
        <v>0.23441072132439891</v>
      </c>
      <c r="I83" s="204">
        <v>0</v>
      </c>
      <c r="J83" s="204">
        <v>0</v>
      </c>
      <c r="K83" s="193">
        <v>0</v>
      </c>
    </row>
    <row r="84" spans="1:11">
      <c r="A84" s="202">
        <v>46168</v>
      </c>
      <c r="B84" s="203">
        <v>22</v>
      </c>
      <c r="C84" s="204">
        <v>4</v>
      </c>
      <c r="D84" s="204">
        <v>123.5</v>
      </c>
      <c r="E84" s="193">
        <v>0.48679542767047701</v>
      </c>
      <c r="F84" s="204">
        <v>0</v>
      </c>
      <c r="G84" s="204">
        <v>59.47</v>
      </c>
      <c r="H84" s="193">
        <v>0.23441072132439891</v>
      </c>
      <c r="I84" s="204">
        <v>0</v>
      </c>
      <c r="J84" s="204">
        <v>0</v>
      </c>
      <c r="K84" s="193">
        <v>0</v>
      </c>
    </row>
    <row r="85" spans="1:11">
      <c r="A85" s="202">
        <v>46169</v>
      </c>
      <c r="B85" s="203">
        <v>22</v>
      </c>
      <c r="C85" s="204">
        <v>4</v>
      </c>
      <c r="D85" s="204">
        <v>127.5</v>
      </c>
      <c r="E85" s="193">
        <v>0.50256208119826573</v>
      </c>
      <c r="F85" s="204">
        <v>0</v>
      </c>
      <c r="G85" s="204">
        <v>59.47</v>
      </c>
      <c r="H85" s="193">
        <v>0.23441072132439891</v>
      </c>
      <c r="I85" s="204">
        <v>0</v>
      </c>
      <c r="J85" s="204">
        <v>0</v>
      </c>
      <c r="K85" s="193">
        <v>0</v>
      </c>
    </row>
    <row r="86" spans="1:11">
      <c r="A86" s="202">
        <v>46170</v>
      </c>
      <c r="B86" s="203">
        <v>22</v>
      </c>
      <c r="C86" s="204">
        <v>4</v>
      </c>
      <c r="D86" s="204">
        <v>131.5</v>
      </c>
      <c r="E86" s="193">
        <v>0.51832873472605445</v>
      </c>
      <c r="F86" s="204">
        <v>0</v>
      </c>
      <c r="G86" s="204">
        <v>59.47</v>
      </c>
      <c r="H86" s="193">
        <v>0.23441072132439891</v>
      </c>
      <c r="I86" s="204">
        <v>0</v>
      </c>
      <c r="J86" s="204">
        <v>0</v>
      </c>
      <c r="K86" s="193">
        <v>0</v>
      </c>
    </row>
    <row r="87" spans="1:11">
      <c r="A87" s="202">
        <v>46171</v>
      </c>
      <c r="B87" s="203">
        <v>22</v>
      </c>
      <c r="C87" s="204">
        <v>4</v>
      </c>
      <c r="D87" s="204">
        <v>135.5</v>
      </c>
      <c r="E87" s="193">
        <v>0.53409538825384317</v>
      </c>
      <c r="F87" s="204">
        <v>0</v>
      </c>
      <c r="G87" s="204">
        <v>59.47</v>
      </c>
      <c r="H87" s="193">
        <v>0.23441072132439891</v>
      </c>
      <c r="I87" s="204">
        <v>0</v>
      </c>
      <c r="J87" s="204">
        <v>0</v>
      </c>
      <c r="K87" s="193">
        <v>0</v>
      </c>
    </row>
    <row r="88" spans="1:11">
      <c r="A88" s="202">
        <v>46172</v>
      </c>
      <c r="B88" s="203">
        <v>22</v>
      </c>
      <c r="C88" s="204">
        <v>0</v>
      </c>
      <c r="D88" s="204">
        <v>135.5</v>
      </c>
      <c r="E88" s="193">
        <v>0.53409538825384317</v>
      </c>
      <c r="F88" s="204">
        <v>0</v>
      </c>
      <c r="G88" s="204">
        <v>59.47</v>
      </c>
      <c r="H88" s="193">
        <v>0.23441072132439891</v>
      </c>
      <c r="I88" s="204">
        <v>0</v>
      </c>
      <c r="J88" s="204">
        <v>0</v>
      </c>
      <c r="K88" s="193">
        <v>0</v>
      </c>
    </row>
    <row r="89" spans="1:11">
      <c r="A89" s="202">
        <v>46173</v>
      </c>
      <c r="B89" s="203">
        <v>23</v>
      </c>
      <c r="C89" s="204">
        <v>0</v>
      </c>
      <c r="D89" s="204">
        <v>135.5</v>
      </c>
      <c r="E89" s="193">
        <v>0.53409538825384317</v>
      </c>
      <c r="F89" s="204">
        <v>0</v>
      </c>
      <c r="G89" s="204">
        <v>59.47</v>
      </c>
      <c r="H89" s="193">
        <v>0.23441072132439891</v>
      </c>
      <c r="I89" s="204">
        <v>0</v>
      </c>
      <c r="J89" s="204">
        <v>0</v>
      </c>
      <c r="K89" s="193">
        <v>0</v>
      </c>
    </row>
    <row r="90" spans="1:11">
      <c r="A90" s="202">
        <v>46174</v>
      </c>
      <c r="B90" s="203">
        <v>23</v>
      </c>
      <c r="C90" s="204">
        <v>4</v>
      </c>
      <c r="D90" s="204">
        <v>139.5</v>
      </c>
      <c r="E90" s="193">
        <v>0.54986204178163189</v>
      </c>
      <c r="F90" s="204">
        <v>0</v>
      </c>
      <c r="G90" s="204">
        <v>59.47</v>
      </c>
      <c r="H90" s="193">
        <v>0.23441072132439891</v>
      </c>
      <c r="I90" s="204">
        <v>0</v>
      </c>
      <c r="J90" s="204">
        <v>0</v>
      </c>
      <c r="K90" s="193">
        <v>0</v>
      </c>
    </row>
    <row r="91" spans="1:11">
      <c r="A91" s="202">
        <v>46175</v>
      </c>
      <c r="B91" s="203">
        <v>23</v>
      </c>
      <c r="C91" s="204">
        <v>4</v>
      </c>
      <c r="D91" s="204">
        <v>143.5</v>
      </c>
      <c r="E91" s="193">
        <v>0.56562869530942061</v>
      </c>
      <c r="F91" s="204">
        <v>0</v>
      </c>
      <c r="G91" s="204">
        <v>59.47</v>
      </c>
      <c r="H91" s="193">
        <v>0.23441072132439891</v>
      </c>
      <c r="I91" s="204">
        <v>0</v>
      </c>
      <c r="J91" s="204">
        <v>0</v>
      </c>
      <c r="K91" s="193">
        <v>0</v>
      </c>
    </row>
    <row r="92" spans="1:11">
      <c r="A92" s="202">
        <v>46176</v>
      </c>
      <c r="B92" s="203">
        <v>23</v>
      </c>
      <c r="C92" s="204">
        <v>0</v>
      </c>
      <c r="D92" s="204">
        <v>143.5</v>
      </c>
      <c r="E92" s="193">
        <v>0.56562869530942061</v>
      </c>
      <c r="F92" s="204">
        <v>0</v>
      </c>
      <c r="G92" s="204">
        <v>59.47</v>
      </c>
      <c r="H92" s="193">
        <v>0.23441072132439891</v>
      </c>
      <c r="I92" s="204">
        <v>0</v>
      </c>
      <c r="J92" s="204">
        <v>0</v>
      </c>
      <c r="K92" s="193">
        <v>0</v>
      </c>
    </row>
    <row r="93" spans="1:11">
      <c r="A93" s="202">
        <v>46177</v>
      </c>
      <c r="B93" s="203">
        <v>23</v>
      </c>
      <c r="C93" s="204">
        <v>4.2</v>
      </c>
      <c r="D93" s="204">
        <v>147.69999999999999</v>
      </c>
      <c r="E93" s="193">
        <v>0.58218368151359867</v>
      </c>
      <c r="F93" s="204">
        <v>0</v>
      </c>
      <c r="G93" s="204">
        <v>59.47</v>
      </c>
      <c r="H93" s="193">
        <v>0.23441072132439891</v>
      </c>
      <c r="I93" s="204">
        <v>0</v>
      </c>
      <c r="J93" s="204">
        <v>0</v>
      </c>
      <c r="K93" s="193">
        <v>0</v>
      </c>
    </row>
    <row r="94" spans="1:11">
      <c r="A94" s="202">
        <v>46178</v>
      </c>
      <c r="B94" s="203">
        <v>23</v>
      </c>
      <c r="C94" s="204">
        <v>4</v>
      </c>
      <c r="D94" s="204">
        <v>151.69999999999999</v>
      </c>
      <c r="E94" s="193">
        <v>0.59795033504138739</v>
      </c>
      <c r="F94" s="204">
        <v>0</v>
      </c>
      <c r="G94" s="204">
        <v>59.47</v>
      </c>
      <c r="H94" s="193">
        <v>0.23441072132439891</v>
      </c>
      <c r="I94" s="204">
        <v>0</v>
      </c>
      <c r="J94" s="204">
        <v>0</v>
      </c>
      <c r="K94" s="193">
        <v>0</v>
      </c>
    </row>
    <row r="95" spans="1:11">
      <c r="A95" s="202">
        <v>46179</v>
      </c>
      <c r="B95" s="203">
        <v>23</v>
      </c>
      <c r="C95" s="204">
        <v>0</v>
      </c>
      <c r="D95" s="204">
        <v>151.69999999999999</v>
      </c>
      <c r="E95" s="193">
        <v>0.59795033504138739</v>
      </c>
      <c r="F95" s="204">
        <v>0</v>
      </c>
      <c r="G95" s="204">
        <v>59.47</v>
      </c>
      <c r="H95" s="193">
        <v>0.23441072132439891</v>
      </c>
      <c r="I95" s="204">
        <v>0</v>
      </c>
      <c r="J95" s="204">
        <v>0</v>
      </c>
      <c r="K95" s="193">
        <v>0</v>
      </c>
    </row>
    <row r="96" spans="1:11">
      <c r="A96" s="202">
        <v>46180</v>
      </c>
      <c r="B96" s="203">
        <v>24</v>
      </c>
      <c r="C96" s="204">
        <v>0</v>
      </c>
      <c r="D96" s="204">
        <v>151.69999999999999</v>
      </c>
      <c r="E96" s="193">
        <v>0.59795033504138739</v>
      </c>
      <c r="F96" s="204">
        <v>0</v>
      </c>
      <c r="G96" s="204">
        <v>59.47</v>
      </c>
      <c r="H96" s="193">
        <v>0.23441072132439891</v>
      </c>
      <c r="I96" s="204">
        <v>0</v>
      </c>
      <c r="J96" s="204">
        <v>0</v>
      </c>
      <c r="K96" s="193">
        <v>0</v>
      </c>
    </row>
    <row r="97" spans="1:11">
      <c r="A97" s="202">
        <v>46181</v>
      </c>
      <c r="B97" s="203">
        <v>24</v>
      </c>
      <c r="C97" s="204">
        <v>4</v>
      </c>
      <c r="D97" s="204">
        <v>155.69999999999999</v>
      </c>
      <c r="E97" s="193">
        <v>0.61371698856917622</v>
      </c>
      <c r="F97" s="204">
        <v>0</v>
      </c>
      <c r="G97" s="204">
        <v>59.47</v>
      </c>
      <c r="H97" s="193">
        <v>0.23441072132439891</v>
      </c>
      <c r="I97" s="204">
        <v>0</v>
      </c>
      <c r="J97" s="204">
        <v>0</v>
      </c>
      <c r="K97" s="193">
        <v>0</v>
      </c>
    </row>
    <row r="98" spans="1:11">
      <c r="A98" s="202">
        <v>46182</v>
      </c>
      <c r="B98" s="203">
        <v>24</v>
      </c>
      <c r="C98" s="204">
        <v>4</v>
      </c>
      <c r="D98" s="204">
        <v>159.69999999999999</v>
      </c>
      <c r="E98" s="193">
        <v>0.62948364209696495</v>
      </c>
      <c r="F98" s="204">
        <v>0</v>
      </c>
      <c r="G98" s="204">
        <v>59.47</v>
      </c>
      <c r="H98" s="193">
        <v>0.23441072132439891</v>
      </c>
      <c r="I98" s="204">
        <v>0</v>
      </c>
      <c r="J98" s="204">
        <v>0</v>
      </c>
      <c r="K98" s="193">
        <v>0</v>
      </c>
    </row>
    <row r="99" spans="1:11">
      <c r="A99" s="202">
        <v>46183</v>
      </c>
      <c r="B99" s="203">
        <v>24</v>
      </c>
      <c r="C99" s="204">
        <v>4</v>
      </c>
      <c r="D99" s="204">
        <v>163.69999999999999</v>
      </c>
      <c r="E99" s="193">
        <v>0.64525029562475367</v>
      </c>
      <c r="F99" s="204">
        <v>0</v>
      </c>
      <c r="G99" s="204">
        <v>59.47</v>
      </c>
      <c r="H99" s="193">
        <v>0.23441072132439891</v>
      </c>
      <c r="I99" s="204">
        <v>0</v>
      </c>
      <c r="J99" s="204">
        <v>0</v>
      </c>
      <c r="K99" s="193">
        <v>0</v>
      </c>
    </row>
    <row r="100" spans="1:11">
      <c r="A100" s="202">
        <v>46184</v>
      </c>
      <c r="B100" s="203">
        <v>24</v>
      </c>
      <c r="C100" s="204">
        <v>4</v>
      </c>
      <c r="D100" s="204">
        <v>167.7</v>
      </c>
      <c r="E100" s="193">
        <v>0.66101694915254239</v>
      </c>
      <c r="F100" s="204">
        <v>0</v>
      </c>
      <c r="G100" s="204">
        <v>59.47</v>
      </c>
      <c r="H100" s="193">
        <v>0.23441072132439891</v>
      </c>
      <c r="I100" s="204">
        <v>0</v>
      </c>
      <c r="J100" s="204">
        <v>0</v>
      </c>
      <c r="K100" s="193">
        <v>0</v>
      </c>
    </row>
    <row r="101" spans="1:11">
      <c r="A101" s="202">
        <v>46185</v>
      </c>
      <c r="B101" s="203">
        <v>24</v>
      </c>
      <c r="C101" s="204">
        <v>4</v>
      </c>
      <c r="D101" s="204">
        <v>171.7</v>
      </c>
      <c r="E101" s="193">
        <v>0.67678360268033111</v>
      </c>
      <c r="F101" s="204">
        <v>0</v>
      </c>
      <c r="G101" s="204">
        <v>59.47</v>
      </c>
      <c r="H101" s="193">
        <v>0.23441072132439891</v>
      </c>
      <c r="I101" s="204">
        <v>0</v>
      </c>
      <c r="J101" s="204">
        <v>0</v>
      </c>
      <c r="K101" s="193">
        <v>0</v>
      </c>
    </row>
    <row r="102" spans="1:11">
      <c r="A102" s="202">
        <v>46186</v>
      </c>
      <c r="B102" s="203">
        <v>24</v>
      </c>
      <c r="C102" s="204">
        <v>0</v>
      </c>
      <c r="D102" s="204">
        <v>171.7</v>
      </c>
      <c r="E102" s="193">
        <v>0.67678360268033111</v>
      </c>
      <c r="F102" s="204">
        <v>0</v>
      </c>
      <c r="G102" s="204">
        <v>59.47</v>
      </c>
      <c r="H102" s="193">
        <v>0.23441072132439891</v>
      </c>
      <c r="I102" s="204">
        <v>0</v>
      </c>
      <c r="J102" s="204">
        <v>0</v>
      </c>
      <c r="K102" s="193">
        <v>0</v>
      </c>
    </row>
    <row r="103" spans="1:11">
      <c r="A103" s="202">
        <v>46187</v>
      </c>
      <c r="B103" s="203">
        <v>25</v>
      </c>
      <c r="C103" s="204">
        <v>0</v>
      </c>
      <c r="D103" s="204">
        <v>171.7</v>
      </c>
      <c r="E103" s="193">
        <v>0.67678360268033111</v>
      </c>
      <c r="F103" s="204">
        <v>0</v>
      </c>
      <c r="G103" s="204">
        <v>59.47</v>
      </c>
      <c r="H103" s="193">
        <v>0.23441072132439891</v>
      </c>
      <c r="I103" s="204">
        <v>0</v>
      </c>
      <c r="J103" s="204">
        <v>0</v>
      </c>
      <c r="K103" s="193">
        <v>0</v>
      </c>
    </row>
    <row r="104" spans="1:11">
      <c r="A104" s="202">
        <v>46188</v>
      </c>
      <c r="B104" s="203">
        <v>25</v>
      </c>
      <c r="C104" s="204">
        <v>4</v>
      </c>
      <c r="D104" s="204">
        <v>175.7</v>
      </c>
      <c r="E104" s="193">
        <v>0.69255025620811983</v>
      </c>
      <c r="F104" s="204">
        <v>0</v>
      </c>
      <c r="G104" s="204">
        <v>59.47</v>
      </c>
      <c r="H104" s="193">
        <v>0.23441072132439891</v>
      </c>
      <c r="I104" s="204">
        <v>0</v>
      </c>
      <c r="J104" s="204">
        <v>0</v>
      </c>
      <c r="K104" s="193">
        <v>0</v>
      </c>
    </row>
    <row r="105" spans="1:11">
      <c r="A105" s="202">
        <v>46189</v>
      </c>
      <c r="B105" s="203">
        <v>25</v>
      </c>
      <c r="C105" s="204">
        <v>4</v>
      </c>
      <c r="D105" s="204">
        <v>179.7</v>
      </c>
      <c r="E105" s="193">
        <v>0.70831690973590855</v>
      </c>
      <c r="F105" s="204">
        <v>0</v>
      </c>
      <c r="G105" s="204">
        <v>59.47</v>
      </c>
      <c r="H105" s="193">
        <v>0.23441072132439891</v>
      </c>
      <c r="I105" s="204">
        <v>0</v>
      </c>
      <c r="J105" s="204">
        <v>0</v>
      </c>
      <c r="K105" s="193">
        <v>0</v>
      </c>
    </row>
    <row r="106" spans="1:11">
      <c r="A106" s="202">
        <v>46190</v>
      </c>
      <c r="B106" s="203">
        <v>25</v>
      </c>
      <c r="C106" s="204">
        <v>4</v>
      </c>
      <c r="D106" s="204">
        <v>183.7</v>
      </c>
      <c r="E106" s="193">
        <v>0.72408356326369727</v>
      </c>
      <c r="F106" s="204">
        <v>0</v>
      </c>
      <c r="G106" s="204">
        <v>59.47</v>
      </c>
      <c r="H106" s="193">
        <v>0.23441072132439891</v>
      </c>
      <c r="I106" s="204">
        <v>0</v>
      </c>
      <c r="J106" s="204">
        <v>0</v>
      </c>
      <c r="K106" s="193">
        <v>0</v>
      </c>
    </row>
    <row r="107" spans="1:11">
      <c r="A107" s="202">
        <v>46191</v>
      </c>
      <c r="B107" s="203">
        <v>25</v>
      </c>
      <c r="C107" s="204">
        <v>5</v>
      </c>
      <c r="D107" s="204">
        <v>188.7</v>
      </c>
      <c r="E107" s="193">
        <v>0.74379188017343323</v>
      </c>
      <c r="F107" s="204">
        <v>0</v>
      </c>
      <c r="G107" s="204">
        <v>59.47</v>
      </c>
      <c r="H107" s="193">
        <v>0.23441072132439891</v>
      </c>
      <c r="I107" s="204">
        <v>0</v>
      </c>
      <c r="J107" s="204">
        <v>0</v>
      </c>
      <c r="K107" s="193">
        <v>0</v>
      </c>
    </row>
    <row r="108" spans="1:11">
      <c r="A108" s="202">
        <v>46192</v>
      </c>
      <c r="B108" s="203">
        <v>25</v>
      </c>
      <c r="C108" s="204">
        <v>5</v>
      </c>
      <c r="D108" s="204">
        <v>193.7</v>
      </c>
      <c r="E108" s="193">
        <v>0.76350019708316907</v>
      </c>
      <c r="F108" s="204">
        <v>0</v>
      </c>
      <c r="G108" s="204">
        <v>59.47</v>
      </c>
      <c r="H108" s="193">
        <v>0.23441072132439891</v>
      </c>
      <c r="I108" s="204">
        <v>0</v>
      </c>
      <c r="J108" s="204">
        <v>0</v>
      </c>
      <c r="K108" s="193">
        <v>0</v>
      </c>
    </row>
    <row r="109" spans="1:11">
      <c r="A109" s="202">
        <v>46193</v>
      </c>
      <c r="B109" s="203">
        <v>25</v>
      </c>
      <c r="C109" s="204">
        <v>0</v>
      </c>
      <c r="D109" s="204">
        <v>193.7</v>
      </c>
      <c r="E109" s="193">
        <v>0.76350019708316907</v>
      </c>
      <c r="F109" s="204">
        <v>0</v>
      </c>
      <c r="G109" s="204">
        <v>59.47</v>
      </c>
      <c r="H109" s="193">
        <v>0.23441072132439891</v>
      </c>
      <c r="I109" s="204">
        <v>0</v>
      </c>
      <c r="J109" s="204">
        <v>0</v>
      </c>
      <c r="K109" s="193">
        <v>0</v>
      </c>
    </row>
    <row r="110" spans="1:11">
      <c r="A110" s="202">
        <v>46194</v>
      </c>
      <c r="B110" s="203">
        <v>26</v>
      </c>
      <c r="C110" s="204">
        <v>0</v>
      </c>
      <c r="D110" s="204">
        <v>193.7</v>
      </c>
      <c r="E110" s="193">
        <v>0.76350019708316907</v>
      </c>
      <c r="F110" s="204">
        <v>0</v>
      </c>
      <c r="G110" s="204">
        <v>59.47</v>
      </c>
      <c r="H110" s="193">
        <v>0.23441072132439891</v>
      </c>
      <c r="I110" s="204">
        <v>0</v>
      </c>
      <c r="J110" s="204">
        <v>0</v>
      </c>
      <c r="K110" s="193">
        <v>0</v>
      </c>
    </row>
    <row r="111" spans="1:11">
      <c r="A111" s="202">
        <v>46195</v>
      </c>
      <c r="B111" s="203">
        <v>26</v>
      </c>
      <c r="C111" s="204">
        <v>5</v>
      </c>
      <c r="D111" s="204">
        <v>198.7</v>
      </c>
      <c r="E111" s="193">
        <v>0.78320851399290503</v>
      </c>
      <c r="F111" s="204">
        <v>0</v>
      </c>
      <c r="G111" s="204">
        <v>59.47</v>
      </c>
      <c r="H111" s="193">
        <v>0.23441072132439891</v>
      </c>
      <c r="I111" s="204">
        <v>0</v>
      </c>
      <c r="J111" s="204">
        <v>0</v>
      </c>
      <c r="K111" s="193">
        <v>0</v>
      </c>
    </row>
    <row r="112" spans="1:11">
      <c r="A112" s="202">
        <v>46196</v>
      </c>
      <c r="B112" s="203">
        <v>26</v>
      </c>
      <c r="C112" s="204">
        <v>5</v>
      </c>
      <c r="D112" s="204">
        <v>203.7</v>
      </c>
      <c r="E112" s="193">
        <v>0.80291683090264088</v>
      </c>
      <c r="F112" s="204">
        <v>0</v>
      </c>
      <c r="G112" s="204">
        <v>59.47</v>
      </c>
      <c r="H112" s="193">
        <v>0.23441072132439891</v>
      </c>
      <c r="I112" s="204">
        <v>0</v>
      </c>
      <c r="J112" s="204">
        <v>0</v>
      </c>
      <c r="K112" s="193">
        <v>0</v>
      </c>
    </row>
    <row r="113" spans="1:11">
      <c r="A113" s="202">
        <v>46197</v>
      </c>
      <c r="B113" s="203">
        <v>26</v>
      </c>
      <c r="C113" s="204">
        <v>5</v>
      </c>
      <c r="D113" s="204">
        <v>208.7</v>
      </c>
      <c r="E113" s="193">
        <v>0.82262514781237683</v>
      </c>
      <c r="F113" s="204">
        <v>0</v>
      </c>
      <c r="G113" s="204">
        <v>59.47</v>
      </c>
      <c r="H113" s="193">
        <v>0.23441072132439891</v>
      </c>
      <c r="I113" s="204">
        <v>0</v>
      </c>
      <c r="J113" s="204">
        <v>0</v>
      </c>
      <c r="K113" s="193">
        <v>0</v>
      </c>
    </row>
    <row r="114" spans="1:11">
      <c r="A114" s="202">
        <v>46198</v>
      </c>
      <c r="B114" s="203">
        <v>26</v>
      </c>
      <c r="C114" s="204">
        <v>5</v>
      </c>
      <c r="D114" s="204">
        <v>213.7</v>
      </c>
      <c r="E114" s="193">
        <v>0.84233346472211268</v>
      </c>
      <c r="F114" s="204">
        <v>0</v>
      </c>
      <c r="G114" s="204">
        <v>59.47</v>
      </c>
      <c r="H114" s="193">
        <v>0.23441072132439891</v>
      </c>
      <c r="I114" s="204">
        <v>0</v>
      </c>
      <c r="J114" s="204">
        <v>0</v>
      </c>
      <c r="K114" s="193">
        <v>0</v>
      </c>
    </row>
    <row r="115" spans="1:11">
      <c r="A115" s="202">
        <v>46199</v>
      </c>
      <c r="B115" s="203">
        <v>26</v>
      </c>
      <c r="C115" s="204">
        <v>4</v>
      </c>
      <c r="D115" s="204">
        <v>217.7</v>
      </c>
      <c r="E115" s="193">
        <v>0.8581001182499014</v>
      </c>
      <c r="F115" s="204">
        <v>0</v>
      </c>
      <c r="G115" s="204">
        <v>59.47</v>
      </c>
      <c r="H115" s="193">
        <v>0.23441072132439891</v>
      </c>
      <c r="I115" s="204">
        <v>0</v>
      </c>
      <c r="J115" s="204">
        <v>0</v>
      </c>
      <c r="K115" s="193">
        <v>0</v>
      </c>
    </row>
    <row r="116" spans="1:11">
      <c r="A116" s="202">
        <v>46200</v>
      </c>
      <c r="B116" s="203">
        <v>26</v>
      </c>
      <c r="C116" s="204">
        <v>0</v>
      </c>
      <c r="D116" s="204">
        <v>217.7</v>
      </c>
      <c r="E116" s="193">
        <v>0.8581001182499014</v>
      </c>
      <c r="F116" s="204">
        <v>0</v>
      </c>
      <c r="G116" s="204">
        <v>59.47</v>
      </c>
      <c r="H116" s="193">
        <v>0.23441072132439891</v>
      </c>
      <c r="I116" s="204">
        <v>0</v>
      </c>
      <c r="J116" s="204">
        <v>0</v>
      </c>
      <c r="K116" s="193">
        <v>0</v>
      </c>
    </row>
    <row r="117" spans="1:11">
      <c r="A117" s="202">
        <v>46201</v>
      </c>
      <c r="B117" s="203">
        <v>27</v>
      </c>
      <c r="C117" s="204">
        <v>0</v>
      </c>
      <c r="D117" s="204">
        <v>217.7</v>
      </c>
      <c r="E117" s="193">
        <v>0.8581001182499014</v>
      </c>
      <c r="F117" s="204">
        <v>0</v>
      </c>
      <c r="G117" s="204">
        <v>59.47</v>
      </c>
      <c r="H117" s="193">
        <v>0.23441072132439891</v>
      </c>
      <c r="I117" s="204">
        <v>0</v>
      </c>
      <c r="J117" s="204">
        <v>0</v>
      </c>
      <c r="K117" s="193">
        <v>0</v>
      </c>
    </row>
    <row r="118" spans="1:11">
      <c r="A118" s="202">
        <v>46202</v>
      </c>
      <c r="B118" s="203">
        <v>27</v>
      </c>
      <c r="C118" s="204">
        <v>4</v>
      </c>
      <c r="D118" s="204">
        <v>221.7</v>
      </c>
      <c r="E118" s="193">
        <v>0.87386677177769023</v>
      </c>
      <c r="F118" s="204">
        <v>0</v>
      </c>
      <c r="G118" s="204">
        <v>59.47</v>
      </c>
      <c r="H118" s="193">
        <v>0.23441072132439891</v>
      </c>
      <c r="I118" s="204">
        <v>0</v>
      </c>
      <c r="J118" s="204">
        <v>0</v>
      </c>
      <c r="K118" s="193">
        <v>0</v>
      </c>
    </row>
    <row r="119" spans="1:11">
      <c r="A119" s="202">
        <v>46203</v>
      </c>
      <c r="B119" s="203">
        <v>27</v>
      </c>
      <c r="C119" s="204">
        <v>1</v>
      </c>
      <c r="D119" s="204">
        <v>222.7</v>
      </c>
      <c r="E119" s="193">
        <v>0.87780843515963736</v>
      </c>
      <c r="F119" s="204">
        <v>0</v>
      </c>
      <c r="G119" s="204">
        <v>59.47</v>
      </c>
      <c r="H119" s="193">
        <v>0.23441072132439891</v>
      </c>
      <c r="I119" s="204">
        <v>0</v>
      </c>
      <c r="J119" s="204">
        <v>0</v>
      </c>
      <c r="K119" s="193">
        <v>0</v>
      </c>
    </row>
    <row r="120" spans="1:11">
      <c r="A120" s="202">
        <v>46204</v>
      </c>
      <c r="B120" s="203">
        <v>27</v>
      </c>
      <c r="C120" s="204">
        <v>1</v>
      </c>
      <c r="D120" s="204">
        <v>223.7</v>
      </c>
      <c r="E120" s="193">
        <v>0.88175009854158459</v>
      </c>
      <c r="F120" s="204">
        <v>0</v>
      </c>
      <c r="G120" s="204">
        <v>59.47</v>
      </c>
      <c r="H120" s="193">
        <v>0.23441072132439891</v>
      </c>
      <c r="I120" s="204">
        <v>0</v>
      </c>
      <c r="J120" s="204">
        <v>0</v>
      </c>
      <c r="K120" s="193">
        <v>0</v>
      </c>
    </row>
    <row r="121" spans="1:11">
      <c r="A121" s="202">
        <v>46205</v>
      </c>
      <c r="B121" s="203">
        <v>27</v>
      </c>
      <c r="C121" s="204">
        <v>1</v>
      </c>
      <c r="D121" s="204">
        <v>224.7</v>
      </c>
      <c r="E121" s="193">
        <v>0.88569176192353172</v>
      </c>
      <c r="F121" s="204">
        <v>0</v>
      </c>
      <c r="G121" s="204">
        <v>59.47</v>
      </c>
      <c r="H121" s="193">
        <v>0.23441072132439891</v>
      </c>
      <c r="I121" s="204">
        <v>0</v>
      </c>
      <c r="J121" s="204">
        <v>0</v>
      </c>
      <c r="K121" s="193">
        <v>0</v>
      </c>
    </row>
    <row r="122" spans="1:11">
      <c r="A122" s="202">
        <v>46206</v>
      </c>
      <c r="B122" s="203">
        <v>27</v>
      </c>
      <c r="C122" s="204">
        <v>1</v>
      </c>
      <c r="D122" s="204">
        <v>225.7</v>
      </c>
      <c r="E122" s="193">
        <v>0.88963342530547895</v>
      </c>
      <c r="F122" s="204">
        <v>0</v>
      </c>
      <c r="G122" s="204">
        <v>59.47</v>
      </c>
      <c r="H122" s="193">
        <v>0.23441072132439891</v>
      </c>
      <c r="I122" s="204">
        <v>0</v>
      </c>
      <c r="J122" s="204">
        <v>0</v>
      </c>
      <c r="K122" s="193">
        <v>0</v>
      </c>
    </row>
    <row r="123" spans="1:11">
      <c r="A123" s="202">
        <v>46207</v>
      </c>
      <c r="B123" s="203">
        <v>27</v>
      </c>
      <c r="C123" s="204">
        <v>0</v>
      </c>
      <c r="D123" s="204">
        <v>225.7</v>
      </c>
      <c r="E123" s="193">
        <v>0.88963342530547895</v>
      </c>
      <c r="F123" s="204">
        <v>0</v>
      </c>
      <c r="G123" s="204">
        <v>59.47</v>
      </c>
      <c r="H123" s="193">
        <v>0.23441072132439891</v>
      </c>
      <c r="I123" s="204">
        <v>0</v>
      </c>
      <c r="J123" s="204">
        <v>0</v>
      </c>
      <c r="K123" s="193">
        <v>0</v>
      </c>
    </row>
    <row r="124" spans="1:11">
      <c r="A124" s="202">
        <v>46208</v>
      </c>
      <c r="B124" s="203">
        <v>28</v>
      </c>
      <c r="C124" s="204">
        <v>0</v>
      </c>
      <c r="D124" s="204">
        <v>225.7</v>
      </c>
      <c r="E124" s="193">
        <v>0.88963342530547895</v>
      </c>
      <c r="F124" s="204">
        <v>0</v>
      </c>
      <c r="G124" s="204">
        <v>59.47</v>
      </c>
      <c r="H124" s="193">
        <v>0.23441072132439891</v>
      </c>
      <c r="I124" s="204">
        <v>0</v>
      </c>
      <c r="J124" s="204">
        <v>0</v>
      </c>
      <c r="K124" s="193">
        <v>0</v>
      </c>
    </row>
    <row r="125" spans="1:11">
      <c r="A125" s="202">
        <v>46209</v>
      </c>
      <c r="B125" s="203">
        <v>28</v>
      </c>
      <c r="C125" s="204">
        <v>1</v>
      </c>
      <c r="D125" s="204">
        <v>226.7</v>
      </c>
      <c r="E125" s="193">
        <v>0.89357508868742608</v>
      </c>
      <c r="F125" s="204">
        <v>0</v>
      </c>
      <c r="G125" s="204">
        <v>59.47</v>
      </c>
      <c r="H125" s="193">
        <v>0.23441072132439891</v>
      </c>
      <c r="I125" s="204">
        <v>0</v>
      </c>
      <c r="J125" s="204">
        <v>0</v>
      </c>
      <c r="K125" s="193">
        <v>0</v>
      </c>
    </row>
    <row r="126" spans="1:11">
      <c r="A126" s="202">
        <v>46210</v>
      </c>
      <c r="B126" s="203">
        <v>28</v>
      </c>
      <c r="C126" s="204">
        <v>0</v>
      </c>
      <c r="D126" s="204">
        <v>226.7</v>
      </c>
      <c r="E126" s="193">
        <v>0.89357508868742608</v>
      </c>
      <c r="F126" s="204">
        <v>0</v>
      </c>
      <c r="G126" s="204">
        <v>59.47</v>
      </c>
      <c r="H126" s="193">
        <v>0.23441072132439891</v>
      </c>
      <c r="I126" s="204">
        <v>0</v>
      </c>
      <c r="J126" s="204">
        <v>0</v>
      </c>
      <c r="K126" s="193">
        <v>0</v>
      </c>
    </row>
    <row r="127" spans="1:11">
      <c r="A127" s="202">
        <v>46211</v>
      </c>
      <c r="B127" s="203">
        <v>28</v>
      </c>
      <c r="C127" s="204">
        <v>0</v>
      </c>
      <c r="D127" s="204">
        <v>226.7</v>
      </c>
      <c r="E127" s="193">
        <v>0.89357508868742608</v>
      </c>
      <c r="F127" s="204">
        <v>0</v>
      </c>
      <c r="G127" s="204">
        <v>59.47</v>
      </c>
      <c r="H127" s="193">
        <v>0.23441072132439891</v>
      </c>
      <c r="I127" s="204">
        <v>0</v>
      </c>
      <c r="J127" s="204">
        <v>0</v>
      </c>
      <c r="K127" s="193">
        <v>0</v>
      </c>
    </row>
    <row r="128" spans="1:11">
      <c r="A128" s="202">
        <v>46212</v>
      </c>
      <c r="B128" s="203">
        <v>28</v>
      </c>
      <c r="C128" s="204">
        <v>3</v>
      </c>
      <c r="D128" s="204">
        <v>229.7</v>
      </c>
      <c r="E128" s="193">
        <v>0.90540007883326767</v>
      </c>
      <c r="F128" s="204">
        <v>0</v>
      </c>
      <c r="G128" s="204">
        <v>59.47</v>
      </c>
      <c r="H128" s="193">
        <v>0.23441072132439891</v>
      </c>
      <c r="I128" s="204">
        <v>0</v>
      </c>
      <c r="J128" s="204">
        <v>0</v>
      </c>
      <c r="K128" s="193">
        <v>0</v>
      </c>
    </row>
    <row r="129" spans="1:11">
      <c r="A129" s="202">
        <v>46213</v>
      </c>
      <c r="B129" s="203">
        <v>28</v>
      </c>
      <c r="C129" s="204">
        <v>3</v>
      </c>
      <c r="D129" s="204">
        <v>232.7</v>
      </c>
      <c r="E129" s="193">
        <v>0.91722506897910916</v>
      </c>
      <c r="F129" s="204">
        <v>0</v>
      </c>
      <c r="G129" s="204">
        <v>59.47</v>
      </c>
      <c r="H129" s="193">
        <v>0.23441072132439891</v>
      </c>
      <c r="I129" s="204">
        <v>0</v>
      </c>
      <c r="J129" s="204">
        <v>0</v>
      </c>
      <c r="K129" s="193">
        <v>0</v>
      </c>
    </row>
    <row r="130" spans="1:11">
      <c r="A130" s="202">
        <v>46214</v>
      </c>
      <c r="B130" s="203">
        <v>28</v>
      </c>
      <c r="C130" s="204">
        <v>0</v>
      </c>
      <c r="D130" s="204">
        <v>232.7</v>
      </c>
      <c r="E130" s="193">
        <v>0.91722506897910916</v>
      </c>
      <c r="F130" s="204">
        <v>0</v>
      </c>
      <c r="G130" s="204">
        <v>59.47</v>
      </c>
      <c r="H130" s="193">
        <v>0.23441072132439891</v>
      </c>
      <c r="I130" s="204">
        <v>0</v>
      </c>
      <c r="J130" s="204">
        <v>0</v>
      </c>
      <c r="K130" s="193">
        <v>0</v>
      </c>
    </row>
    <row r="131" spans="1:11">
      <c r="A131" s="202">
        <v>46215</v>
      </c>
      <c r="B131" s="203">
        <v>29</v>
      </c>
      <c r="C131" s="204">
        <v>0</v>
      </c>
      <c r="D131" s="204">
        <v>232.7</v>
      </c>
      <c r="E131" s="193">
        <v>0.91722506897910916</v>
      </c>
      <c r="F131" s="204">
        <v>0</v>
      </c>
      <c r="G131" s="204">
        <v>59.47</v>
      </c>
      <c r="H131" s="193">
        <v>0.23441072132439891</v>
      </c>
      <c r="I131" s="204">
        <v>0</v>
      </c>
      <c r="J131" s="204">
        <v>0</v>
      </c>
      <c r="K131" s="193">
        <v>0</v>
      </c>
    </row>
    <row r="132" spans="1:11">
      <c r="A132" s="202">
        <v>46216</v>
      </c>
      <c r="B132" s="203">
        <v>29</v>
      </c>
      <c r="C132" s="204">
        <v>3</v>
      </c>
      <c r="D132" s="204">
        <v>235.7</v>
      </c>
      <c r="E132" s="193">
        <v>0.92905005912495076</v>
      </c>
      <c r="F132" s="204">
        <v>0</v>
      </c>
      <c r="G132" s="204">
        <v>59.47</v>
      </c>
      <c r="H132" s="193">
        <v>0.23441072132439891</v>
      </c>
      <c r="I132" s="204">
        <v>0</v>
      </c>
      <c r="J132" s="204">
        <v>0</v>
      </c>
      <c r="K132" s="193">
        <v>0</v>
      </c>
    </row>
    <row r="133" spans="1:11">
      <c r="A133" s="202">
        <v>46217</v>
      </c>
      <c r="B133" s="203">
        <v>29</v>
      </c>
      <c r="C133" s="204">
        <v>0</v>
      </c>
      <c r="D133" s="204">
        <v>235.7</v>
      </c>
      <c r="E133" s="193">
        <v>0.92905005912495076</v>
      </c>
      <c r="F133" s="204">
        <v>0</v>
      </c>
      <c r="G133" s="204">
        <v>59.47</v>
      </c>
      <c r="H133" s="193">
        <v>0.23441072132439891</v>
      </c>
      <c r="I133" s="204">
        <v>0</v>
      </c>
      <c r="J133" s="204">
        <v>0</v>
      </c>
      <c r="K133" s="193">
        <v>0</v>
      </c>
    </row>
    <row r="134" spans="1:11">
      <c r="A134" s="202">
        <v>46218</v>
      </c>
      <c r="B134" s="203">
        <v>29</v>
      </c>
      <c r="C134" s="204">
        <v>0</v>
      </c>
      <c r="D134" s="204">
        <v>235.7</v>
      </c>
      <c r="E134" s="193">
        <v>0.92905005912495076</v>
      </c>
      <c r="F134" s="204">
        <v>0</v>
      </c>
      <c r="G134" s="204">
        <v>59.47</v>
      </c>
      <c r="H134" s="193">
        <v>0.23441072132439891</v>
      </c>
      <c r="I134" s="204">
        <v>0</v>
      </c>
      <c r="J134" s="204">
        <v>0</v>
      </c>
      <c r="K134" s="193">
        <v>0</v>
      </c>
    </row>
    <row r="135" spans="1:11">
      <c r="A135" s="202">
        <v>46219</v>
      </c>
      <c r="B135" s="203">
        <v>29</v>
      </c>
      <c r="C135" s="204">
        <v>2</v>
      </c>
      <c r="D135" s="204">
        <v>237.7</v>
      </c>
      <c r="E135" s="193">
        <v>0.93693338588884512</v>
      </c>
      <c r="F135" s="204">
        <v>0</v>
      </c>
      <c r="G135" s="204">
        <v>59.47</v>
      </c>
      <c r="H135" s="193">
        <v>0.23441072132439891</v>
      </c>
      <c r="I135" s="204">
        <v>0</v>
      </c>
      <c r="J135" s="204">
        <v>0</v>
      </c>
      <c r="K135" s="193">
        <v>0</v>
      </c>
    </row>
    <row r="136" spans="1:11">
      <c r="A136" s="202">
        <v>46220</v>
      </c>
      <c r="B136" s="203">
        <v>29</v>
      </c>
      <c r="C136" s="204">
        <v>0</v>
      </c>
      <c r="D136" s="204">
        <v>237.7</v>
      </c>
      <c r="E136" s="193">
        <v>0.93693338588884512</v>
      </c>
      <c r="F136" s="204">
        <v>0</v>
      </c>
      <c r="G136" s="204">
        <v>59.47</v>
      </c>
      <c r="H136" s="193">
        <v>0.23441072132439891</v>
      </c>
      <c r="I136" s="204">
        <v>0</v>
      </c>
      <c r="J136" s="204">
        <v>0</v>
      </c>
      <c r="K136" s="193">
        <v>0</v>
      </c>
    </row>
    <row r="137" spans="1:11">
      <c r="A137" s="202">
        <v>46221</v>
      </c>
      <c r="B137" s="203">
        <v>29</v>
      </c>
      <c r="C137" s="204">
        <v>0</v>
      </c>
      <c r="D137" s="204">
        <v>237.7</v>
      </c>
      <c r="E137" s="193">
        <v>0.93693338588884512</v>
      </c>
      <c r="F137" s="204">
        <v>0</v>
      </c>
      <c r="G137" s="204">
        <v>59.47</v>
      </c>
      <c r="H137" s="193">
        <v>0.23441072132439891</v>
      </c>
      <c r="I137" s="204">
        <v>0</v>
      </c>
      <c r="J137" s="204">
        <v>0</v>
      </c>
      <c r="K137" s="193">
        <v>0</v>
      </c>
    </row>
    <row r="138" spans="1:11">
      <c r="A138" s="202">
        <v>46222</v>
      </c>
      <c r="B138" s="203">
        <v>30</v>
      </c>
      <c r="C138" s="204">
        <v>0</v>
      </c>
      <c r="D138" s="204">
        <v>237.7</v>
      </c>
      <c r="E138" s="193">
        <v>0.93693338588884512</v>
      </c>
      <c r="F138" s="204">
        <v>0</v>
      </c>
      <c r="G138" s="204">
        <v>59.47</v>
      </c>
      <c r="H138" s="193">
        <v>0.23441072132439891</v>
      </c>
      <c r="I138" s="204">
        <v>0</v>
      </c>
      <c r="J138" s="204">
        <v>0</v>
      </c>
      <c r="K138" s="193">
        <v>0</v>
      </c>
    </row>
    <row r="139" spans="1:11">
      <c r="A139" s="202">
        <v>46223</v>
      </c>
      <c r="B139" s="203">
        <v>30</v>
      </c>
      <c r="C139" s="204">
        <v>1</v>
      </c>
      <c r="D139" s="204">
        <v>238.7</v>
      </c>
      <c r="E139" s="193">
        <v>0.94087504927079224</v>
      </c>
      <c r="F139" s="204">
        <v>0</v>
      </c>
      <c r="G139" s="204">
        <v>59.47</v>
      </c>
      <c r="H139" s="193">
        <v>0.23441072132439891</v>
      </c>
      <c r="I139" s="204">
        <v>0</v>
      </c>
      <c r="J139" s="204">
        <v>0</v>
      </c>
      <c r="K139" s="193">
        <v>0</v>
      </c>
    </row>
    <row r="140" spans="1:11">
      <c r="A140" s="202">
        <v>46224</v>
      </c>
      <c r="B140" s="203">
        <v>30</v>
      </c>
      <c r="C140" s="204">
        <v>1</v>
      </c>
      <c r="D140" s="204">
        <v>239.7</v>
      </c>
      <c r="E140" s="193">
        <v>0.94481671265273948</v>
      </c>
      <c r="F140" s="204">
        <v>0</v>
      </c>
      <c r="G140" s="204">
        <v>59.47</v>
      </c>
      <c r="H140" s="193">
        <v>0.23441072132439891</v>
      </c>
      <c r="I140" s="204">
        <v>0</v>
      </c>
      <c r="J140" s="204">
        <v>0</v>
      </c>
      <c r="K140" s="193">
        <v>0</v>
      </c>
    </row>
    <row r="141" spans="1:11">
      <c r="A141" s="202">
        <v>46225</v>
      </c>
      <c r="B141" s="203">
        <v>30</v>
      </c>
      <c r="C141" s="204">
        <v>1</v>
      </c>
      <c r="D141" s="204">
        <v>240.7</v>
      </c>
      <c r="E141" s="193">
        <v>0.9487583760346866</v>
      </c>
      <c r="F141" s="204">
        <v>0</v>
      </c>
      <c r="G141" s="204">
        <v>59.47</v>
      </c>
      <c r="H141" s="193">
        <v>0.23441072132439891</v>
      </c>
      <c r="I141" s="204">
        <v>0</v>
      </c>
      <c r="J141" s="204">
        <v>0</v>
      </c>
      <c r="K141" s="193">
        <v>0</v>
      </c>
    </row>
    <row r="142" spans="1:11">
      <c r="A142" s="202">
        <v>46226</v>
      </c>
      <c r="B142" s="203">
        <v>30</v>
      </c>
      <c r="C142" s="204">
        <v>2</v>
      </c>
      <c r="D142" s="204">
        <v>242.7</v>
      </c>
      <c r="E142" s="193">
        <v>0.95664170279858096</v>
      </c>
      <c r="F142" s="204">
        <v>0</v>
      </c>
      <c r="G142" s="204">
        <v>59.47</v>
      </c>
      <c r="H142" s="193">
        <v>0.23441072132439891</v>
      </c>
      <c r="I142" s="204">
        <v>0</v>
      </c>
      <c r="J142" s="204">
        <v>0</v>
      </c>
      <c r="K142" s="193">
        <v>0</v>
      </c>
    </row>
    <row r="143" spans="1:11">
      <c r="A143" s="202">
        <v>46227</v>
      </c>
      <c r="B143" s="203">
        <v>30</v>
      </c>
      <c r="C143" s="204">
        <v>2</v>
      </c>
      <c r="D143" s="204">
        <v>244.7</v>
      </c>
      <c r="E143" s="193">
        <v>0.96452502956247532</v>
      </c>
      <c r="F143" s="204">
        <v>0</v>
      </c>
      <c r="G143" s="204">
        <v>59.47</v>
      </c>
      <c r="H143" s="193">
        <v>0.23441072132439891</v>
      </c>
      <c r="I143" s="204">
        <v>0</v>
      </c>
      <c r="J143" s="204">
        <v>0</v>
      </c>
      <c r="K143" s="193">
        <v>0</v>
      </c>
    </row>
    <row r="144" spans="1:11">
      <c r="A144" s="202">
        <v>46228</v>
      </c>
      <c r="B144" s="203">
        <v>30</v>
      </c>
      <c r="C144" s="204">
        <v>0</v>
      </c>
      <c r="D144" s="204">
        <v>244.7</v>
      </c>
      <c r="E144" s="193">
        <v>0.96452502956247532</v>
      </c>
      <c r="F144" s="204">
        <v>0</v>
      </c>
      <c r="G144" s="204">
        <v>59.47</v>
      </c>
      <c r="H144" s="193">
        <v>0.23441072132439891</v>
      </c>
      <c r="I144" s="204">
        <v>0</v>
      </c>
      <c r="J144" s="204">
        <v>0</v>
      </c>
      <c r="K144" s="193">
        <v>0</v>
      </c>
    </row>
    <row r="145" spans="1:11">
      <c r="A145" s="202">
        <v>46229</v>
      </c>
      <c r="B145" s="203">
        <v>31</v>
      </c>
      <c r="C145" s="204">
        <v>0</v>
      </c>
      <c r="D145" s="204">
        <v>244.7</v>
      </c>
      <c r="E145" s="193">
        <v>0.96452502956247532</v>
      </c>
      <c r="F145" s="204">
        <v>0</v>
      </c>
      <c r="G145" s="204">
        <v>59.47</v>
      </c>
      <c r="H145" s="193">
        <v>0.23441072132439891</v>
      </c>
      <c r="I145" s="204">
        <v>0</v>
      </c>
      <c r="J145" s="204">
        <v>0</v>
      </c>
      <c r="K145" s="193">
        <v>0</v>
      </c>
    </row>
    <row r="146" spans="1:11">
      <c r="A146" s="202">
        <v>46230</v>
      </c>
      <c r="B146" s="203">
        <v>31</v>
      </c>
      <c r="C146" s="204">
        <v>2</v>
      </c>
      <c r="D146" s="204">
        <v>246.7</v>
      </c>
      <c r="E146" s="193">
        <v>0.97240835632636968</v>
      </c>
      <c r="F146" s="204">
        <v>0</v>
      </c>
      <c r="G146" s="204">
        <v>59.47</v>
      </c>
      <c r="H146" s="193">
        <v>0.23441072132439891</v>
      </c>
      <c r="I146" s="204">
        <v>0</v>
      </c>
      <c r="J146" s="204">
        <v>0</v>
      </c>
      <c r="K146" s="193">
        <v>0</v>
      </c>
    </row>
    <row r="147" spans="1:11">
      <c r="A147" s="202">
        <v>46231</v>
      </c>
      <c r="B147" s="203">
        <v>31</v>
      </c>
      <c r="C147" s="204">
        <v>1</v>
      </c>
      <c r="D147" s="204">
        <v>247.7</v>
      </c>
      <c r="E147" s="193">
        <v>0.97635001970831692</v>
      </c>
      <c r="F147" s="204">
        <v>0</v>
      </c>
      <c r="G147" s="204">
        <v>59.47</v>
      </c>
      <c r="H147" s="193">
        <v>0.23441072132439891</v>
      </c>
      <c r="I147" s="204">
        <v>0</v>
      </c>
      <c r="J147" s="204">
        <v>0</v>
      </c>
      <c r="K147" s="193">
        <v>0</v>
      </c>
    </row>
    <row r="148" spans="1:11">
      <c r="A148" s="202">
        <v>46232</v>
      </c>
      <c r="B148" s="203">
        <v>31</v>
      </c>
      <c r="C148" s="204">
        <v>1</v>
      </c>
      <c r="D148" s="204">
        <v>248.7</v>
      </c>
      <c r="E148" s="193">
        <v>0.98029168309026404</v>
      </c>
      <c r="F148" s="204">
        <v>0</v>
      </c>
      <c r="G148" s="204">
        <v>59.47</v>
      </c>
      <c r="H148" s="193">
        <v>0.23441072132439891</v>
      </c>
      <c r="I148" s="204">
        <v>0</v>
      </c>
      <c r="J148" s="204">
        <v>0</v>
      </c>
      <c r="K148" s="193">
        <v>0</v>
      </c>
    </row>
    <row r="149" spans="1:11">
      <c r="A149" s="202">
        <v>46233</v>
      </c>
      <c r="B149" s="203">
        <v>31</v>
      </c>
      <c r="C149" s="204">
        <v>1</v>
      </c>
      <c r="D149" s="204">
        <v>249.7</v>
      </c>
      <c r="E149" s="193">
        <v>0.98423334647221128</v>
      </c>
      <c r="F149" s="204">
        <v>0</v>
      </c>
      <c r="G149" s="204">
        <v>59.47</v>
      </c>
      <c r="H149" s="193">
        <v>0.23441072132439891</v>
      </c>
      <c r="I149" s="204">
        <v>0</v>
      </c>
      <c r="J149" s="204">
        <v>0</v>
      </c>
      <c r="K149" s="193">
        <v>0</v>
      </c>
    </row>
    <row r="150" spans="1:11">
      <c r="A150" s="202">
        <v>46234</v>
      </c>
      <c r="B150" s="203">
        <v>31</v>
      </c>
      <c r="C150" s="204">
        <v>1</v>
      </c>
      <c r="D150" s="204">
        <v>250.7</v>
      </c>
      <c r="E150" s="193">
        <v>0.9881750098541584</v>
      </c>
      <c r="F150" s="204">
        <v>0</v>
      </c>
      <c r="G150" s="204">
        <v>59.47</v>
      </c>
      <c r="H150" s="193">
        <v>0.23441072132439891</v>
      </c>
      <c r="I150" s="204">
        <v>0</v>
      </c>
      <c r="J150" s="204">
        <v>0</v>
      </c>
      <c r="K150" s="193">
        <v>0</v>
      </c>
    </row>
    <row r="151" spans="1:11">
      <c r="A151" s="202">
        <v>46235</v>
      </c>
      <c r="B151" s="203">
        <v>31</v>
      </c>
      <c r="C151" s="204">
        <v>0</v>
      </c>
      <c r="D151" s="204">
        <v>250.7</v>
      </c>
      <c r="E151" s="193">
        <v>0.9881750098541584</v>
      </c>
      <c r="F151" s="204">
        <v>0</v>
      </c>
      <c r="G151" s="204">
        <v>59.47</v>
      </c>
      <c r="H151" s="193">
        <v>0.23441072132439891</v>
      </c>
      <c r="I151" s="204">
        <v>0</v>
      </c>
      <c r="J151" s="204">
        <v>0</v>
      </c>
      <c r="K151" s="193">
        <v>0</v>
      </c>
    </row>
    <row r="152" spans="1:11">
      <c r="A152" s="202">
        <v>46236</v>
      </c>
      <c r="B152" s="203">
        <v>32</v>
      </c>
      <c r="C152" s="204">
        <v>0</v>
      </c>
      <c r="D152" s="204">
        <v>250.7</v>
      </c>
      <c r="E152" s="193">
        <v>0.9881750098541584</v>
      </c>
      <c r="F152" s="204">
        <v>0</v>
      </c>
      <c r="G152" s="204">
        <v>59.47</v>
      </c>
      <c r="H152" s="193">
        <v>0.23441072132439891</v>
      </c>
      <c r="I152" s="204">
        <v>0</v>
      </c>
      <c r="J152" s="204">
        <v>0</v>
      </c>
      <c r="K152" s="193">
        <v>0</v>
      </c>
    </row>
    <row r="153" spans="1:11">
      <c r="A153" s="202">
        <v>46237</v>
      </c>
      <c r="B153" s="203">
        <v>32</v>
      </c>
      <c r="C153" s="204">
        <v>3</v>
      </c>
      <c r="D153" s="204">
        <v>253.7</v>
      </c>
      <c r="E153" s="193">
        <v>1</v>
      </c>
      <c r="F153" s="204">
        <v>0</v>
      </c>
      <c r="G153" s="204">
        <v>59.47</v>
      </c>
      <c r="H153" s="193">
        <v>0.23441072132439891</v>
      </c>
      <c r="I153" s="204">
        <v>0</v>
      </c>
      <c r="J153" s="204">
        <v>0</v>
      </c>
      <c r="K153" s="193">
        <v>0</v>
      </c>
    </row>
    <row r="154" spans="1:11">
      <c r="A154" s="202">
        <v>46238</v>
      </c>
      <c r="B154" s="203">
        <v>32</v>
      </c>
      <c r="C154" s="204">
        <v>0</v>
      </c>
      <c r="D154" s="204">
        <v>253.7</v>
      </c>
      <c r="E154" s="193">
        <v>1</v>
      </c>
      <c r="F154" s="204">
        <v>0</v>
      </c>
      <c r="G154" s="204">
        <v>59.47</v>
      </c>
      <c r="H154" s="193">
        <v>0.23441072132439891</v>
      </c>
      <c r="I154" s="204">
        <v>0</v>
      </c>
      <c r="J154" s="204">
        <v>0</v>
      </c>
      <c r="K154" s="193">
        <v>0</v>
      </c>
    </row>
    <row r="155" spans="1:11">
      <c r="A155" s="202">
        <v>46239</v>
      </c>
      <c r="B155" s="203">
        <v>32</v>
      </c>
      <c r="C155" s="204">
        <v>0</v>
      </c>
      <c r="D155" s="204">
        <v>253.7</v>
      </c>
      <c r="E155" s="193">
        <v>1</v>
      </c>
      <c r="F155" s="204">
        <v>0</v>
      </c>
      <c r="G155" s="204">
        <v>59.47</v>
      </c>
      <c r="H155" s="193">
        <v>0.23441072132439891</v>
      </c>
      <c r="I155" s="204">
        <v>0</v>
      </c>
      <c r="J155" s="204">
        <v>0</v>
      </c>
      <c r="K155" s="193">
        <v>0</v>
      </c>
    </row>
    <row r="156" spans="1:11">
      <c r="A156" s="202">
        <v>46240</v>
      </c>
      <c r="B156" s="203">
        <v>32</v>
      </c>
      <c r="C156" s="204">
        <v>0</v>
      </c>
      <c r="D156" s="204">
        <v>253.7</v>
      </c>
      <c r="E156" s="193">
        <v>1</v>
      </c>
      <c r="F156" s="204">
        <v>0</v>
      </c>
      <c r="G156" s="204">
        <v>59.47</v>
      </c>
      <c r="H156" s="193">
        <v>0.23441072132439891</v>
      </c>
      <c r="I156" s="204">
        <v>0</v>
      </c>
      <c r="J156" s="204">
        <v>0</v>
      </c>
      <c r="K156" s="193">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I288"/>
  <sheetViews>
    <sheetView showGridLines="0" zoomScale="85" zoomScaleNormal="85" workbookViewId="0">
      <pane ySplit="1" topLeftCell="A3" activePane="bottomLeft" state="frozenSplit"/>
      <selection pane="bottomLeft" activeCell="B25" sqref="B25"/>
    </sheetView>
  </sheetViews>
  <sheetFormatPr baseColWidth="10" defaultColWidth="10" defaultRowHeight="15"/>
  <cols>
    <col min="1" max="1" width="31.6640625" style="62" customWidth="1"/>
    <col min="2" max="2" width="14.5" style="62" customWidth="1"/>
    <col min="3" max="3" width="7.6640625" style="62" customWidth="1"/>
    <col min="4" max="4" width="21.5" style="62" customWidth="1"/>
    <col min="5" max="5" width="14.1640625" style="62" customWidth="1"/>
    <col min="6" max="6" width="11.6640625" style="62" bestFit="1" customWidth="1"/>
    <col min="7" max="7" width="24.1640625" style="62" customWidth="1"/>
    <col min="8" max="8" width="18.33203125" style="62" bestFit="1" customWidth="1"/>
    <col min="9" max="9" width="11.1640625" style="62" bestFit="1" customWidth="1"/>
    <col min="10" max="10" width="27.33203125" style="62" bestFit="1" customWidth="1"/>
    <col min="11" max="19" width="10" style="62"/>
    <col min="20" max="23" width="10" style="62" customWidth="1"/>
    <col min="24" max="26" width="10" style="62"/>
    <col min="27" max="27" width="0" style="62" hidden="1" customWidth="1"/>
    <col min="28" max="16384" width="10" style="62"/>
  </cols>
  <sheetData>
    <row r="1" spans="1:9" ht="37" customHeight="1">
      <c r="A1" s="1" t="s">
        <v>1605</v>
      </c>
      <c r="B1" s="1"/>
      <c r="C1" s="1"/>
      <c r="D1" s="1"/>
      <c r="E1" s="1"/>
      <c r="F1" s="1"/>
      <c r="G1" s="1"/>
      <c r="H1" s="1"/>
    </row>
    <row r="2" spans="1:9" s="63" customFormat="1" ht="78.75" customHeight="1">
      <c r="A2" s="289" t="s">
        <v>1606</v>
      </c>
      <c r="B2" s="290"/>
      <c r="C2" s="290"/>
      <c r="D2" s="290"/>
      <c r="E2" s="290"/>
      <c r="F2" s="290"/>
      <c r="G2" s="290"/>
      <c r="H2" s="290"/>
    </row>
    <row r="3" spans="1:9" s="63" customFormat="1" ht="24.75" customHeight="1">
      <c r="A3" s="291" t="s">
        <v>1607</v>
      </c>
      <c r="B3" s="291"/>
      <c r="D3" s="291" t="s">
        <v>1608</v>
      </c>
      <c r="E3" s="291"/>
      <c r="G3" s="291" t="s">
        <v>1609</v>
      </c>
      <c r="H3" s="291"/>
    </row>
    <row r="4" spans="1:9" s="65" customFormat="1" ht="19.5" customHeight="1">
      <c r="A4" s="64" t="s">
        <v>1610</v>
      </c>
      <c r="B4" s="64" t="s">
        <v>1611</v>
      </c>
      <c r="D4" s="64" t="s">
        <v>1610</v>
      </c>
      <c r="E4" s="64" t="s">
        <v>1611</v>
      </c>
      <c r="G4" s="64" t="s">
        <v>1610</v>
      </c>
      <c r="H4" s="64" t="s">
        <v>1611</v>
      </c>
    </row>
    <row r="5" spans="1:9" s="73" customFormat="1" ht="17">
      <c r="A5" s="71" t="s">
        <v>1420</v>
      </c>
      <c r="B5" s="72">
        <v>46023</v>
      </c>
      <c r="C5" s="73" t="str">
        <f t="shared" ref="C5:C51" si="0">IF(B5&gt;0,TEXT(B5,"(aaa)"),"")</f>
        <v>(목)</v>
      </c>
      <c r="D5" s="71"/>
      <c r="E5" s="72"/>
      <c r="F5" s="73" t="str">
        <f t="shared" ref="F5:F51" si="1">IF(E5&gt;0,TEXT(E5,"(aaa)"),"")</f>
        <v/>
      </c>
      <c r="G5" s="71"/>
      <c r="H5" s="72"/>
      <c r="I5" s="73" t="str">
        <f t="shared" ref="I5:I51" si="2">IF(H5&gt;0,TEXT(H5,"(aaa)"),"")</f>
        <v/>
      </c>
    </row>
    <row r="6" spans="1:9" s="73" customFormat="1" ht="17">
      <c r="A6" s="71" t="s">
        <v>1415</v>
      </c>
      <c r="B6" s="72">
        <v>46069</v>
      </c>
      <c r="C6" s="73" t="str">
        <f t="shared" si="0"/>
        <v>(월)</v>
      </c>
      <c r="D6" s="71"/>
      <c r="E6" s="72"/>
      <c r="F6" s="73" t="str">
        <f t="shared" si="1"/>
        <v/>
      </c>
      <c r="G6" s="71"/>
      <c r="H6" s="72"/>
      <c r="I6" s="73" t="str">
        <f t="shared" si="2"/>
        <v/>
      </c>
    </row>
    <row r="7" spans="1:9" s="73" customFormat="1" ht="17">
      <c r="A7" s="71" t="s">
        <v>1414</v>
      </c>
      <c r="B7" s="72">
        <v>46070</v>
      </c>
      <c r="C7" s="73" t="str">
        <f t="shared" si="0"/>
        <v>(화)</v>
      </c>
      <c r="D7" s="71"/>
      <c r="E7" s="72"/>
      <c r="F7" s="73" t="str">
        <f t="shared" si="1"/>
        <v/>
      </c>
      <c r="G7" s="71"/>
      <c r="H7" s="72"/>
      <c r="I7" s="73" t="str">
        <f t="shared" si="2"/>
        <v/>
      </c>
    </row>
    <row r="8" spans="1:9" s="73" customFormat="1" ht="17">
      <c r="A8" s="71" t="s">
        <v>1415</v>
      </c>
      <c r="B8" s="72">
        <v>46071</v>
      </c>
      <c r="C8" s="73" t="str">
        <f t="shared" si="0"/>
        <v>(수)</v>
      </c>
      <c r="D8" s="71"/>
      <c r="E8" s="72"/>
      <c r="F8" s="73" t="str">
        <f t="shared" si="1"/>
        <v/>
      </c>
      <c r="G8" s="71"/>
      <c r="H8" s="72"/>
      <c r="I8" s="73" t="str">
        <f t="shared" si="2"/>
        <v/>
      </c>
    </row>
    <row r="9" spans="1:9" s="73" customFormat="1" ht="17">
      <c r="A9" s="71" t="s">
        <v>1528</v>
      </c>
      <c r="B9" s="72">
        <v>46083</v>
      </c>
      <c r="C9" s="73" t="str">
        <f t="shared" si="0"/>
        <v>(월)</v>
      </c>
      <c r="D9" s="71"/>
      <c r="E9" s="72"/>
      <c r="F9" s="73" t="str">
        <f t="shared" si="1"/>
        <v/>
      </c>
      <c r="G9" s="71"/>
      <c r="H9" s="72"/>
      <c r="I9" s="73" t="str">
        <f t="shared" si="2"/>
        <v/>
      </c>
    </row>
    <row r="10" spans="1:9" s="73" customFormat="1" ht="17">
      <c r="A10" s="71" t="s">
        <v>1416</v>
      </c>
      <c r="B10" s="72">
        <v>46147</v>
      </c>
      <c r="C10" s="73" t="str">
        <f t="shared" si="0"/>
        <v>(화)</v>
      </c>
      <c r="D10" s="71"/>
      <c r="E10" s="72"/>
      <c r="F10" s="73" t="str">
        <f t="shared" si="1"/>
        <v/>
      </c>
      <c r="G10" s="71"/>
      <c r="H10" s="72"/>
      <c r="I10" s="73" t="str">
        <f t="shared" si="2"/>
        <v/>
      </c>
    </row>
    <row r="11" spans="1:9" s="73" customFormat="1" ht="17">
      <c r="A11" s="71" t="s">
        <v>1529</v>
      </c>
      <c r="B11" s="72">
        <v>46167</v>
      </c>
      <c r="C11" s="73" t="str">
        <f t="shared" si="0"/>
        <v>(월)</v>
      </c>
      <c r="D11" s="71"/>
      <c r="E11" s="72"/>
      <c r="F11" s="73" t="str">
        <f t="shared" si="1"/>
        <v/>
      </c>
      <c r="G11" s="71"/>
      <c r="H11" s="72"/>
      <c r="I11" s="73" t="str">
        <f t="shared" si="2"/>
        <v/>
      </c>
    </row>
    <row r="12" spans="1:9" s="73" customFormat="1" ht="17">
      <c r="A12" s="71" t="s">
        <v>1514</v>
      </c>
      <c r="B12" s="72">
        <v>46176</v>
      </c>
      <c r="C12" s="73" t="str">
        <f t="shared" si="0"/>
        <v>(수)</v>
      </c>
      <c r="D12" s="71"/>
      <c r="E12" s="72"/>
      <c r="F12" s="73" t="str">
        <f t="shared" si="1"/>
        <v/>
      </c>
      <c r="G12" s="71"/>
      <c r="H12" s="72"/>
      <c r="I12" s="73" t="str">
        <f t="shared" si="2"/>
        <v/>
      </c>
    </row>
    <row r="13" spans="1:9" s="73" customFormat="1" ht="17">
      <c r="A13" s="71" t="s">
        <v>1515</v>
      </c>
      <c r="B13" s="72">
        <v>46220</v>
      </c>
      <c r="C13" s="73" t="str">
        <f t="shared" si="0"/>
        <v>(금)</v>
      </c>
      <c r="D13" s="71"/>
      <c r="E13" s="72"/>
      <c r="F13" s="73" t="str">
        <f t="shared" si="1"/>
        <v/>
      </c>
      <c r="G13" s="71"/>
      <c r="H13" s="72"/>
      <c r="I13" s="73" t="str">
        <f t="shared" si="2"/>
        <v/>
      </c>
    </row>
    <row r="14" spans="1:9" s="73" customFormat="1" ht="17">
      <c r="A14" s="71" t="s">
        <v>1530</v>
      </c>
      <c r="B14" s="72">
        <v>46251</v>
      </c>
      <c r="C14" s="73" t="str">
        <f t="shared" si="0"/>
        <v>(월)</v>
      </c>
      <c r="D14" s="71"/>
      <c r="E14" s="72"/>
      <c r="F14" s="73" t="str">
        <f t="shared" si="1"/>
        <v/>
      </c>
      <c r="G14" s="71"/>
      <c r="H14" s="72"/>
      <c r="I14" s="73" t="str">
        <f t="shared" si="2"/>
        <v/>
      </c>
    </row>
    <row r="15" spans="1:9" s="73" customFormat="1" ht="17">
      <c r="A15" s="71" t="s">
        <v>1417</v>
      </c>
      <c r="B15" s="72">
        <v>46289</v>
      </c>
      <c r="C15" s="73" t="str">
        <f t="shared" si="0"/>
        <v>(목)</v>
      </c>
      <c r="D15" s="71"/>
      <c r="E15" s="72"/>
      <c r="F15" s="73" t="str">
        <f t="shared" si="1"/>
        <v/>
      </c>
      <c r="G15" s="71"/>
      <c r="H15" s="72"/>
      <c r="I15" s="73" t="str">
        <f t="shared" si="2"/>
        <v/>
      </c>
    </row>
    <row r="16" spans="1:9" s="73" customFormat="1" ht="17">
      <c r="A16" s="71" t="s">
        <v>1418</v>
      </c>
      <c r="B16" s="72">
        <v>46290</v>
      </c>
      <c r="C16" s="73" t="str">
        <f t="shared" si="0"/>
        <v>(금)</v>
      </c>
      <c r="D16" s="71"/>
      <c r="E16" s="72"/>
      <c r="F16" s="73" t="str">
        <f t="shared" si="1"/>
        <v/>
      </c>
      <c r="G16" s="71"/>
      <c r="H16" s="72"/>
      <c r="I16" s="73" t="str">
        <f t="shared" si="2"/>
        <v/>
      </c>
    </row>
    <row r="17" spans="1:9" s="73" customFormat="1" ht="17">
      <c r="A17" s="71" t="s">
        <v>1531</v>
      </c>
      <c r="B17" s="72">
        <v>46300</v>
      </c>
      <c r="C17" s="73" t="str">
        <f t="shared" si="0"/>
        <v>(월)</v>
      </c>
      <c r="D17" s="71"/>
      <c r="E17" s="72"/>
      <c r="F17" s="73" t="str">
        <f t="shared" si="1"/>
        <v/>
      </c>
      <c r="G17" s="71"/>
      <c r="H17" s="72"/>
      <c r="I17" s="73" t="str">
        <f t="shared" si="2"/>
        <v/>
      </c>
    </row>
    <row r="18" spans="1:9" s="73" customFormat="1" ht="17">
      <c r="A18" s="71" t="s">
        <v>1419</v>
      </c>
      <c r="B18" s="72">
        <v>46304</v>
      </c>
      <c r="C18" s="73" t="str">
        <f t="shared" si="0"/>
        <v>(금)</v>
      </c>
      <c r="D18" s="71"/>
      <c r="E18" s="72"/>
      <c r="F18" s="73" t="str">
        <f t="shared" si="1"/>
        <v/>
      </c>
      <c r="G18" s="71"/>
      <c r="H18" s="72"/>
      <c r="I18" s="73" t="str">
        <f t="shared" si="2"/>
        <v/>
      </c>
    </row>
    <row r="19" spans="1:9" s="73" customFormat="1" ht="17">
      <c r="A19" s="71" t="s">
        <v>1421</v>
      </c>
      <c r="B19" s="72">
        <v>46381</v>
      </c>
      <c r="C19" s="73" t="str">
        <f t="shared" si="0"/>
        <v>(금)</v>
      </c>
      <c r="D19" s="71"/>
      <c r="E19" s="72"/>
      <c r="F19" s="73" t="str">
        <f t="shared" si="1"/>
        <v/>
      </c>
      <c r="G19" s="71"/>
      <c r="H19" s="72"/>
      <c r="I19" s="73" t="str">
        <f t="shared" si="2"/>
        <v/>
      </c>
    </row>
    <row r="20" spans="1:9" s="73" customFormat="1" ht="17">
      <c r="A20" s="71" t="s">
        <v>1516</v>
      </c>
      <c r="B20" s="72">
        <v>46388</v>
      </c>
      <c r="C20" s="73" t="str">
        <f t="shared" si="0"/>
        <v>(금)</v>
      </c>
      <c r="D20" s="71"/>
      <c r="E20" s="72"/>
      <c r="F20" s="73" t="str">
        <f t="shared" si="1"/>
        <v/>
      </c>
      <c r="G20" s="71"/>
      <c r="H20" s="72"/>
      <c r="I20" s="73" t="str">
        <f t="shared" si="2"/>
        <v/>
      </c>
    </row>
    <row r="21" spans="1:9" s="73" customFormat="1" ht="17">
      <c r="A21" s="71" t="s">
        <v>1517</v>
      </c>
      <c r="B21" s="72">
        <v>46426</v>
      </c>
      <c r="C21" s="73" t="str">
        <f t="shared" si="0"/>
        <v>(월)</v>
      </c>
      <c r="D21" s="71"/>
      <c r="E21" s="72"/>
      <c r="F21" s="73" t="str">
        <f t="shared" si="1"/>
        <v/>
      </c>
      <c r="G21" s="71"/>
      <c r="H21" s="72"/>
      <c r="I21" s="73" t="str">
        <f t="shared" si="2"/>
        <v/>
      </c>
    </row>
    <row r="22" spans="1:9" s="73" customFormat="1" ht="17">
      <c r="A22" s="71" t="s">
        <v>1518</v>
      </c>
      <c r="B22" s="72">
        <v>46427</v>
      </c>
      <c r="C22" s="73" t="str">
        <f t="shared" si="0"/>
        <v>(화)</v>
      </c>
      <c r="D22" s="71"/>
      <c r="E22" s="72"/>
      <c r="F22" s="73" t="str">
        <f t="shared" si="1"/>
        <v/>
      </c>
      <c r="G22" s="71"/>
      <c r="H22" s="72"/>
      <c r="I22" s="73" t="str">
        <f t="shared" si="2"/>
        <v/>
      </c>
    </row>
    <row r="23" spans="1:9" s="73" customFormat="1" ht="17">
      <c r="A23" s="71" t="s">
        <v>1519</v>
      </c>
      <c r="B23" s="72">
        <v>46447</v>
      </c>
      <c r="C23" s="73" t="str">
        <f t="shared" si="0"/>
        <v>(월)</v>
      </c>
      <c r="D23" s="71"/>
      <c r="E23" s="72"/>
      <c r="F23" s="73" t="str">
        <f t="shared" si="1"/>
        <v/>
      </c>
      <c r="G23" s="71"/>
      <c r="H23" s="72"/>
      <c r="I23" s="73" t="str">
        <f t="shared" si="2"/>
        <v/>
      </c>
    </row>
    <row r="24" spans="1:9" s="73" customFormat="1" ht="17">
      <c r="A24" s="71" t="s">
        <v>1520</v>
      </c>
      <c r="B24" s="72">
        <v>46512</v>
      </c>
      <c r="C24" s="73" t="str">
        <f t="shared" si="0"/>
        <v>(수)</v>
      </c>
      <c r="D24" s="71"/>
      <c r="E24" s="72"/>
      <c r="F24" s="73" t="str">
        <f t="shared" si="1"/>
        <v/>
      </c>
      <c r="G24" s="71"/>
      <c r="H24" s="72"/>
      <c r="I24" s="73" t="str">
        <f t="shared" si="2"/>
        <v/>
      </c>
    </row>
    <row r="25" spans="1:9" s="73" customFormat="1" ht="17">
      <c r="A25" s="71" t="s">
        <v>1521</v>
      </c>
      <c r="B25" s="72">
        <v>46520</v>
      </c>
      <c r="C25" s="73" t="str">
        <f t="shared" si="0"/>
        <v>(목)</v>
      </c>
      <c r="D25" s="71"/>
      <c r="E25" s="72"/>
      <c r="F25" s="73" t="str">
        <f t="shared" si="1"/>
        <v/>
      </c>
      <c r="G25" s="71"/>
      <c r="H25" s="72"/>
      <c r="I25" s="73" t="str">
        <f t="shared" si="2"/>
        <v/>
      </c>
    </row>
    <row r="26" spans="1:9" s="73" customFormat="1" ht="17">
      <c r="A26" s="71" t="s">
        <v>1522</v>
      </c>
      <c r="B26" s="72">
        <v>46615</v>
      </c>
      <c r="C26" s="73" t="str">
        <f t="shared" si="0"/>
        <v>(월)</v>
      </c>
      <c r="D26" s="71"/>
      <c r="E26" s="72"/>
      <c r="F26" s="73" t="str">
        <f t="shared" si="1"/>
        <v/>
      </c>
      <c r="G26" s="71"/>
      <c r="H26" s="72"/>
      <c r="I26" s="73" t="str">
        <f t="shared" si="2"/>
        <v/>
      </c>
    </row>
    <row r="27" spans="1:9" s="73" customFormat="1" ht="17">
      <c r="A27" s="71" t="s">
        <v>1523</v>
      </c>
      <c r="B27" s="72">
        <v>46644</v>
      </c>
      <c r="C27" s="73" t="str">
        <f t="shared" si="0"/>
        <v>(화)</v>
      </c>
      <c r="D27" s="71"/>
      <c r="E27" s="72"/>
      <c r="F27" s="73" t="str">
        <f t="shared" si="1"/>
        <v/>
      </c>
      <c r="G27" s="71"/>
      <c r="H27" s="72"/>
      <c r="I27" s="73" t="str">
        <f t="shared" si="2"/>
        <v/>
      </c>
    </row>
    <row r="28" spans="1:9" s="73" customFormat="1" ht="17">
      <c r="A28" s="71" t="s">
        <v>1524</v>
      </c>
      <c r="B28" s="72">
        <v>46645</v>
      </c>
      <c r="C28" s="73" t="str">
        <f t="shared" si="0"/>
        <v>(수)</v>
      </c>
      <c r="D28" s="71"/>
      <c r="E28" s="72"/>
      <c r="F28" s="73" t="str">
        <f t="shared" si="1"/>
        <v/>
      </c>
      <c r="G28" s="71"/>
      <c r="H28" s="72"/>
      <c r="I28" s="73" t="str">
        <f t="shared" si="2"/>
        <v/>
      </c>
    </row>
    <row r="29" spans="1:9" s="73" customFormat="1" ht="17">
      <c r="A29" s="71" t="s">
        <v>1523</v>
      </c>
      <c r="B29" s="72">
        <v>46646</v>
      </c>
      <c r="C29" s="73" t="str">
        <f t="shared" si="0"/>
        <v>(목)</v>
      </c>
      <c r="D29" s="71"/>
      <c r="E29" s="72"/>
      <c r="F29" s="73" t="str">
        <f t="shared" si="1"/>
        <v/>
      </c>
      <c r="G29" s="71"/>
      <c r="H29" s="72"/>
      <c r="I29" s="73" t="str">
        <f t="shared" si="2"/>
        <v/>
      </c>
    </row>
    <row r="30" spans="1:9" s="73" customFormat="1" ht="17">
      <c r="A30" s="71" t="s">
        <v>1525</v>
      </c>
      <c r="B30" s="73">
        <v>46664</v>
      </c>
      <c r="C30" s="73" t="str">
        <f t="shared" si="0"/>
        <v>(월)</v>
      </c>
      <c r="D30" s="71"/>
      <c r="E30" s="72"/>
      <c r="F30" s="73" t="str">
        <f t="shared" si="1"/>
        <v/>
      </c>
      <c r="G30" s="71"/>
      <c r="H30" s="72"/>
      <c r="I30" s="73" t="str">
        <f t="shared" si="2"/>
        <v/>
      </c>
    </row>
    <row r="31" spans="1:9" s="73" customFormat="1" ht="17">
      <c r="A31" s="71" t="s">
        <v>1526</v>
      </c>
      <c r="B31" s="72">
        <v>46671</v>
      </c>
      <c r="C31" s="73" t="str">
        <f t="shared" si="0"/>
        <v>(월)</v>
      </c>
      <c r="D31" s="71"/>
      <c r="E31" s="72"/>
      <c r="F31" s="73" t="str">
        <f t="shared" si="1"/>
        <v/>
      </c>
      <c r="G31" s="71"/>
      <c r="H31" s="72"/>
      <c r="I31" s="73" t="str">
        <f t="shared" si="2"/>
        <v/>
      </c>
    </row>
    <row r="32" spans="1:9" s="73" customFormat="1" ht="17">
      <c r="A32" s="71" t="s">
        <v>1527</v>
      </c>
      <c r="B32" s="72">
        <v>46748</v>
      </c>
      <c r="C32" s="73" t="str">
        <f t="shared" si="0"/>
        <v>(월)</v>
      </c>
      <c r="D32" s="71"/>
      <c r="E32" s="72"/>
      <c r="F32" s="73" t="str">
        <f t="shared" si="1"/>
        <v/>
      </c>
      <c r="G32" s="71"/>
      <c r="H32" s="72"/>
      <c r="I32" s="73" t="str">
        <f t="shared" si="2"/>
        <v/>
      </c>
    </row>
    <row r="33" spans="1:9" s="73" customFormat="1" ht="17">
      <c r="A33" s="71"/>
      <c r="B33" s="72"/>
      <c r="C33" s="73" t="str">
        <f t="shared" si="0"/>
        <v/>
      </c>
      <c r="D33" s="71"/>
      <c r="E33" s="72"/>
      <c r="F33" s="73" t="str">
        <f t="shared" si="1"/>
        <v/>
      </c>
      <c r="G33" s="71"/>
      <c r="H33" s="72"/>
      <c r="I33" s="73" t="str">
        <f t="shared" si="2"/>
        <v/>
      </c>
    </row>
    <row r="34" spans="1:9" s="73" customFormat="1" ht="17">
      <c r="A34" s="71"/>
      <c r="B34" s="72"/>
      <c r="C34" s="73" t="str">
        <f t="shared" si="0"/>
        <v/>
      </c>
      <c r="D34" s="71"/>
      <c r="E34" s="72"/>
      <c r="F34" s="73" t="str">
        <f t="shared" si="1"/>
        <v/>
      </c>
      <c r="G34" s="71"/>
      <c r="H34" s="72"/>
      <c r="I34" s="73" t="str">
        <f t="shared" si="2"/>
        <v/>
      </c>
    </row>
    <row r="35" spans="1:9" s="73" customFormat="1" ht="17">
      <c r="A35" s="71"/>
      <c r="B35" s="72"/>
      <c r="C35" s="73" t="str">
        <f t="shared" si="0"/>
        <v/>
      </c>
      <c r="D35" s="71"/>
      <c r="E35" s="72"/>
      <c r="F35" s="73" t="str">
        <f t="shared" si="1"/>
        <v/>
      </c>
      <c r="G35" s="71"/>
      <c r="H35" s="72"/>
      <c r="I35" s="73" t="str">
        <f t="shared" si="2"/>
        <v/>
      </c>
    </row>
    <row r="36" spans="1:9" s="73" customFormat="1" ht="17">
      <c r="A36" s="71"/>
      <c r="B36" s="72"/>
      <c r="C36" s="73" t="str">
        <f t="shared" si="0"/>
        <v/>
      </c>
      <c r="D36" s="71"/>
      <c r="E36" s="72"/>
      <c r="F36" s="73" t="str">
        <f t="shared" si="1"/>
        <v/>
      </c>
      <c r="G36" s="71"/>
      <c r="H36" s="72"/>
      <c r="I36" s="73" t="str">
        <f t="shared" si="2"/>
        <v/>
      </c>
    </row>
    <row r="37" spans="1:9" s="73" customFormat="1" ht="17">
      <c r="A37" s="71"/>
      <c r="B37" s="72"/>
      <c r="C37" s="73" t="str">
        <f t="shared" si="0"/>
        <v/>
      </c>
      <c r="D37" s="71"/>
      <c r="E37" s="72"/>
      <c r="F37" s="73" t="str">
        <f t="shared" si="1"/>
        <v/>
      </c>
      <c r="G37" s="71"/>
      <c r="H37" s="72"/>
      <c r="I37" s="73" t="str">
        <f t="shared" si="2"/>
        <v/>
      </c>
    </row>
    <row r="38" spans="1:9" s="73" customFormat="1" ht="17">
      <c r="A38" s="71"/>
      <c r="B38" s="72"/>
      <c r="C38" s="73" t="str">
        <f t="shared" si="0"/>
        <v/>
      </c>
      <c r="D38" s="71"/>
      <c r="E38" s="72"/>
      <c r="F38" s="73" t="str">
        <f t="shared" si="1"/>
        <v/>
      </c>
      <c r="G38" s="71"/>
      <c r="H38" s="72"/>
      <c r="I38" s="73" t="str">
        <f t="shared" si="2"/>
        <v/>
      </c>
    </row>
    <row r="39" spans="1:9" s="73" customFormat="1" ht="17">
      <c r="A39" s="71"/>
      <c r="B39" s="72"/>
      <c r="C39" s="73" t="str">
        <f t="shared" si="0"/>
        <v/>
      </c>
      <c r="D39" s="71"/>
      <c r="E39" s="72"/>
      <c r="F39" s="73" t="str">
        <f t="shared" si="1"/>
        <v/>
      </c>
      <c r="G39" s="71"/>
      <c r="H39" s="72"/>
      <c r="I39" s="73" t="str">
        <f t="shared" si="2"/>
        <v/>
      </c>
    </row>
    <row r="40" spans="1:9" s="73" customFormat="1" ht="17">
      <c r="A40" s="71"/>
      <c r="B40" s="72"/>
      <c r="C40" s="73" t="str">
        <f t="shared" si="0"/>
        <v/>
      </c>
      <c r="D40" s="71"/>
      <c r="E40" s="72"/>
      <c r="F40" s="73" t="str">
        <f t="shared" si="1"/>
        <v/>
      </c>
      <c r="G40" s="71"/>
      <c r="H40" s="72"/>
      <c r="I40" s="73" t="str">
        <f t="shared" si="2"/>
        <v/>
      </c>
    </row>
    <row r="41" spans="1:9" s="73" customFormat="1" ht="17">
      <c r="A41" s="71"/>
      <c r="B41" s="72"/>
      <c r="C41" s="73" t="str">
        <f t="shared" si="0"/>
        <v/>
      </c>
      <c r="D41" s="71"/>
      <c r="E41" s="72"/>
      <c r="F41" s="73" t="str">
        <f t="shared" si="1"/>
        <v/>
      </c>
      <c r="G41" s="71"/>
      <c r="H41" s="72"/>
      <c r="I41" s="73" t="str">
        <f t="shared" si="2"/>
        <v/>
      </c>
    </row>
    <row r="42" spans="1:9" s="73" customFormat="1" ht="17">
      <c r="A42" s="71"/>
      <c r="B42" s="72"/>
      <c r="C42" s="73" t="str">
        <f t="shared" si="0"/>
        <v/>
      </c>
      <c r="D42" s="71"/>
      <c r="E42" s="72"/>
      <c r="F42" s="73" t="str">
        <f t="shared" si="1"/>
        <v/>
      </c>
      <c r="G42" s="71"/>
      <c r="H42" s="72"/>
      <c r="I42" s="73" t="str">
        <f t="shared" si="2"/>
        <v/>
      </c>
    </row>
    <row r="43" spans="1:9" s="73" customFormat="1" ht="17">
      <c r="A43" s="71"/>
      <c r="B43" s="72"/>
      <c r="C43" s="73" t="str">
        <f t="shared" si="0"/>
        <v/>
      </c>
      <c r="D43" s="71"/>
      <c r="E43" s="72"/>
      <c r="F43" s="73" t="str">
        <f t="shared" si="1"/>
        <v/>
      </c>
      <c r="G43" s="71"/>
      <c r="H43" s="72"/>
      <c r="I43" s="73" t="str">
        <f t="shared" si="2"/>
        <v/>
      </c>
    </row>
    <row r="44" spans="1:9" s="73" customFormat="1" ht="17">
      <c r="A44" s="71"/>
      <c r="B44" s="72"/>
      <c r="C44" s="73" t="str">
        <f t="shared" si="0"/>
        <v/>
      </c>
      <c r="D44" s="71"/>
      <c r="E44" s="72"/>
      <c r="F44" s="73" t="str">
        <f t="shared" si="1"/>
        <v/>
      </c>
      <c r="G44" s="71"/>
      <c r="H44" s="72"/>
      <c r="I44" s="73" t="str">
        <f t="shared" si="2"/>
        <v/>
      </c>
    </row>
    <row r="45" spans="1:9" s="73" customFormat="1" ht="17">
      <c r="A45" s="71"/>
      <c r="B45" s="72"/>
      <c r="C45" s="73" t="str">
        <f t="shared" si="0"/>
        <v/>
      </c>
      <c r="D45" s="71"/>
      <c r="E45" s="72"/>
      <c r="F45" s="73" t="str">
        <f t="shared" si="1"/>
        <v/>
      </c>
      <c r="G45" s="71"/>
      <c r="H45" s="72"/>
      <c r="I45" s="73" t="str">
        <f t="shared" si="2"/>
        <v/>
      </c>
    </row>
    <row r="46" spans="1:9" s="73" customFormat="1" ht="17">
      <c r="A46" s="71"/>
      <c r="B46" s="72"/>
      <c r="C46" s="73" t="str">
        <f t="shared" si="0"/>
        <v/>
      </c>
      <c r="D46" s="71"/>
      <c r="E46" s="72"/>
      <c r="F46" s="73" t="str">
        <f t="shared" si="1"/>
        <v/>
      </c>
      <c r="G46" s="71"/>
      <c r="H46" s="72"/>
      <c r="I46" s="73" t="str">
        <f t="shared" si="2"/>
        <v/>
      </c>
    </row>
    <row r="47" spans="1:9" s="73" customFormat="1" ht="17">
      <c r="A47" s="71"/>
      <c r="B47" s="72"/>
      <c r="C47" s="73" t="str">
        <f t="shared" si="0"/>
        <v/>
      </c>
      <c r="D47" s="71"/>
      <c r="E47" s="72"/>
      <c r="F47" s="73" t="str">
        <f t="shared" si="1"/>
        <v/>
      </c>
      <c r="G47" s="71"/>
      <c r="H47" s="72"/>
      <c r="I47" s="73" t="str">
        <f t="shared" si="2"/>
        <v/>
      </c>
    </row>
    <row r="48" spans="1:9" s="73" customFormat="1" ht="17">
      <c r="A48" s="71"/>
      <c r="B48" s="72"/>
      <c r="C48" s="73" t="str">
        <f t="shared" si="0"/>
        <v/>
      </c>
      <c r="D48" s="71"/>
      <c r="E48" s="72"/>
      <c r="F48" s="73" t="str">
        <f t="shared" si="1"/>
        <v/>
      </c>
      <c r="G48" s="71"/>
      <c r="H48" s="72"/>
      <c r="I48" s="73" t="str">
        <f t="shared" si="2"/>
        <v/>
      </c>
    </row>
    <row r="49" spans="1:9" s="73" customFormat="1" ht="17">
      <c r="A49" s="71"/>
      <c r="B49" s="72"/>
      <c r="C49" s="73" t="str">
        <f t="shared" si="0"/>
        <v/>
      </c>
      <c r="D49" s="71"/>
      <c r="E49" s="72"/>
      <c r="F49" s="73" t="str">
        <f t="shared" si="1"/>
        <v/>
      </c>
      <c r="G49" s="71"/>
      <c r="H49" s="72"/>
      <c r="I49" s="73" t="str">
        <f t="shared" si="2"/>
        <v/>
      </c>
    </row>
    <row r="50" spans="1:9" s="73" customFormat="1" ht="17">
      <c r="A50" s="71"/>
      <c r="B50" s="72"/>
      <c r="C50" s="73" t="str">
        <f t="shared" si="0"/>
        <v/>
      </c>
      <c r="D50" s="71"/>
      <c r="E50" s="72"/>
      <c r="F50" s="73" t="str">
        <f t="shared" si="1"/>
        <v/>
      </c>
      <c r="G50" s="71"/>
      <c r="H50" s="72"/>
      <c r="I50" s="73" t="str">
        <f t="shared" si="2"/>
        <v/>
      </c>
    </row>
    <row r="51" spans="1:9" s="73" customFormat="1" ht="17">
      <c r="A51" s="71"/>
      <c r="B51" s="72"/>
      <c r="C51" s="73" t="str">
        <f t="shared" si="0"/>
        <v/>
      </c>
      <c r="D51" s="71"/>
      <c r="E51" s="72"/>
      <c r="F51" s="73" t="str">
        <f t="shared" si="1"/>
        <v/>
      </c>
      <c r="G51" s="71"/>
      <c r="H51" s="72"/>
      <c r="I51" s="73" t="str">
        <f t="shared" si="2"/>
        <v/>
      </c>
    </row>
    <row r="52" spans="1:9" s="73" customFormat="1" ht="17">
      <c r="A52" s="71"/>
      <c r="B52" s="72"/>
      <c r="C52" s="73" t="str">
        <f t="shared" ref="C52:C115" si="3">IF(B52&gt;0,TEXT(B52,"(aaa)"),"")</f>
        <v/>
      </c>
      <c r="D52" s="71"/>
      <c r="E52" s="72"/>
      <c r="F52" s="73" t="str">
        <f t="shared" ref="F52:F115" si="4">IF(E52&gt;0,TEXT(E52,"(aaa)"),"")</f>
        <v/>
      </c>
      <c r="G52" s="71"/>
      <c r="H52" s="72"/>
      <c r="I52" s="73" t="str">
        <f t="shared" ref="I52:I115" si="5">IF(H52&gt;0,TEXT(H52,"(aaa)"),"")</f>
        <v/>
      </c>
    </row>
    <row r="53" spans="1:9" s="73" customFormat="1" ht="17">
      <c r="A53" s="71"/>
      <c r="B53" s="72"/>
      <c r="C53" s="73" t="str">
        <f t="shared" si="3"/>
        <v/>
      </c>
      <c r="D53" s="71"/>
      <c r="E53" s="72"/>
      <c r="F53" s="73" t="str">
        <f t="shared" si="4"/>
        <v/>
      </c>
      <c r="G53" s="71"/>
      <c r="H53" s="72"/>
      <c r="I53" s="73" t="str">
        <f t="shared" si="5"/>
        <v/>
      </c>
    </row>
    <row r="54" spans="1:9" s="73" customFormat="1" ht="17">
      <c r="A54" s="71"/>
      <c r="B54" s="72"/>
      <c r="C54" s="73" t="str">
        <f t="shared" si="3"/>
        <v/>
      </c>
      <c r="D54" s="71"/>
      <c r="E54" s="72"/>
      <c r="F54" s="73" t="str">
        <f t="shared" si="4"/>
        <v/>
      </c>
      <c r="G54" s="71"/>
      <c r="H54" s="72"/>
      <c r="I54" s="73" t="str">
        <f t="shared" si="5"/>
        <v/>
      </c>
    </row>
    <row r="55" spans="1:9" s="73" customFormat="1" ht="17">
      <c r="A55" s="71"/>
      <c r="B55" s="72"/>
      <c r="C55" s="73" t="str">
        <f t="shared" si="3"/>
        <v/>
      </c>
      <c r="D55" s="71"/>
      <c r="E55" s="72"/>
      <c r="F55" s="73" t="str">
        <f t="shared" si="4"/>
        <v/>
      </c>
      <c r="G55" s="71"/>
      <c r="H55" s="72"/>
      <c r="I55" s="73" t="str">
        <f t="shared" si="5"/>
        <v/>
      </c>
    </row>
    <row r="56" spans="1:9" s="73" customFormat="1" ht="17">
      <c r="A56" s="71"/>
      <c r="B56" s="72"/>
      <c r="C56" s="73" t="str">
        <f t="shared" si="3"/>
        <v/>
      </c>
      <c r="D56" s="71"/>
      <c r="E56" s="72"/>
      <c r="F56" s="73" t="str">
        <f t="shared" si="4"/>
        <v/>
      </c>
      <c r="G56" s="71"/>
      <c r="H56" s="72"/>
      <c r="I56" s="73" t="str">
        <f t="shared" si="5"/>
        <v/>
      </c>
    </row>
    <row r="57" spans="1:9" s="73" customFormat="1" ht="17">
      <c r="A57" s="71"/>
      <c r="B57" s="72"/>
      <c r="C57" s="73" t="str">
        <f t="shared" si="3"/>
        <v/>
      </c>
      <c r="D57" s="71"/>
      <c r="E57" s="72"/>
      <c r="F57" s="73" t="str">
        <f t="shared" si="4"/>
        <v/>
      </c>
      <c r="G57" s="71"/>
      <c r="H57" s="72"/>
      <c r="I57" s="73" t="str">
        <f t="shared" si="5"/>
        <v/>
      </c>
    </row>
    <row r="58" spans="1:9" s="73" customFormat="1" ht="17">
      <c r="A58" s="71"/>
      <c r="B58" s="72"/>
      <c r="C58" s="73" t="str">
        <f t="shared" si="3"/>
        <v/>
      </c>
      <c r="D58" s="71"/>
      <c r="E58" s="72"/>
      <c r="F58" s="73" t="str">
        <f t="shared" si="4"/>
        <v/>
      </c>
      <c r="G58" s="71"/>
      <c r="H58" s="72"/>
      <c r="I58" s="73" t="str">
        <f t="shared" si="5"/>
        <v/>
      </c>
    </row>
    <row r="59" spans="1:9" s="73" customFormat="1" ht="17">
      <c r="A59" s="71"/>
      <c r="B59" s="72"/>
      <c r="C59" s="73" t="str">
        <f t="shared" si="3"/>
        <v/>
      </c>
      <c r="D59" s="71"/>
      <c r="E59" s="72"/>
      <c r="F59" s="73" t="str">
        <f t="shared" si="4"/>
        <v/>
      </c>
      <c r="G59" s="71"/>
      <c r="H59" s="72"/>
      <c r="I59" s="73" t="str">
        <f t="shared" si="5"/>
        <v/>
      </c>
    </row>
    <row r="60" spans="1:9" s="73" customFormat="1" ht="17">
      <c r="A60" s="71"/>
      <c r="B60" s="72"/>
      <c r="C60" s="73" t="str">
        <f t="shared" si="3"/>
        <v/>
      </c>
      <c r="D60" s="71"/>
      <c r="E60" s="72"/>
      <c r="F60" s="73" t="str">
        <f t="shared" si="4"/>
        <v/>
      </c>
      <c r="G60" s="71"/>
      <c r="H60" s="72"/>
      <c r="I60" s="73" t="str">
        <f t="shared" si="5"/>
        <v/>
      </c>
    </row>
    <row r="61" spans="1:9" s="73" customFormat="1" ht="17">
      <c r="A61" s="71"/>
      <c r="B61" s="72"/>
      <c r="C61" s="73" t="str">
        <f t="shared" si="3"/>
        <v/>
      </c>
      <c r="D61" s="71"/>
      <c r="E61" s="72"/>
      <c r="F61" s="73" t="str">
        <f t="shared" si="4"/>
        <v/>
      </c>
      <c r="G61" s="71"/>
      <c r="H61" s="72"/>
      <c r="I61" s="73" t="str">
        <f t="shared" si="5"/>
        <v/>
      </c>
    </row>
    <row r="62" spans="1:9" s="73" customFormat="1" ht="17">
      <c r="A62" s="71"/>
      <c r="B62" s="72"/>
      <c r="C62" s="73" t="str">
        <f t="shared" si="3"/>
        <v/>
      </c>
      <c r="D62" s="71"/>
      <c r="E62" s="72"/>
      <c r="F62" s="73" t="str">
        <f t="shared" si="4"/>
        <v/>
      </c>
      <c r="G62" s="71"/>
      <c r="H62" s="72"/>
      <c r="I62" s="73" t="str">
        <f t="shared" si="5"/>
        <v/>
      </c>
    </row>
    <row r="63" spans="1:9" s="73" customFormat="1" ht="17">
      <c r="A63" s="71"/>
      <c r="B63" s="72"/>
      <c r="C63" s="73" t="str">
        <f t="shared" si="3"/>
        <v/>
      </c>
      <c r="D63" s="71"/>
      <c r="E63" s="72"/>
      <c r="F63" s="73" t="str">
        <f t="shared" si="4"/>
        <v/>
      </c>
      <c r="G63" s="71"/>
      <c r="H63" s="72"/>
      <c r="I63" s="73" t="str">
        <f t="shared" si="5"/>
        <v/>
      </c>
    </row>
    <row r="64" spans="1:9" s="73" customFormat="1" ht="17">
      <c r="A64" s="71"/>
      <c r="B64" s="72"/>
      <c r="C64" s="73" t="str">
        <f t="shared" si="3"/>
        <v/>
      </c>
      <c r="D64" s="71"/>
      <c r="E64" s="72"/>
      <c r="F64" s="73" t="str">
        <f t="shared" si="4"/>
        <v/>
      </c>
      <c r="G64" s="71"/>
      <c r="H64" s="72"/>
      <c r="I64" s="73" t="str">
        <f t="shared" si="5"/>
        <v/>
      </c>
    </row>
    <row r="65" spans="1:9" s="73" customFormat="1" ht="17">
      <c r="A65" s="71"/>
      <c r="B65" s="72"/>
      <c r="C65" s="73" t="str">
        <f t="shared" si="3"/>
        <v/>
      </c>
      <c r="D65" s="71"/>
      <c r="E65" s="72"/>
      <c r="F65" s="73" t="str">
        <f t="shared" si="4"/>
        <v/>
      </c>
      <c r="G65" s="71"/>
      <c r="H65" s="72"/>
      <c r="I65" s="73" t="str">
        <f t="shared" si="5"/>
        <v/>
      </c>
    </row>
    <row r="66" spans="1:9" s="73" customFormat="1" ht="17">
      <c r="A66" s="71"/>
      <c r="B66" s="72"/>
      <c r="C66" s="73" t="str">
        <f t="shared" si="3"/>
        <v/>
      </c>
      <c r="D66" s="71"/>
      <c r="E66" s="72"/>
      <c r="F66" s="73" t="str">
        <f t="shared" si="4"/>
        <v/>
      </c>
      <c r="G66" s="71"/>
      <c r="H66" s="72"/>
      <c r="I66" s="73" t="str">
        <f t="shared" si="5"/>
        <v/>
      </c>
    </row>
    <row r="67" spans="1:9" s="73" customFormat="1" ht="17">
      <c r="A67" s="71"/>
      <c r="B67" s="72"/>
      <c r="C67" s="73" t="str">
        <f t="shared" si="3"/>
        <v/>
      </c>
      <c r="D67" s="71"/>
      <c r="E67" s="72"/>
      <c r="F67" s="73" t="str">
        <f t="shared" si="4"/>
        <v/>
      </c>
      <c r="G67" s="71"/>
      <c r="H67" s="72"/>
      <c r="I67" s="73" t="str">
        <f t="shared" si="5"/>
        <v/>
      </c>
    </row>
    <row r="68" spans="1:9" s="73" customFormat="1" ht="17">
      <c r="A68" s="71"/>
      <c r="B68" s="72"/>
      <c r="C68" s="73" t="str">
        <f t="shared" si="3"/>
        <v/>
      </c>
      <c r="D68" s="71"/>
      <c r="E68" s="72"/>
      <c r="F68" s="73" t="str">
        <f t="shared" si="4"/>
        <v/>
      </c>
      <c r="G68" s="71"/>
      <c r="H68" s="72"/>
      <c r="I68" s="73" t="str">
        <f t="shared" si="5"/>
        <v/>
      </c>
    </row>
    <row r="69" spans="1:9" s="73" customFormat="1" ht="17">
      <c r="A69" s="71"/>
      <c r="B69" s="72"/>
      <c r="C69" s="73" t="str">
        <f t="shared" si="3"/>
        <v/>
      </c>
      <c r="D69" s="71"/>
      <c r="E69" s="72"/>
      <c r="F69" s="73" t="str">
        <f t="shared" si="4"/>
        <v/>
      </c>
      <c r="G69" s="71"/>
      <c r="H69" s="72"/>
      <c r="I69" s="73" t="str">
        <f t="shared" si="5"/>
        <v/>
      </c>
    </row>
    <row r="70" spans="1:9" s="73" customFormat="1" ht="17">
      <c r="A70" s="71"/>
      <c r="B70" s="72"/>
      <c r="C70" s="73" t="str">
        <f t="shared" si="3"/>
        <v/>
      </c>
      <c r="D70" s="71"/>
      <c r="E70" s="72"/>
      <c r="F70" s="73" t="str">
        <f t="shared" si="4"/>
        <v/>
      </c>
      <c r="G70" s="71"/>
      <c r="H70" s="72"/>
      <c r="I70" s="73" t="str">
        <f t="shared" si="5"/>
        <v/>
      </c>
    </row>
    <row r="71" spans="1:9" s="73" customFormat="1" ht="17">
      <c r="A71" s="71"/>
      <c r="B71" s="72"/>
      <c r="C71" s="73" t="str">
        <f t="shared" si="3"/>
        <v/>
      </c>
      <c r="D71" s="71"/>
      <c r="E71" s="72"/>
      <c r="F71" s="73" t="str">
        <f t="shared" si="4"/>
        <v/>
      </c>
      <c r="G71" s="71"/>
      <c r="H71" s="72"/>
      <c r="I71" s="73" t="str">
        <f t="shared" si="5"/>
        <v/>
      </c>
    </row>
    <row r="72" spans="1:9" s="73" customFormat="1" ht="17">
      <c r="A72" s="71"/>
      <c r="B72" s="72"/>
      <c r="C72" s="73" t="str">
        <f t="shared" si="3"/>
        <v/>
      </c>
      <c r="D72" s="71"/>
      <c r="E72" s="72"/>
      <c r="F72" s="73" t="str">
        <f t="shared" si="4"/>
        <v/>
      </c>
      <c r="G72" s="71"/>
      <c r="H72" s="72"/>
      <c r="I72" s="73" t="str">
        <f t="shared" si="5"/>
        <v/>
      </c>
    </row>
    <row r="73" spans="1:9" s="73" customFormat="1" ht="17">
      <c r="A73" s="71"/>
      <c r="B73" s="72"/>
      <c r="C73" s="73" t="str">
        <f t="shared" si="3"/>
        <v/>
      </c>
      <c r="D73" s="71"/>
      <c r="E73" s="72"/>
      <c r="F73" s="73" t="str">
        <f t="shared" si="4"/>
        <v/>
      </c>
      <c r="G73" s="71"/>
      <c r="H73" s="72"/>
      <c r="I73" s="73" t="str">
        <f t="shared" si="5"/>
        <v/>
      </c>
    </row>
    <row r="74" spans="1:9" s="73" customFormat="1" ht="17">
      <c r="A74" s="71"/>
      <c r="B74" s="72"/>
      <c r="C74" s="73" t="str">
        <f t="shared" si="3"/>
        <v/>
      </c>
      <c r="D74" s="71"/>
      <c r="E74" s="72"/>
      <c r="F74" s="73" t="str">
        <f t="shared" si="4"/>
        <v/>
      </c>
      <c r="G74" s="71"/>
      <c r="H74" s="72"/>
      <c r="I74" s="73" t="str">
        <f t="shared" si="5"/>
        <v/>
      </c>
    </row>
    <row r="75" spans="1:9" s="73" customFormat="1" ht="17">
      <c r="A75" s="71"/>
      <c r="B75" s="72"/>
      <c r="C75" s="73" t="str">
        <f t="shared" si="3"/>
        <v/>
      </c>
      <c r="D75" s="71"/>
      <c r="E75" s="72"/>
      <c r="F75" s="73" t="str">
        <f t="shared" si="4"/>
        <v/>
      </c>
      <c r="G75" s="71"/>
      <c r="H75" s="72"/>
      <c r="I75" s="73" t="str">
        <f t="shared" si="5"/>
        <v/>
      </c>
    </row>
    <row r="76" spans="1:9" s="73" customFormat="1" ht="17">
      <c r="A76" s="71"/>
      <c r="B76" s="72"/>
      <c r="C76" s="73" t="str">
        <f t="shared" si="3"/>
        <v/>
      </c>
      <c r="D76" s="71"/>
      <c r="E76" s="72"/>
      <c r="F76" s="73" t="str">
        <f t="shared" si="4"/>
        <v/>
      </c>
      <c r="G76" s="71"/>
      <c r="H76" s="72"/>
      <c r="I76" s="73" t="str">
        <f t="shared" si="5"/>
        <v/>
      </c>
    </row>
    <row r="77" spans="1:9" s="73" customFormat="1" ht="17">
      <c r="A77" s="71"/>
      <c r="B77" s="72"/>
      <c r="C77" s="73" t="str">
        <f t="shared" si="3"/>
        <v/>
      </c>
      <c r="D77" s="71"/>
      <c r="E77" s="72"/>
      <c r="F77" s="73" t="str">
        <f t="shared" si="4"/>
        <v/>
      </c>
      <c r="G77" s="71"/>
      <c r="H77" s="72"/>
      <c r="I77" s="73" t="str">
        <f t="shared" si="5"/>
        <v/>
      </c>
    </row>
    <row r="78" spans="1:9" s="73" customFormat="1" ht="17">
      <c r="A78" s="71"/>
      <c r="B78" s="72"/>
      <c r="C78" s="73" t="str">
        <f t="shared" si="3"/>
        <v/>
      </c>
      <c r="D78" s="71"/>
      <c r="E78" s="72"/>
      <c r="F78" s="73" t="str">
        <f t="shared" si="4"/>
        <v/>
      </c>
      <c r="G78" s="71"/>
      <c r="H78" s="72"/>
      <c r="I78" s="73" t="str">
        <f t="shared" si="5"/>
        <v/>
      </c>
    </row>
    <row r="79" spans="1:9" s="73" customFormat="1" ht="17">
      <c r="A79" s="71"/>
      <c r="B79" s="72"/>
      <c r="C79" s="73" t="str">
        <f t="shared" si="3"/>
        <v/>
      </c>
      <c r="D79" s="71"/>
      <c r="E79" s="72"/>
      <c r="F79" s="73" t="str">
        <f t="shared" si="4"/>
        <v/>
      </c>
      <c r="G79" s="71"/>
      <c r="H79" s="72"/>
      <c r="I79" s="73" t="str">
        <f t="shared" si="5"/>
        <v/>
      </c>
    </row>
    <row r="80" spans="1:9" s="73" customFormat="1" ht="17">
      <c r="A80" s="71"/>
      <c r="B80" s="72"/>
      <c r="C80" s="73" t="str">
        <f t="shared" si="3"/>
        <v/>
      </c>
      <c r="D80" s="71"/>
      <c r="E80" s="72"/>
      <c r="F80" s="73" t="str">
        <f t="shared" si="4"/>
        <v/>
      </c>
      <c r="G80" s="71"/>
      <c r="H80" s="72"/>
      <c r="I80" s="73" t="str">
        <f t="shared" si="5"/>
        <v/>
      </c>
    </row>
    <row r="81" spans="1:9" s="73" customFormat="1" ht="17">
      <c r="A81" s="71"/>
      <c r="B81" s="72"/>
      <c r="C81" s="73" t="str">
        <f t="shared" si="3"/>
        <v/>
      </c>
      <c r="D81" s="71"/>
      <c r="E81" s="72"/>
      <c r="F81" s="73" t="str">
        <f t="shared" si="4"/>
        <v/>
      </c>
      <c r="G81" s="71"/>
      <c r="H81" s="72"/>
      <c r="I81" s="73" t="str">
        <f t="shared" si="5"/>
        <v/>
      </c>
    </row>
    <row r="82" spans="1:9" s="73" customFormat="1" ht="17">
      <c r="A82" s="71"/>
      <c r="B82" s="72"/>
      <c r="C82" s="73" t="str">
        <f t="shared" si="3"/>
        <v/>
      </c>
      <c r="D82" s="71"/>
      <c r="E82" s="72"/>
      <c r="F82" s="73" t="str">
        <f t="shared" si="4"/>
        <v/>
      </c>
      <c r="G82" s="71"/>
      <c r="H82" s="72"/>
      <c r="I82" s="73" t="str">
        <f t="shared" si="5"/>
        <v/>
      </c>
    </row>
    <row r="83" spans="1:9" s="73" customFormat="1" ht="17">
      <c r="A83" s="71"/>
      <c r="B83" s="72"/>
      <c r="C83" s="73" t="str">
        <f t="shared" si="3"/>
        <v/>
      </c>
      <c r="D83" s="71"/>
      <c r="E83" s="72"/>
      <c r="F83" s="73" t="str">
        <f t="shared" si="4"/>
        <v/>
      </c>
      <c r="G83" s="71"/>
      <c r="H83" s="72"/>
      <c r="I83" s="73" t="str">
        <f t="shared" si="5"/>
        <v/>
      </c>
    </row>
    <row r="84" spans="1:9" s="73" customFormat="1" ht="17">
      <c r="A84" s="71"/>
      <c r="B84" s="72"/>
      <c r="C84" s="73" t="str">
        <f t="shared" si="3"/>
        <v/>
      </c>
      <c r="D84" s="71"/>
      <c r="E84" s="72"/>
      <c r="F84" s="73" t="str">
        <f t="shared" si="4"/>
        <v/>
      </c>
      <c r="G84" s="71"/>
      <c r="H84" s="72"/>
      <c r="I84" s="73" t="str">
        <f t="shared" si="5"/>
        <v/>
      </c>
    </row>
    <row r="85" spans="1:9" s="73" customFormat="1" ht="17">
      <c r="A85" s="71"/>
      <c r="B85" s="72"/>
      <c r="C85" s="73" t="str">
        <f t="shared" si="3"/>
        <v/>
      </c>
      <c r="D85" s="71"/>
      <c r="E85" s="72"/>
      <c r="F85" s="73" t="str">
        <f t="shared" si="4"/>
        <v/>
      </c>
      <c r="G85" s="71"/>
      <c r="H85" s="72"/>
      <c r="I85" s="73" t="str">
        <f t="shared" si="5"/>
        <v/>
      </c>
    </row>
    <row r="86" spans="1:9" s="73" customFormat="1" ht="17">
      <c r="A86" s="71"/>
      <c r="B86" s="72"/>
      <c r="C86" s="73" t="str">
        <f t="shared" si="3"/>
        <v/>
      </c>
      <c r="D86" s="71"/>
      <c r="E86" s="72"/>
      <c r="F86" s="73" t="str">
        <f t="shared" si="4"/>
        <v/>
      </c>
      <c r="G86" s="71"/>
      <c r="H86" s="72"/>
      <c r="I86" s="73" t="str">
        <f t="shared" si="5"/>
        <v/>
      </c>
    </row>
    <row r="87" spans="1:9" s="73" customFormat="1" ht="17">
      <c r="A87" s="71"/>
      <c r="B87" s="72"/>
      <c r="C87" s="73" t="str">
        <f t="shared" si="3"/>
        <v/>
      </c>
      <c r="D87" s="71"/>
      <c r="E87" s="72"/>
      <c r="F87" s="73" t="str">
        <f t="shared" si="4"/>
        <v/>
      </c>
      <c r="G87" s="71"/>
      <c r="H87" s="72"/>
      <c r="I87" s="73" t="str">
        <f t="shared" si="5"/>
        <v/>
      </c>
    </row>
    <row r="88" spans="1:9" s="73" customFormat="1" ht="17">
      <c r="A88" s="71"/>
      <c r="B88" s="72"/>
      <c r="C88" s="73" t="str">
        <f t="shared" si="3"/>
        <v/>
      </c>
      <c r="D88" s="71"/>
      <c r="E88" s="72"/>
      <c r="F88" s="73" t="str">
        <f t="shared" si="4"/>
        <v/>
      </c>
      <c r="G88" s="71"/>
      <c r="H88" s="72"/>
      <c r="I88" s="73" t="str">
        <f t="shared" si="5"/>
        <v/>
      </c>
    </row>
    <row r="89" spans="1:9" s="73" customFormat="1" ht="17">
      <c r="A89" s="71"/>
      <c r="B89" s="72"/>
      <c r="C89" s="73" t="str">
        <f t="shared" si="3"/>
        <v/>
      </c>
      <c r="D89" s="71"/>
      <c r="E89" s="72"/>
      <c r="F89" s="73" t="str">
        <f t="shared" si="4"/>
        <v/>
      </c>
      <c r="G89" s="71"/>
      <c r="H89" s="72"/>
      <c r="I89" s="73" t="str">
        <f t="shared" si="5"/>
        <v/>
      </c>
    </row>
    <row r="90" spans="1:9" s="73" customFormat="1" ht="17">
      <c r="A90" s="71"/>
      <c r="B90" s="72"/>
      <c r="C90" s="73" t="str">
        <f t="shared" si="3"/>
        <v/>
      </c>
      <c r="D90" s="71"/>
      <c r="E90" s="72"/>
      <c r="F90" s="73" t="str">
        <f t="shared" si="4"/>
        <v/>
      </c>
      <c r="G90" s="71"/>
      <c r="H90" s="72"/>
      <c r="I90" s="73" t="str">
        <f t="shared" si="5"/>
        <v/>
      </c>
    </row>
    <row r="91" spans="1:9" s="73" customFormat="1" ht="17">
      <c r="A91" s="71"/>
      <c r="B91" s="72"/>
      <c r="C91" s="73" t="str">
        <f t="shared" si="3"/>
        <v/>
      </c>
      <c r="D91" s="71"/>
      <c r="E91" s="72"/>
      <c r="F91" s="73" t="str">
        <f t="shared" si="4"/>
        <v/>
      </c>
      <c r="G91" s="71"/>
      <c r="H91" s="72"/>
      <c r="I91" s="73" t="str">
        <f t="shared" si="5"/>
        <v/>
      </c>
    </row>
    <row r="92" spans="1:9" s="73" customFormat="1" ht="17">
      <c r="A92" s="71"/>
      <c r="B92" s="72"/>
      <c r="C92" s="73" t="str">
        <f t="shared" si="3"/>
        <v/>
      </c>
      <c r="D92" s="71"/>
      <c r="E92" s="72"/>
      <c r="F92" s="73" t="str">
        <f t="shared" si="4"/>
        <v/>
      </c>
      <c r="G92" s="71"/>
      <c r="H92" s="72"/>
      <c r="I92" s="73" t="str">
        <f t="shared" si="5"/>
        <v/>
      </c>
    </row>
    <row r="93" spans="1:9" s="73" customFormat="1" ht="17">
      <c r="A93" s="71"/>
      <c r="B93" s="72"/>
      <c r="C93" s="73" t="str">
        <f t="shared" si="3"/>
        <v/>
      </c>
      <c r="D93" s="71"/>
      <c r="E93" s="72"/>
      <c r="F93" s="73" t="str">
        <f t="shared" si="4"/>
        <v/>
      </c>
      <c r="G93" s="71"/>
      <c r="H93" s="72"/>
      <c r="I93" s="73" t="str">
        <f t="shared" si="5"/>
        <v/>
      </c>
    </row>
    <row r="94" spans="1:9" s="73" customFormat="1" ht="17">
      <c r="A94" s="71"/>
      <c r="B94" s="72"/>
      <c r="C94" s="73" t="str">
        <f t="shared" si="3"/>
        <v/>
      </c>
      <c r="D94" s="71"/>
      <c r="E94" s="72"/>
      <c r="F94" s="73" t="str">
        <f t="shared" si="4"/>
        <v/>
      </c>
      <c r="G94" s="71"/>
      <c r="H94" s="72"/>
      <c r="I94" s="73" t="str">
        <f t="shared" si="5"/>
        <v/>
      </c>
    </row>
    <row r="95" spans="1:9" s="73" customFormat="1" ht="17">
      <c r="A95" s="71"/>
      <c r="B95" s="72"/>
      <c r="C95" s="73" t="str">
        <f t="shared" si="3"/>
        <v/>
      </c>
      <c r="D95" s="71"/>
      <c r="E95" s="72"/>
      <c r="F95" s="73" t="str">
        <f t="shared" si="4"/>
        <v/>
      </c>
      <c r="G95" s="71"/>
      <c r="H95" s="72"/>
      <c r="I95" s="73" t="str">
        <f t="shared" si="5"/>
        <v/>
      </c>
    </row>
    <row r="96" spans="1:9" s="73" customFormat="1" ht="17">
      <c r="A96" s="71"/>
      <c r="B96" s="72"/>
      <c r="C96" s="73" t="str">
        <f t="shared" si="3"/>
        <v/>
      </c>
      <c r="D96" s="71"/>
      <c r="E96" s="72"/>
      <c r="F96" s="73" t="str">
        <f t="shared" si="4"/>
        <v/>
      </c>
      <c r="G96" s="71"/>
      <c r="H96" s="72"/>
      <c r="I96" s="73" t="str">
        <f t="shared" si="5"/>
        <v/>
      </c>
    </row>
    <row r="97" spans="1:9" s="73" customFormat="1" ht="17">
      <c r="A97" s="71"/>
      <c r="B97" s="72"/>
      <c r="C97" s="73" t="str">
        <f t="shared" si="3"/>
        <v/>
      </c>
      <c r="D97" s="71"/>
      <c r="E97" s="72"/>
      <c r="F97" s="73" t="str">
        <f t="shared" si="4"/>
        <v/>
      </c>
      <c r="G97" s="71"/>
      <c r="H97" s="72"/>
      <c r="I97" s="73" t="str">
        <f t="shared" si="5"/>
        <v/>
      </c>
    </row>
    <row r="98" spans="1:9" s="73" customFormat="1" ht="17">
      <c r="A98" s="71"/>
      <c r="B98" s="72"/>
      <c r="C98" s="73" t="str">
        <f t="shared" si="3"/>
        <v/>
      </c>
      <c r="D98" s="71"/>
      <c r="E98" s="72"/>
      <c r="F98" s="73" t="str">
        <f t="shared" si="4"/>
        <v/>
      </c>
      <c r="G98" s="71"/>
      <c r="H98" s="72"/>
      <c r="I98" s="73" t="str">
        <f t="shared" si="5"/>
        <v/>
      </c>
    </row>
    <row r="99" spans="1:9" s="73" customFormat="1" ht="17">
      <c r="A99" s="71"/>
      <c r="B99" s="72"/>
      <c r="C99" s="73" t="str">
        <f t="shared" si="3"/>
        <v/>
      </c>
      <c r="D99" s="71"/>
      <c r="E99" s="72"/>
      <c r="F99" s="73" t="str">
        <f t="shared" si="4"/>
        <v/>
      </c>
      <c r="G99" s="71"/>
      <c r="H99" s="72"/>
      <c r="I99" s="73" t="str">
        <f t="shared" si="5"/>
        <v/>
      </c>
    </row>
    <row r="100" spans="1:9" s="73" customFormat="1" ht="17">
      <c r="A100" s="71"/>
      <c r="B100" s="72"/>
      <c r="C100" s="73" t="str">
        <f t="shared" si="3"/>
        <v/>
      </c>
      <c r="D100" s="71"/>
      <c r="E100" s="72"/>
      <c r="F100" s="73" t="str">
        <f t="shared" si="4"/>
        <v/>
      </c>
      <c r="G100" s="71"/>
      <c r="H100" s="72"/>
      <c r="I100" s="73" t="str">
        <f t="shared" si="5"/>
        <v/>
      </c>
    </row>
    <row r="101" spans="1:9" s="73" customFormat="1" ht="17">
      <c r="A101" s="71"/>
      <c r="B101" s="72"/>
      <c r="C101" s="73" t="str">
        <f t="shared" si="3"/>
        <v/>
      </c>
      <c r="D101" s="71"/>
      <c r="E101" s="72"/>
      <c r="F101" s="73" t="str">
        <f t="shared" si="4"/>
        <v/>
      </c>
      <c r="G101" s="71"/>
      <c r="H101" s="72"/>
      <c r="I101" s="73" t="str">
        <f t="shared" si="5"/>
        <v/>
      </c>
    </row>
    <row r="102" spans="1:9" s="73" customFormat="1" ht="17">
      <c r="A102" s="71"/>
      <c r="B102" s="72"/>
      <c r="C102" s="73" t="str">
        <f t="shared" si="3"/>
        <v/>
      </c>
      <c r="D102" s="71"/>
      <c r="E102" s="72"/>
      <c r="F102" s="73" t="str">
        <f t="shared" si="4"/>
        <v/>
      </c>
      <c r="G102" s="71"/>
      <c r="H102" s="72"/>
      <c r="I102" s="73" t="str">
        <f t="shared" si="5"/>
        <v/>
      </c>
    </row>
    <row r="103" spans="1:9" s="73" customFormat="1" ht="17">
      <c r="A103" s="71"/>
      <c r="B103" s="72"/>
      <c r="C103" s="73" t="str">
        <f t="shared" si="3"/>
        <v/>
      </c>
      <c r="D103" s="71"/>
      <c r="E103" s="72"/>
      <c r="F103" s="73" t="str">
        <f t="shared" si="4"/>
        <v/>
      </c>
      <c r="G103" s="71"/>
      <c r="H103" s="72"/>
      <c r="I103" s="73" t="str">
        <f t="shared" si="5"/>
        <v/>
      </c>
    </row>
    <row r="104" spans="1:9" s="73" customFormat="1" ht="17">
      <c r="A104" s="71"/>
      <c r="B104" s="72"/>
      <c r="C104" s="73" t="str">
        <f t="shared" si="3"/>
        <v/>
      </c>
      <c r="D104" s="71"/>
      <c r="E104" s="72"/>
      <c r="F104" s="73" t="str">
        <f t="shared" si="4"/>
        <v/>
      </c>
      <c r="G104" s="71"/>
      <c r="H104" s="72"/>
      <c r="I104" s="73" t="str">
        <f t="shared" si="5"/>
        <v/>
      </c>
    </row>
    <row r="105" spans="1:9" s="73" customFormat="1" ht="17">
      <c r="A105" s="71"/>
      <c r="B105" s="72"/>
      <c r="C105" s="73" t="str">
        <f t="shared" si="3"/>
        <v/>
      </c>
      <c r="D105" s="71"/>
      <c r="E105" s="72"/>
      <c r="F105" s="73" t="str">
        <f t="shared" si="4"/>
        <v/>
      </c>
      <c r="G105" s="71"/>
      <c r="H105" s="72"/>
      <c r="I105" s="73" t="str">
        <f t="shared" si="5"/>
        <v/>
      </c>
    </row>
    <row r="106" spans="1:9" s="73" customFormat="1" ht="17">
      <c r="A106" s="71"/>
      <c r="B106" s="72"/>
      <c r="C106" s="73" t="str">
        <f t="shared" si="3"/>
        <v/>
      </c>
      <c r="D106" s="71"/>
      <c r="E106" s="72"/>
      <c r="F106" s="73" t="str">
        <f t="shared" si="4"/>
        <v/>
      </c>
      <c r="G106" s="71"/>
      <c r="H106" s="72"/>
      <c r="I106" s="73" t="str">
        <f t="shared" si="5"/>
        <v/>
      </c>
    </row>
    <row r="107" spans="1:9" s="73" customFormat="1" ht="17">
      <c r="A107" s="71"/>
      <c r="B107" s="72"/>
      <c r="C107" s="73" t="str">
        <f t="shared" si="3"/>
        <v/>
      </c>
      <c r="D107" s="71"/>
      <c r="E107" s="72"/>
      <c r="F107" s="73" t="str">
        <f t="shared" si="4"/>
        <v/>
      </c>
      <c r="G107" s="71"/>
      <c r="H107" s="72"/>
      <c r="I107" s="73" t="str">
        <f t="shared" si="5"/>
        <v/>
      </c>
    </row>
    <row r="108" spans="1:9" s="73" customFormat="1" ht="17">
      <c r="A108" s="71"/>
      <c r="B108" s="72"/>
      <c r="C108" s="73" t="str">
        <f t="shared" si="3"/>
        <v/>
      </c>
      <c r="D108" s="71"/>
      <c r="E108" s="72"/>
      <c r="F108" s="73" t="str">
        <f t="shared" si="4"/>
        <v/>
      </c>
      <c r="G108" s="71"/>
      <c r="H108" s="72"/>
      <c r="I108" s="73" t="str">
        <f t="shared" si="5"/>
        <v/>
      </c>
    </row>
    <row r="109" spans="1:9" s="73" customFormat="1" ht="17">
      <c r="A109" s="71"/>
      <c r="B109" s="72"/>
      <c r="C109" s="73" t="str">
        <f t="shared" si="3"/>
        <v/>
      </c>
      <c r="D109" s="71"/>
      <c r="E109" s="72"/>
      <c r="F109" s="73" t="str">
        <f t="shared" si="4"/>
        <v/>
      </c>
      <c r="G109" s="71"/>
      <c r="H109" s="72"/>
      <c r="I109" s="73" t="str">
        <f t="shared" si="5"/>
        <v/>
      </c>
    </row>
    <row r="110" spans="1:9" s="73" customFormat="1" ht="17">
      <c r="A110" s="71"/>
      <c r="B110" s="72"/>
      <c r="C110" s="73" t="str">
        <f t="shared" si="3"/>
        <v/>
      </c>
      <c r="D110" s="71"/>
      <c r="E110" s="72"/>
      <c r="F110" s="73" t="str">
        <f t="shared" si="4"/>
        <v/>
      </c>
      <c r="G110" s="71"/>
      <c r="H110" s="72"/>
      <c r="I110" s="73" t="str">
        <f t="shared" si="5"/>
        <v/>
      </c>
    </row>
    <row r="111" spans="1:9" s="73" customFormat="1" ht="17">
      <c r="A111" s="71"/>
      <c r="B111" s="72"/>
      <c r="C111" s="73" t="str">
        <f t="shared" si="3"/>
        <v/>
      </c>
      <c r="D111" s="71"/>
      <c r="E111" s="72"/>
      <c r="F111" s="73" t="str">
        <f t="shared" si="4"/>
        <v/>
      </c>
      <c r="G111" s="71"/>
      <c r="H111" s="72"/>
      <c r="I111" s="73" t="str">
        <f t="shared" si="5"/>
        <v/>
      </c>
    </row>
    <row r="112" spans="1:9" s="73" customFormat="1" ht="17">
      <c r="A112" s="71"/>
      <c r="B112" s="72"/>
      <c r="C112" s="73" t="str">
        <f t="shared" si="3"/>
        <v/>
      </c>
      <c r="D112" s="71"/>
      <c r="E112" s="72"/>
      <c r="F112" s="73" t="str">
        <f t="shared" si="4"/>
        <v/>
      </c>
      <c r="G112" s="71"/>
      <c r="H112" s="72"/>
      <c r="I112" s="73" t="str">
        <f t="shared" si="5"/>
        <v/>
      </c>
    </row>
    <row r="113" spans="1:9" s="73" customFormat="1" ht="17">
      <c r="A113" s="71"/>
      <c r="B113" s="72"/>
      <c r="C113" s="73" t="str">
        <f t="shared" si="3"/>
        <v/>
      </c>
      <c r="D113" s="71"/>
      <c r="E113" s="72"/>
      <c r="F113" s="73" t="str">
        <f t="shared" si="4"/>
        <v/>
      </c>
      <c r="G113" s="71"/>
      <c r="H113" s="72"/>
      <c r="I113" s="73" t="str">
        <f t="shared" si="5"/>
        <v/>
      </c>
    </row>
    <row r="114" spans="1:9" s="73" customFormat="1" ht="17">
      <c r="A114" s="71"/>
      <c r="B114" s="72"/>
      <c r="C114" s="73" t="str">
        <f t="shared" si="3"/>
        <v/>
      </c>
      <c r="D114" s="71"/>
      <c r="E114" s="72"/>
      <c r="F114" s="73" t="str">
        <f t="shared" si="4"/>
        <v/>
      </c>
      <c r="G114" s="71"/>
      <c r="H114" s="72"/>
      <c r="I114" s="73" t="str">
        <f t="shared" si="5"/>
        <v/>
      </c>
    </row>
    <row r="115" spans="1:9" s="73" customFormat="1" ht="17">
      <c r="A115" s="71"/>
      <c r="B115" s="72"/>
      <c r="C115" s="73" t="str">
        <f t="shared" si="3"/>
        <v/>
      </c>
      <c r="D115" s="71"/>
      <c r="E115" s="72"/>
      <c r="F115" s="73" t="str">
        <f t="shared" si="4"/>
        <v/>
      </c>
      <c r="G115" s="71"/>
      <c r="H115" s="72"/>
      <c r="I115" s="73" t="str">
        <f t="shared" si="5"/>
        <v/>
      </c>
    </row>
    <row r="116" spans="1:9" s="73" customFormat="1" ht="17">
      <c r="A116" s="71"/>
      <c r="B116" s="72"/>
      <c r="C116" s="73" t="str">
        <f t="shared" ref="C116:C179" si="6">IF(B116&gt;0,TEXT(B116,"(aaa)"),"")</f>
        <v/>
      </c>
      <c r="D116" s="71"/>
      <c r="E116" s="72"/>
      <c r="F116" s="73" t="str">
        <f t="shared" ref="F116:F179" si="7">IF(E116&gt;0,TEXT(E116,"(aaa)"),"")</f>
        <v/>
      </c>
      <c r="G116" s="71"/>
      <c r="H116" s="72"/>
      <c r="I116" s="73" t="str">
        <f t="shared" ref="I116:I179" si="8">IF(H116&gt;0,TEXT(H116,"(aaa)"),"")</f>
        <v/>
      </c>
    </row>
    <row r="117" spans="1:9" s="73" customFormat="1" ht="17">
      <c r="A117" s="71"/>
      <c r="B117" s="72"/>
      <c r="C117" s="73" t="str">
        <f t="shared" si="6"/>
        <v/>
      </c>
      <c r="D117" s="71"/>
      <c r="E117" s="72"/>
      <c r="F117" s="73" t="str">
        <f t="shared" si="7"/>
        <v/>
      </c>
      <c r="G117" s="71"/>
      <c r="H117" s="72"/>
      <c r="I117" s="73" t="str">
        <f t="shared" si="8"/>
        <v/>
      </c>
    </row>
    <row r="118" spans="1:9" s="73" customFormat="1" ht="17">
      <c r="A118" s="71"/>
      <c r="B118" s="72"/>
      <c r="C118" s="73" t="str">
        <f t="shared" si="6"/>
        <v/>
      </c>
      <c r="D118" s="71"/>
      <c r="E118" s="72"/>
      <c r="F118" s="73" t="str">
        <f t="shared" si="7"/>
        <v/>
      </c>
      <c r="G118" s="71"/>
      <c r="H118" s="72"/>
      <c r="I118" s="73" t="str">
        <f t="shared" si="8"/>
        <v/>
      </c>
    </row>
    <row r="119" spans="1:9" s="73" customFormat="1" ht="17">
      <c r="A119" s="71"/>
      <c r="B119" s="72"/>
      <c r="C119" s="73" t="str">
        <f t="shared" si="6"/>
        <v/>
      </c>
      <c r="D119" s="71"/>
      <c r="E119" s="72"/>
      <c r="F119" s="73" t="str">
        <f t="shared" si="7"/>
        <v/>
      </c>
      <c r="G119" s="71"/>
      <c r="H119" s="72"/>
      <c r="I119" s="73" t="str">
        <f t="shared" si="8"/>
        <v/>
      </c>
    </row>
    <row r="120" spans="1:9" s="73" customFormat="1" ht="17">
      <c r="A120" s="71"/>
      <c r="B120" s="72"/>
      <c r="C120" s="73" t="str">
        <f t="shared" si="6"/>
        <v/>
      </c>
      <c r="D120" s="71"/>
      <c r="E120" s="72"/>
      <c r="F120" s="73" t="str">
        <f t="shared" si="7"/>
        <v/>
      </c>
      <c r="G120" s="71"/>
      <c r="H120" s="72"/>
      <c r="I120" s="73" t="str">
        <f t="shared" si="8"/>
        <v/>
      </c>
    </row>
    <row r="121" spans="1:9" s="73" customFormat="1" ht="17">
      <c r="A121" s="71"/>
      <c r="B121" s="72"/>
      <c r="C121" s="73" t="str">
        <f t="shared" si="6"/>
        <v/>
      </c>
      <c r="D121" s="71"/>
      <c r="E121" s="72"/>
      <c r="F121" s="73" t="str">
        <f t="shared" si="7"/>
        <v/>
      </c>
      <c r="G121" s="71"/>
      <c r="H121" s="72"/>
      <c r="I121" s="73" t="str">
        <f t="shared" si="8"/>
        <v/>
      </c>
    </row>
    <row r="122" spans="1:9" s="73" customFormat="1" ht="17">
      <c r="A122" s="71"/>
      <c r="B122" s="72"/>
      <c r="C122" s="73" t="str">
        <f t="shared" si="6"/>
        <v/>
      </c>
      <c r="D122" s="71"/>
      <c r="E122" s="72"/>
      <c r="F122" s="73" t="str">
        <f t="shared" si="7"/>
        <v/>
      </c>
      <c r="G122" s="71"/>
      <c r="H122" s="72"/>
      <c r="I122" s="73" t="str">
        <f t="shared" si="8"/>
        <v/>
      </c>
    </row>
    <row r="123" spans="1:9" s="73" customFormat="1" ht="17">
      <c r="A123" s="71"/>
      <c r="B123" s="72"/>
      <c r="C123" s="73" t="str">
        <f t="shared" si="6"/>
        <v/>
      </c>
      <c r="D123" s="71"/>
      <c r="E123" s="72"/>
      <c r="F123" s="73" t="str">
        <f t="shared" si="7"/>
        <v/>
      </c>
      <c r="G123" s="71"/>
      <c r="H123" s="72"/>
      <c r="I123" s="73" t="str">
        <f t="shared" si="8"/>
        <v/>
      </c>
    </row>
    <row r="124" spans="1:9" s="73" customFormat="1" ht="17">
      <c r="A124" s="71"/>
      <c r="B124" s="72"/>
      <c r="C124" s="73" t="str">
        <f t="shared" si="6"/>
        <v/>
      </c>
      <c r="D124" s="71"/>
      <c r="E124" s="72"/>
      <c r="F124" s="73" t="str">
        <f t="shared" si="7"/>
        <v/>
      </c>
      <c r="G124" s="71"/>
      <c r="H124" s="72"/>
      <c r="I124" s="73" t="str">
        <f t="shared" si="8"/>
        <v/>
      </c>
    </row>
    <row r="125" spans="1:9" s="73" customFormat="1" ht="17">
      <c r="A125" s="71"/>
      <c r="B125" s="72"/>
      <c r="C125" s="73" t="str">
        <f t="shared" si="6"/>
        <v/>
      </c>
      <c r="D125" s="71"/>
      <c r="E125" s="72"/>
      <c r="F125" s="73" t="str">
        <f t="shared" si="7"/>
        <v/>
      </c>
      <c r="G125" s="71"/>
      <c r="H125" s="72"/>
      <c r="I125" s="73" t="str">
        <f t="shared" si="8"/>
        <v/>
      </c>
    </row>
    <row r="126" spans="1:9" s="73" customFormat="1" ht="17">
      <c r="A126" s="71"/>
      <c r="B126" s="72"/>
      <c r="C126" s="73" t="str">
        <f t="shared" si="6"/>
        <v/>
      </c>
      <c r="D126" s="71"/>
      <c r="E126" s="72"/>
      <c r="F126" s="73" t="str">
        <f t="shared" si="7"/>
        <v/>
      </c>
      <c r="G126" s="71"/>
      <c r="H126" s="72"/>
      <c r="I126" s="73" t="str">
        <f t="shared" si="8"/>
        <v/>
      </c>
    </row>
    <row r="127" spans="1:9" s="73" customFormat="1" ht="17">
      <c r="A127" s="71"/>
      <c r="B127" s="72"/>
      <c r="C127" s="73" t="str">
        <f t="shared" si="6"/>
        <v/>
      </c>
      <c r="D127" s="71"/>
      <c r="E127" s="72"/>
      <c r="F127" s="73" t="str">
        <f t="shared" si="7"/>
        <v/>
      </c>
      <c r="G127" s="71"/>
      <c r="H127" s="72"/>
      <c r="I127" s="73" t="str">
        <f t="shared" si="8"/>
        <v/>
      </c>
    </row>
    <row r="128" spans="1:9" s="73" customFormat="1" ht="17">
      <c r="A128" s="71"/>
      <c r="B128" s="72"/>
      <c r="C128" s="73" t="str">
        <f t="shared" si="6"/>
        <v/>
      </c>
      <c r="D128" s="71"/>
      <c r="E128" s="72"/>
      <c r="F128" s="73" t="str">
        <f t="shared" si="7"/>
        <v/>
      </c>
      <c r="G128" s="71"/>
      <c r="H128" s="72"/>
      <c r="I128" s="73" t="str">
        <f t="shared" si="8"/>
        <v/>
      </c>
    </row>
    <row r="129" spans="1:9" s="73" customFormat="1" ht="17">
      <c r="A129" s="71"/>
      <c r="B129" s="72"/>
      <c r="C129" s="73" t="str">
        <f t="shared" si="6"/>
        <v/>
      </c>
      <c r="D129" s="71"/>
      <c r="E129" s="72"/>
      <c r="F129" s="73" t="str">
        <f t="shared" si="7"/>
        <v/>
      </c>
      <c r="G129" s="71"/>
      <c r="H129" s="72"/>
      <c r="I129" s="73" t="str">
        <f t="shared" si="8"/>
        <v/>
      </c>
    </row>
    <row r="130" spans="1:9" s="73" customFormat="1" ht="17">
      <c r="A130" s="71"/>
      <c r="B130" s="72"/>
      <c r="C130" s="73" t="str">
        <f t="shared" si="6"/>
        <v/>
      </c>
      <c r="D130" s="71"/>
      <c r="E130" s="72"/>
      <c r="F130" s="73" t="str">
        <f t="shared" si="7"/>
        <v/>
      </c>
      <c r="G130" s="71"/>
      <c r="H130" s="72"/>
      <c r="I130" s="73" t="str">
        <f t="shared" si="8"/>
        <v/>
      </c>
    </row>
    <row r="131" spans="1:9" s="73" customFormat="1" ht="17">
      <c r="A131" s="71"/>
      <c r="B131" s="72"/>
      <c r="C131" s="73" t="str">
        <f t="shared" si="6"/>
        <v/>
      </c>
      <c r="D131" s="71"/>
      <c r="E131" s="72"/>
      <c r="F131" s="73" t="str">
        <f t="shared" si="7"/>
        <v/>
      </c>
      <c r="G131" s="71"/>
      <c r="H131" s="72"/>
      <c r="I131" s="73" t="str">
        <f t="shared" si="8"/>
        <v/>
      </c>
    </row>
    <row r="132" spans="1:9" s="73" customFormat="1" ht="17">
      <c r="A132" s="71"/>
      <c r="B132" s="72"/>
      <c r="C132" s="73" t="str">
        <f t="shared" si="6"/>
        <v/>
      </c>
      <c r="D132" s="71"/>
      <c r="E132" s="72"/>
      <c r="F132" s="73" t="str">
        <f t="shared" si="7"/>
        <v/>
      </c>
      <c r="G132" s="71"/>
      <c r="H132" s="72"/>
      <c r="I132" s="73" t="str">
        <f t="shared" si="8"/>
        <v/>
      </c>
    </row>
    <row r="133" spans="1:9" s="73" customFormat="1" ht="17">
      <c r="A133" s="71"/>
      <c r="B133" s="72"/>
      <c r="C133" s="73" t="str">
        <f t="shared" si="6"/>
        <v/>
      </c>
      <c r="D133" s="71"/>
      <c r="E133" s="72"/>
      <c r="F133" s="73" t="str">
        <f t="shared" si="7"/>
        <v/>
      </c>
      <c r="G133" s="71"/>
      <c r="H133" s="72"/>
      <c r="I133" s="73" t="str">
        <f t="shared" si="8"/>
        <v/>
      </c>
    </row>
    <row r="134" spans="1:9" s="73" customFormat="1" ht="17">
      <c r="A134" s="71"/>
      <c r="B134" s="72"/>
      <c r="C134" s="73" t="str">
        <f t="shared" si="6"/>
        <v/>
      </c>
      <c r="D134" s="71"/>
      <c r="E134" s="72"/>
      <c r="F134" s="73" t="str">
        <f t="shared" si="7"/>
        <v/>
      </c>
      <c r="G134" s="71"/>
      <c r="H134" s="72"/>
      <c r="I134" s="73" t="str">
        <f t="shared" si="8"/>
        <v/>
      </c>
    </row>
    <row r="135" spans="1:9" s="73" customFormat="1" ht="17">
      <c r="A135" s="71"/>
      <c r="B135" s="72"/>
      <c r="C135" s="73" t="str">
        <f t="shared" si="6"/>
        <v/>
      </c>
      <c r="D135" s="71"/>
      <c r="E135" s="72"/>
      <c r="F135" s="73" t="str">
        <f t="shared" si="7"/>
        <v/>
      </c>
      <c r="G135" s="71"/>
      <c r="H135" s="72"/>
      <c r="I135" s="73" t="str">
        <f t="shared" si="8"/>
        <v/>
      </c>
    </row>
    <row r="136" spans="1:9" s="73" customFormat="1" ht="17">
      <c r="A136" s="71"/>
      <c r="B136" s="72"/>
      <c r="C136" s="73" t="str">
        <f t="shared" si="6"/>
        <v/>
      </c>
      <c r="D136" s="71"/>
      <c r="E136" s="72"/>
      <c r="F136" s="73" t="str">
        <f t="shared" si="7"/>
        <v/>
      </c>
      <c r="G136" s="71"/>
      <c r="H136" s="72"/>
      <c r="I136" s="73" t="str">
        <f t="shared" si="8"/>
        <v/>
      </c>
    </row>
    <row r="137" spans="1:9" s="73" customFormat="1" ht="17">
      <c r="A137" s="71"/>
      <c r="B137" s="72"/>
      <c r="C137" s="73" t="str">
        <f t="shared" si="6"/>
        <v/>
      </c>
      <c r="D137" s="71"/>
      <c r="E137" s="72"/>
      <c r="F137" s="73" t="str">
        <f t="shared" si="7"/>
        <v/>
      </c>
      <c r="G137" s="71"/>
      <c r="H137" s="72"/>
      <c r="I137" s="73" t="str">
        <f t="shared" si="8"/>
        <v/>
      </c>
    </row>
    <row r="138" spans="1:9" s="73" customFormat="1" ht="17">
      <c r="A138" s="71"/>
      <c r="B138" s="72"/>
      <c r="C138" s="73" t="str">
        <f t="shared" si="6"/>
        <v/>
      </c>
      <c r="D138" s="71"/>
      <c r="E138" s="72"/>
      <c r="F138" s="73" t="str">
        <f t="shared" si="7"/>
        <v/>
      </c>
      <c r="G138" s="71"/>
      <c r="H138" s="72"/>
      <c r="I138" s="73" t="str">
        <f t="shared" si="8"/>
        <v/>
      </c>
    </row>
    <row r="139" spans="1:9" s="73" customFormat="1" ht="17">
      <c r="A139" s="71"/>
      <c r="B139" s="72"/>
      <c r="C139" s="73" t="str">
        <f t="shared" si="6"/>
        <v/>
      </c>
      <c r="D139" s="71"/>
      <c r="E139" s="72"/>
      <c r="F139" s="73" t="str">
        <f t="shared" si="7"/>
        <v/>
      </c>
      <c r="G139" s="71"/>
      <c r="H139" s="72"/>
      <c r="I139" s="73" t="str">
        <f t="shared" si="8"/>
        <v/>
      </c>
    </row>
    <row r="140" spans="1:9" s="73" customFormat="1" ht="17">
      <c r="A140" s="71"/>
      <c r="B140" s="72"/>
      <c r="C140" s="73" t="str">
        <f t="shared" si="6"/>
        <v/>
      </c>
      <c r="D140" s="71"/>
      <c r="E140" s="72"/>
      <c r="F140" s="73" t="str">
        <f t="shared" si="7"/>
        <v/>
      </c>
      <c r="G140" s="71"/>
      <c r="H140" s="72"/>
      <c r="I140" s="73" t="str">
        <f t="shared" si="8"/>
        <v/>
      </c>
    </row>
    <row r="141" spans="1:9" s="73" customFormat="1" ht="17">
      <c r="A141" s="71"/>
      <c r="B141" s="72"/>
      <c r="C141" s="73" t="str">
        <f t="shared" si="6"/>
        <v/>
      </c>
      <c r="D141" s="71"/>
      <c r="E141" s="72"/>
      <c r="F141" s="73" t="str">
        <f t="shared" si="7"/>
        <v/>
      </c>
      <c r="G141" s="71"/>
      <c r="H141" s="72"/>
      <c r="I141" s="73" t="str">
        <f t="shared" si="8"/>
        <v/>
      </c>
    </row>
    <row r="142" spans="1:9" s="73" customFormat="1" ht="17">
      <c r="A142" s="71"/>
      <c r="B142" s="72"/>
      <c r="C142" s="73" t="str">
        <f t="shared" si="6"/>
        <v/>
      </c>
      <c r="D142" s="71"/>
      <c r="E142" s="72"/>
      <c r="F142" s="73" t="str">
        <f t="shared" si="7"/>
        <v/>
      </c>
      <c r="G142" s="71"/>
      <c r="H142" s="72"/>
      <c r="I142" s="73" t="str">
        <f t="shared" si="8"/>
        <v/>
      </c>
    </row>
    <row r="143" spans="1:9" s="73" customFormat="1" ht="17">
      <c r="A143" s="71"/>
      <c r="B143" s="72"/>
      <c r="C143" s="73" t="str">
        <f t="shared" si="6"/>
        <v/>
      </c>
      <c r="D143" s="71"/>
      <c r="E143" s="72"/>
      <c r="F143" s="73" t="str">
        <f t="shared" si="7"/>
        <v/>
      </c>
      <c r="G143" s="71"/>
      <c r="H143" s="72"/>
      <c r="I143" s="73" t="str">
        <f t="shared" si="8"/>
        <v/>
      </c>
    </row>
    <row r="144" spans="1:9" s="73" customFormat="1" ht="17">
      <c r="A144" s="71"/>
      <c r="B144" s="72"/>
      <c r="C144" s="73" t="str">
        <f t="shared" si="6"/>
        <v/>
      </c>
      <c r="D144" s="71"/>
      <c r="E144" s="72"/>
      <c r="F144" s="73" t="str">
        <f t="shared" si="7"/>
        <v/>
      </c>
      <c r="G144" s="71"/>
      <c r="H144" s="72"/>
      <c r="I144" s="73" t="str">
        <f t="shared" si="8"/>
        <v/>
      </c>
    </row>
    <row r="145" spans="1:9" s="73" customFormat="1" ht="17">
      <c r="A145" s="71"/>
      <c r="B145" s="72"/>
      <c r="C145" s="73" t="str">
        <f t="shared" si="6"/>
        <v/>
      </c>
      <c r="D145" s="71"/>
      <c r="E145" s="72"/>
      <c r="F145" s="73" t="str">
        <f t="shared" si="7"/>
        <v/>
      </c>
      <c r="G145" s="71"/>
      <c r="H145" s="72"/>
      <c r="I145" s="73" t="str">
        <f t="shared" si="8"/>
        <v/>
      </c>
    </row>
    <row r="146" spans="1:9" s="73" customFormat="1" ht="17">
      <c r="A146" s="71"/>
      <c r="B146" s="72"/>
      <c r="C146" s="73" t="str">
        <f t="shared" si="6"/>
        <v/>
      </c>
      <c r="D146" s="71"/>
      <c r="E146" s="72"/>
      <c r="F146" s="73" t="str">
        <f t="shared" si="7"/>
        <v/>
      </c>
      <c r="G146" s="71"/>
      <c r="H146" s="72"/>
      <c r="I146" s="73" t="str">
        <f t="shared" si="8"/>
        <v/>
      </c>
    </row>
    <row r="147" spans="1:9" s="73" customFormat="1" ht="17">
      <c r="A147" s="71"/>
      <c r="B147" s="72"/>
      <c r="C147" s="73" t="str">
        <f t="shared" si="6"/>
        <v/>
      </c>
      <c r="D147" s="71"/>
      <c r="E147" s="72"/>
      <c r="F147" s="73" t="str">
        <f t="shared" si="7"/>
        <v/>
      </c>
      <c r="G147" s="71"/>
      <c r="H147" s="72"/>
      <c r="I147" s="73" t="str">
        <f t="shared" si="8"/>
        <v/>
      </c>
    </row>
    <row r="148" spans="1:9" s="73" customFormat="1" ht="17">
      <c r="A148" s="71"/>
      <c r="B148" s="72"/>
      <c r="C148" s="73" t="str">
        <f t="shared" si="6"/>
        <v/>
      </c>
      <c r="D148" s="71"/>
      <c r="E148" s="72"/>
      <c r="F148" s="73" t="str">
        <f t="shared" si="7"/>
        <v/>
      </c>
      <c r="G148" s="71"/>
      <c r="H148" s="72"/>
      <c r="I148" s="73" t="str">
        <f t="shared" si="8"/>
        <v/>
      </c>
    </row>
    <row r="149" spans="1:9" s="73" customFormat="1" ht="17">
      <c r="A149" s="71"/>
      <c r="B149" s="72"/>
      <c r="C149" s="73" t="str">
        <f t="shared" si="6"/>
        <v/>
      </c>
      <c r="D149" s="71"/>
      <c r="E149" s="72"/>
      <c r="F149" s="73" t="str">
        <f t="shared" si="7"/>
        <v/>
      </c>
      <c r="G149" s="71"/>
      <c r="H149" s="72"/>
      <c r="I149" s="73" t="str">
        <f t="shared" si="8"/>
        <v/>
      </c>
    </row>
    <row r="150" spans="1:9" s="73" customFormat="1" ht="17">
      <c r="A150" s="71"/>
      <c r="B150" s="72"/>
      <c r="C150" s="73" t="str">
        <f t="shared" si="6"/>
        <v/>
      </c>
      <c r="D150" s="71"/>
      <c r="E150" s="72"/>
      <c r="F150" s="73" t="str">
        <f t="shared" si="7"/>
        <v/>
      </c>
      <c r="G150" s="71"/>
      <c r="H150" s="72"/>
      <c r="I150" s="73" t="str">
        <f t="shared" si="8"/>
        <v/>
      </c>
    </row>
    <row r="151" spans="1:9" s="73" customFormat="1" ht="17">
      <c r="A151" s="71"/>
      <c r="B151" s="72"/>
      <c r="C151" s="73" t="str">
        <f t="shared" si="6"/>
        <v/>
      </c>
      <c r="D151" s="71"/>
      <c r="E151" s="72"/>
      <c r="F151" s="73" t="str">
        <f t="shared" si="7"/>
        <v/>
      </c>
      <c r="G151" s="71"/>
      <c r="H151" s="72"/>
      <c r="I151" s="73" t="str">
        <f t="shared" si="8"/>
        <v/>
      </c>
    </row>
    <row r="152" spans="1:9" s="73" customFormat="1" ht="17">
      <c r="A152" s="71"/>
      <c r="B152" s="72"/>
      <c r="C152" s="73" t="str">
        <f t="shared" si="6"/>
        <v/>
      </c>
      <c r="D152" s="71"/>
      <c r="E152" s="72"/>
      <c r="F152" s="73" t="str">
        <f t="shared" si="7"/>
        <v/>
      </c>
      <c r="G152" s="71"/>
      <c r="H152" s="72"/>
      <c r="I152" s="73" t="str">
        <f t="shared" si="8"/>
        <v/>
      </c>
    </row>
    <row r="153" spans="1:9" s="73" customFormat="1" ht="17">
      <c r="A153" s="71"/>
      <c r="B153" s="72"/>
      <c r="C153" s="73" t="str">
        <f t="shared" si="6"/>
        <v/>
      </c>
      <c r="D153" s="71"/>
      <c r="E153" s="72"/>
      <c r="F153" s="73" t="str">
        <f t="shared" si="7"/>
        <v/>
      </c>
      <c r="G153" s="71"/>
      <c r="H153" s="72"/>
      <c r="I153" s="73" t="str">
        <f t="shared" si="8"/>
        <v/>
      </c>
    </row>
    <row r="154" spans="1:9" s="73" customFormat="1" ht="17">
      <c r="A154" s="71"/>
      <c r="B154" s="72"/>
      <c r="C154" s="73" t="str">
        <f t="shared" si="6"/>
        <v/>
      </c>
      <c r="D154" s="71"/>
      <c r="E154" s="72"/>
      <c r="F154" s="73" t="str">
        <f t="shared" si="7"/>
        <v/>
      </c>
      <c r="G154" s="71"/>
      <c r="H154" s="72"/>
      <c r="I154" s="73" t="str">
        <f t="shared" si="8"/>
        <v/>
      </c>
    </row>
    <row r="155" spans="1:9" s="73" customFormat="1" ht="17">
      <c r="A155" s="71"/>
      <c r="B155" s="72"/>
      <c r="C155" s="73" t="str">
        <f t="shared" si="6"/>
        <v/>
      </c>
      <c r="D155" s="71"/>
      <c r="E155" s="72"/>
      <c r="F155" s="73" t="str">
        <f t="shared" si="7"/>
        <v/>
      </c>
      <c r="G155" s="71"/>
      <c r="H155" s="72"/>
      <c r="I155" s="73" t="str">
        <f t="shared" si="8"/>
        <v/>
      </c>
    </row>
    <row r="156" spans="1:9" s="73" customFormat="1" ht="17">
      <c r="A156" s="71"/>
      <c r="B156" s="72"/>
      <c r="C156" s="73" t="str">
        <f t="shared" si="6"/>
        <v/>
      </c>
      <c r="D156" s="71"/>
      <c r="E156" s="72"/>
      <c r="F156" s="73" t="str">
        <f t="shared" si="7"/>
        <v/>
      </c>
      <c r="G156" s="71"/>
      <c r="H156" s="72"/>
      <c r="I156" s="73" t="str">
        <f t="shared" si="8"/>
        <v/>
      </c>
    </row>
    <row r="157" spans="1:9" s="73" customFormat="1" ht="17">
      <c r="A157" s="71"/>
      <c r="B157" s="72"/>
      <c r="C157" s="73" t="str">
        <f t="shared" si="6"/>
        <v/>
      </c>
      <c r="D157" s="71"/>
      <c r="E157" s="72"/>
      <c r="F157" s="73" t="str">
        <f t="shared" si="7"/>
        <v/>
      </c>
      <c r="G157" s="71"/>
      <c r="H157" s="72"/>
      <c r="I157" s="73" t="str">
        <f t="shared" si="8"/>
        <v/>
      </c>
    </row>
    <row r="158" spans="1:9" s="73" customFormat="1" ht="17">
      <c r="A158" s="71"/>
      <c r="B158" s="72"/>
      <c r="C158" s="73" t="str">
        <f t="shared" si="6"/>
        <v/>
      </c>
      <c r="D158" s="71"/>
      <c r="E158" s="72"/>
      <c r="F158" s="73" t="str">
        <f t="shared" si="7"/>
        <v/>
      </c>
      <c r="G158" s="71"/>
      <c r="H158" s="72"/>
      <c r="I158" s="73" t="str">
        <f t="shared" si="8"/>
        <v/>
      </c>
    </row>
    <row r="159" spans="1:9" s="73" customFormat="1" ht="17">
      <c r="A159" s="71"/>
      <c r="B159" s="72"/>
      <c r="C159" s="73" t="str">
        <f t="shared" si="6"/>
        <v/>
      </c>
      <c r="D159" s="71"/>
      <c r="E159" s="72"/>
      <c r="F159" s="73" t="str">
        <f t="shared" si="7"/>
        <v/>
      </c>
      <c r="G159" s="71"/>
      <c r="H159" s="72"/>
      <c r="I159" s="73" t="str">
        <f t="shared" si="8"/>
        <v/>
      </c>
    </row>
    <row r="160" spans="1:9" s="73" customFormat="1" ht="17">
      <c r="A160" s="71"/>
      <c r="B160" s="72"/>
      <c r="C160" s="73" t="str">
        <f t="shared" si="6"/>
        <v/>
      </c>
      <c r="D160" s="71"/>
      <c r="E160" s="72"/>
      <c r="F160" s="73" t="str">
        <f t="shared" si="7"/>
        <v/>
      </c>
      <c r="G160" s="71"/>
      <c r="H160" s="72"/>
      <c r="I160" s="73" t="str">
        <f t="shared" si="8"/>
        <v/>
      </c>
    </row>
    <row r="161" spans="1:9" s="73" customFormat="1" ht="17">
      <c r="A161" s="71"/>
      <c r="B161" s="72"/>
      <c r="C161" s="73" t="str">
        <f t="shared" si="6"/>
        <v/>
      </c>
      <c r="D161" s="71"/>
      <c r="E161" s="72"/>
      <c r="F161" s="73" t="str">
        <f t="shared" si="7"/>
        <v/>
      </c>
      <c r="G161" s="71"/>
      <c r="H161" s="72"/>
      <c r="I161" s="73" t="str">
        <f t="shared" si="8"/>
        <v/>
      </c>
    </row>
    <row r="162" spans="1:9" s="73" customFormat="1" ht="17">
      <c r="A162" s="71"/>
      <c r="B162" s="72"/>
      <c r="C162" s="73" t="str">
        <f t="shared" si="6"/>
        <v/>
      </c>
      <c r="D162" s="71"/>
      <c r="E162" s="72"/>
      <c r="F162" s="73" t="str">
        <f t="shared" si="7"/>
        <v/>
      </c>
      <c r="G162" s="71"/>
      <c r="H162" s="72"/>
      <c r="I162" s="73" t="str">
        <f t="shared" si="8"/>
        <v/>
      </c>
    </row>
    <row r="163" spans="1:9" s="73" customFormat="1" ht="17">
      <c r="A163" s="71"/>
      <c r="B163" s="72"/>
      <c r="C163" s="73" t="str">
        <f t="shared" si="6"/>
        <v/>
      </c>
      <c r="D163" s="71"/>
      <c r="E163" s="72"/>
      <c r="F163" s="73" t="str">
        <f t="shared" si="7"/>
        <v/>
      </c>
      <c r="G163" s="71"/>
      <c r="H163" s="72"/>
      <c r="I163" s="73" t="str">
        <f t="shared" si="8"/>
        <v/>
      </c>
    </row>
    <row r="164" spans="1:9" s="73" customFormat="1" ht="17">
      <c r="A164" s="71"/>
      <c r="B164" s="72"/>
      <c r="C164" s="73" t="str">
        <f t="shared" si="6"/>
        <v/>
      </c>
      <c r="D164" s="71"/>
      <c r="E164" s="72"/>
      <c r="F164" s="73" t="str">
        <f t="shared" si="7"/>
        <v/>
      </c>
      <c r="G164" s="71"/>
      <c r="H164" s="72"/>
      <c r="I164" s="73" t="str">
        <f t="shared" si="8"/>
        <v/>
      </c>
    </row>
    <row r="165" spans="1:9" s="73" customFormat="1" ht="17">
      <c r="A165" s="71"/>
      <c r="B165" s="72"/>
      <c r="C165" s="73" t="str">
        <f t="shared" si="6"/>
        <v/>
      </c>
      <c r="D165" s="71"/>
      <c r="E165" s="72"/>
      <c r="F165" s="73" t="str">
        <f t="shared" si="7"/>
        <v/>
      </c>
      <c r="G165" s="71"/>
      <c r="H165" s="72"/>
      <c r="I165" s="73" t="str">
        <f t="shared" si="8"/>
        <v/>
      </c>
    </row>
    <row r="166" spans="1:9" s="73" customFormat="1" ht="17">
      <c r="A166" s="71"/>
      <c r="B166" s="72"/>
      <c r="C166" s="73" t="str">
        <f t="shared" si="6"/>
        <v/>
      </c>
      <c r="D166" s="71"/>
      <c r="E166" s="72"/>
      <c r="F166" s="73" t="str">
        <f t="shared" si="7"/>
        <v/>
      </c>
      <c r="G166" s="71"/>
      <c r="H166" s="72"/>
      <c r="I166" s="73" t="str">
        <f t="shared" si="8"/>
        <v/>
      </c>
    </row>
    <row r="167" spans="1:9" s="73" customFormat="1" ht="17">
      <c r="A167" s="71"/>
      <c r="B167" s="72"/>
      <c r="C167" s="73" t="str">
        <f t="shared" si="6"/>
        <v/>
      </c>
      <c r="D167" s="71"/>
      <c r="E167" s="72"/>
      <c r="F167" s="73" t="str">
        <f t="shared" si="7"/>
        <v/>
      </c>
      <c r="G167" s="71"/>
      <c r="H167" s="72"/>
      <c r="I167" s="73" t="str">
        <f t="shared" si="8"/>
        <v/>
      </c>
    </row>
    <row r="168" spans="1:9" s="73" customFormat="1" ht="17">
      <c r="A168" s="71"/>
      <c r="B168" s="72"/>
      <c r="C168" s="73" t="str">
        <f t="shared" si="6"/>
        <v/>
      </c>
      <c r="D168" s="71"/>
      <c r="E168" s="72"/>
      <c r="F168" s="73" t="str">
        <f t="shared" si="7"/>
        <v/>
      </c>
      <c r="G168" s="71"/>
      <c r="H168" s="72"/>
      <c r="I168" s="73" t="str">
        <f t="shared" si="8"/>
        <v/>
      </c>
    </row>
    <row r="169" spans="1:9" s="73" customFormat="1" ht="17">
      <c r="A169" s="71"/>
      <c r="B169" s="72"/>
      <c r="C169" s="73" t="str">
        <f t="shared" si="6"/>
        <v/>
      </c>
      <c r="D169" s="71"/>
      <c r="E169" s="72"/>
      <c r="F169" s="73" t="str">
        <f t="shared" si="7"/>
        <v/>
      </c>
      <c r="G169" s="71"/>
      <c r="H169" s="72"/>
      <c r="I169" s="73" t="str">
        <f t="shared" si="8"/>
        <v/>
      </c>
    </row>
    <row r="170" spans="1:9" s="73" customFormat="1" ht="17">
      <c r="A170" s="71"/>
      <c r="B170" s="72"/>
      <c r="C170" s="73" t="str">
        <f t="shared" si="6"/>
        <v/>
      </c>
      <c r="D170" s="71"/>
      <c r="E170" s="72"/>
      <c r="F170" s="73" t="str">
        <f t="shared" si="7"/>
        <v/>
      </c>
      <c r="G170" s="71"/>
      <c r="H170" s="72"/>
      <c r="I170" s="73" t="str">
        <f t="shared" si="8"/>
        <v/>
      </c>
    </row>
    <row r="171" spans="1:9" s="73" customFormat="1" ht="17">
      <c r="A171" s="71"/>
      <c r="B171" s="72"/>
      <c r="C171" s="73" t="str">
        <f t="shared" si="6"/>
        <v/>
      </c>
      <c r="D171" s="71"/>
      <c r="E171" s="72"/>
      <c r="F171" s="73" t="str">
        <f t="shared" si="7"/>
        <v/>
      </c>
      <c r="G171" s="71"/>
      <c r="H171" s="72"/>
      <c r="I171" s="73" t="str">
        <f t="shared" si="8"/>
        <v/>
      </c>
    </row>
    <row r="172" spans="1:9" s="73" customFormat="1" ht="17">
      <c r="A172" s="71"/>
      <c r="B172" s="72"/>
      <c r="C172" s="73" t="str">
        <f t="shared" si="6"/>
        <v/>
      </c>
      <c r="D172" s="71"/>
      <c r="E172" s="72"/>
      <c r="F172" s="73" t="str">
        <f t="shared" si="7"/>
        <v/>
      </c>
      <c r="G172" s="71"/>
      <c r="H172" s="72"/>
      <c r="I172" s="73" t="str">
        <f t="shared" si="8"/>
        <v/>
      </c>
    </row>
    <row r="173" spans="1:9" s="73" customFormat="1" ht="17">
      <c r="A173" s="71"/>
      <c r="B173" s="72"/>
      <c r="C173" s="73" t="str">
        <f t="shared" si="6"/>
        <v/>
      </c>
      <c r="D173" s="71"/>
      <c r="E173" s="72"/>
      <c r="F173" s="73" t="str">
        <f t="shared" si="7"/>
        <v/>
      </c>
      <c r="G173" s="71"/>
      <c r="H173" s="72"/>
      <c r="I173" s="73" t="str">
        <f t="shared" si="8"/>
        <v/>
      </c>
    </row>
    <row r="174" spans="1:9" s="73" customFormat="1" ht="17">
      <c r="A174" s="71"/>
      <c r="B174" s="72"/>
      <c r="C174" s="73" t="str">
        <f t="shared" si="6"/>
        <v/>
      </c>
      <c r="D174" s="71"/>
      <c r="E174" s="72"/>
      <c r="F174" s="73" t="str">
        <f t="shared" si="7"/>
        <v/>
      </c>
      <c r="G174" s="71"/>
      <c r="H174" s="72"/>
      <c r="I174" s="73" t="str">
        <f t="shared" si="8"/>
        <v/>
      </c>
    </row>
    <row r="175" spans="1:9" s="73" customFormat="1" ht="17">
      <c r="A175" s="71"/>
      <c r="B175" s="72"/>
      <c r="C175" s="73" t="str">
        <f t="shared" si="6"/>
        <v/>
      </c>
      <c r="D175" s="71"/>
      <c r="E175" s="72"/>
      <c r="F175" s="73" t="str">
        <f t="shared" si="7"/>
        <v/>
      </c>
      <c r="G175" s="71"/>
      <c r="H175" s="72"/>
      <c r="I175" s="73" t="str">
        <f t="shared" si="8"/>
        <v/>
      </c>
    </row>
    <row r="176" spans="1:9" s="73" customFormat="1" ht="17">
      <c r="A176" s="71"/>
      <c r="B176" s="72"/>
      <c r="C176" s="73" t="str">
        <f t="shared" si="6"/>
        <v/>
      </c>
      <c r="D176" s="71"/>
      <c r="E176" s="72"/>
      <c r="F176" s="73" t="str">
        <f t="shared" si="7"/>
        <v/>
      </c>
      <c r="G176" s="71"/>
      <c r="H176" s="72"/>
      <c r="I176" s="73" t="str">
        <f t="shared" si="8"/>
        <v/>
      </c>
    </row>
    <row r="177" spans="1:9" s="73" customFormat="1" ht="17">
      <c r="A177" s="71"/>
      <c r="B177" s="72"/>
      <c r="C177" s="73" t="str">
        <f t="shared" si="6"/>
        <v/>
      </c>
      <c r="D177" s="71"/>
      <c r="E177" s="72"/>
      <c r="F177" s="73" t="str">
        <f t="shared" si="7"/>
        <v/>
      </c>
      <c r="G177" s="71"/>
      <c r="H177" s="72"/>
      <c r="I177" s="73" t="str">
        <f t="shared" si="8"/>
        <v/>
      </c>
    </row>
    <row r="178" spans="1:9" s="73" customFormat="1" ht="17">
      <c r="A178" s="71"/>
      <c r="B178" s="72"/>
      <c r="C178" s="73" t="str">
        <f t="shared" si="6"/>
        <v/>
      </c>
      <c r="D178" s="71"/>
      <c r="E178" s="72"/>
      <c r="F178" s="73" t="str">
        <f t="shared" si="7"/>
        <v/>
      </c>
      <c r="G178" s="71"/>
      <c r="H178" s="72"/>
      <c r="I178" s="73" t="str">
        <f t="shared" si="8"/>
        <v/>
      </c>
    </row>
    <row r="179" spans="1:9" s="73" customFormat="1" ht="17">
      <c r="A179" s="71"/>
      <c r="B179" s="72"/>
      <c r="C179" s="73" t="str">
        <f t="shared" si="6"/>
        <v/>
      </c>
      <c r="D179" s="71"/>
      <c r="E179" s="72"/>
      <c r="F179" s="73" t="str">
        <f t="shared" si="7"/>
        <v/>
      </c>
      <c r="G179" s="71"/>
      <c r="H179" s="72"/>
      <c r="I179" s="73" t="str">
        <f t="shared" si="8"/>
        <v/>
      </c>
    </row>
    <row r="180" spans="1:9" s="73" customFormat="1" ht="17">
      <c r="A180" s="71"/>
      <c r="B180" s="72"/>
      <c r="C180" s="73" t="str">
        <f t="shared" ref="C180:C243" si="9">IF(B180&gt;0,TEXT(B180,"(aaa)"),"")</f>
        <v/>
      </c>
      <c r="D180" s="71"/>
      <c r="E180" s="72"/>
      <c r="F180" s="73" t="str">
        <f t="shared" ref="F180:F243" si="10">IF(E180&gt;0,TEXT(E180,"(aaa)"),"")</f>
        <v/>
      </c>
      <c r="G180" s="71"/>
      <c r="H180" s="72"/>
      <c r="I180" s="73" t="str">
        <f t="shared" ref="I180:I243" si="11">IF(H180&gt;0,TEXT(H180,"(aaa)"),"")</f>
        <v/>
      </c>
    </row>
    <row r="181" spans="1:9" s="73" customFormat="1" ht="17">
      <c r="A181" s="71"/>
      <c r="B181" s="72"/>
      <c r="C181" s="73" t="str">
        <f t="shared" si="9"/>
        <v/>
      </c>
      <c r="D181" s="71"/>
      <c r="E181" s="72"/>
      <c r="F181" s="73" t="str">
        <f t="shared" si="10"/>
        <v/>
      </c>
      <c r="G181" s="71"/>
      <c r="H181" s="72"/>
      <c r="I181" s="73" t="str">
        <f t="shared" si="11"/>
        <v/>
      </c>
    </row>
    <row r="182" spans="1:9" s="73" customFormat="1" ht="17">
      <c r="A182" s="71"/>
      <c r="B182" s="72"/>
      <c r="C182" s="73" t="str">
        <f t="shared" si="9"/>
        <v/>
      </c>
      <c r="D182" s="71"/>
      <c r="E182" s="72"/>
      <c r="F182" s="73" t="str">
        <f t="shared" si="10"/>
        <v/>
      </c>
      <c r="G182" s="71"/>
      <c r="H182" s="72"/>
      <c r="I182" s="73" t="str">
        <f t="shared" si="11"/>
        <v/>
      </c>
    </row>
    <row r="183" spans="1:9" s="73" customFormat="1" ht="17">
      <c r="A183" s="71"/>
      <c r="B183" s="72"/>
      <c r="C183" s="73" t="str">
        <f t="shared" si="9"/>
        <v/>
      </c>
      <c r="D183" s="71"/>
      <c r="E183" s="72"/>
      <c r="F183" s="73" t="str">
        <f t="shared" si="10"/>
        <v/>
      </c>
      <c r="G183" s="71"/>
      <c r="H183" s="72"/>
      <c r="I183" s="73" t="str">
        <f t="shared" si="11"/>
        <v/>
      </c>
    </row>
    <row r="184" spans="1:9" s="73" customFormat="1" ht="17">
      <c r="A184" s="71"/>
      <c r="B184" s="72"/>
      <c r="C184" s="73" t="str">
        <f t="shared" si="9"/>
        <v/>
      </c>
      <c r="D184" s="71"/>
      <c r="E184" s="72"/>
      <c r="F184" s="73" t="str">
        <f t="shared" si="10"/>
        <v/>
      </c>
      <c r="G184" s="71"/>
      <c r="H184" s="72"/>
      <c r="I184" s="73" t="str">
        <f t="shared" si="11"/>
        <v/>
      </c>
    </row>
    <row r="185" spans="1:9" s="73" customFormat="1" ht="17">
      <c r="A185" s="71"/>
      <c r="B185" s="72"/>
      <c r="C185" s="73" t="str">
        <f t="shared" si="9"/>
        <v/>
      </c>
      <c r="D185" s="71"/>
      <c r="E185" s="72"/>
      <c r="F185" s="73" t="str">
        <f t="shared" si="10"/>
        <v/>
      </c>
      <c r="G185" s="71"/>
      <c r="H185" s="72"/>
      <c r="I185" s="73" t="str">
        <f t="shared" si="11"/>
        <v/>
      </c>
    </row>
    <row r="186" spans="1:9" s="73" customFormat="1" ht="17">
      <c r="A186" s="71"/>
      <c r="B186" s="72"/>
      <c r="C186" s="73" t="str">
        <f t="shared" si="9"/>
        <v/>
      </c>
      <c r="D186" s="71"/>
      <c r="E186" s="72"/>
      <c r="F186" s="73" t="str">
        <f t="shared" si="10"/>
        <v/>
      </c>
      <c r="G186" s="71"/>
      <c r="H186" s="72"/>
      <c r="I186" s="73" t="str">
        <f t="shared" si="11"/>
        <v/>
      </c>
    </row>
    <row r="187" spans="1:9" s="73" customFormat="1" ht="17">
      <c r="A187" s="71"/>
      <c r="B187" s="72"/>
      <c r="C187" s="73" t="str">
        <f t="shared" si="9"/>
        <v/>
      </c>
      <c r="D187" s="71"/>
      <c r="E187" s="72"/>
      <c r="F187" s="73" t="str">
        <f t="shared" si="10"/>
        <v/>
      </c>
      <c r="G187" s="71"/>
      <c r="H187" s="72"/>
      <c r="I187" s="73" t="str">
        <f t="shared" si="11"/>
        <v/>
      </c>
    </row>
    <row r="188" spans="1:9" s="73" customFormat="1" ht="17">
      <c r="A188" s="71"/>
      <c r="B188" s="72"/>
      <c r="C188" s="73" t="str">
        <f t="shared" si="9"/>
        <v/>
      </c>
      <c r="D188" s="71"/>
      <c r="E188" s="72"/>
      <c r="F188" s="73" t="str">
        <f t="shared" si="10"/>
        <v/>
      </c>
      <c r="G188" s="71"/>
      <c r="H188" s="72"/>
      <c r="I188" s="73" t="str">
        <f t="shared" si="11"/>
        <v/>
      </c>
    </row>
    <row r="189" spans="1:9" s="73" customFormat="1" ht="17">
      <c r="A189" s="71"/>
      <c r="B189" s="72"/>
      <c r="C189" s="73" t="str">
        <f t="shared" si="9"/>
        <v/>
      </c>
      <c r="D189" s="71"/>
      <c r="E189" s="72"/>
      <c r="F189" s="73" t="str">
        <f t="shared" si="10"/>
        <v/>
      </c>
      <c r="G189" s="71"/>
      <c r="H189" s="72"/>
      <c r="I189" s="73" t="str">
        <f t="shared" si="11"/>
        <v/>
      </c>
    </row>
    <row r="190" spans="1:9" s="73" customFormat="1" ht="17">
      <c r="A190" s="71"/>
      <c r="B190" s="72"/>
      <c r="C190" s="73" t="str">
        <f t="shared" si="9"/>
        <v/>
      </c>
      <c r="D190" s="71"/>
      <c r="E190" s="72"/>
      <c r="F190" s="73" t="str">
        <f t="shared" si="10"/>
        <v/>
      </c>
      <c r="G190" s="71"/>
      <c r="H190" s="72"/>
      <c r="I190" s="73" t="str">
        <f t="shared" si="11"/>
        <v/>
      </c>
    </row>
    <row r="191" spans="1:9" s="73" customFormat="1" ht="17">
      <c r="A191" s="71"/>
      <c r="B191" s="72"/>
      <c r="C191" s="73" t="str">
        <f t="shared" si="9"/>
        <v/>
      </c>
      <c r="D191" s="71"/>
      <c r="E191" s="72"/>
      <c r="F191" s="73" t="str">
        <f t="shared" si="10"/>
        <v/>
      </c>
      <c r="G191" s="71"/>
      <c r="H191" s="72"/>
      <c r="I191" s="73" t="str">
        <f t="shared" si="11"/>
        <v/>
      </c>
    </row>
    <row r="192" spans="1:9" s="73" customFormat="1" ht="17">
      <c r="A192" s="71"/>
      <c r="B192" s="72"/>
      <c r="C192" s="73" t="str">
        <f t="shared" si="9"/>
        <v/>
      </c>
      <c r="D192" s="71"/>
      <c r="E192" s="72"/>
      <c r="F192" s="73" t="str">
        <f t="shared" si="10"/>
        <v/>
      </c>
      <c r="G192" s="71"/>
      <c r="H192" s="72"/>
      <c r="I192" s="73" t="str">
        <f t="shared" si="11"/>
        <v/>
      </c>
    </row>
    <row r="193" spans="1:9" s="73" customFormat="1" ht="17">
      <c r="A193" s="71"/>
      <c r="B193" s="72"/>
      <c r="C193" s="73" t="str">
        <f t="shared" si="9"/>
        <v/>
      </c>
      <c r="D193" s="71"/>
      <c r="E193" s="72"/>
      <c r="F193" s="73" t="str">
        <f t="shared" si="10"/>
        <v/>
      </c>
      <c r="G193" s="71"/>
      <c r="H193" s="72"/>
      <c r="I193" s="73" t="str">
        <f t="shared" si="11"/>
        <v/>
      </c>
    </row>
    <row r="194" spans="1:9" s="73" customFormat="1" ht="17">
      <c r="A194" s="71"/>
      <c r="B194" s="72"/>
      <c r="C194" s="73" t="str">
        <f t="shared" si="9"/>
        <v/>
      </c>
      <c r="D194" s="71"/>
      <c r="E194" s="72"/>
      <c r="F194" s="73" t="str">
        <f t="shared" si="10"/>
        <v/>
      </c>
      <c r="G194" s="71"/>
      <c r="H194" s="72"/>
      <c r="I194" s="73" t="str">
        <f t="shared" si="11"/>
        <v/>
      </c>
    </row>
    <row r="195" spans="1:9" s="73" customFormat="1" ht="17">
      <c r="A195" s="71"/>
      <c r="B195" s="72"/>
      <c r="C195" s="73" t="str">
        <f t="shared" si="9"/>
        <v/>
      </c>
      <c r="D195" s="71"/>
      <c r="E195" s="72"/>
      <c r="F195" s="73" t="str">
        <f t="shared" si="10"/>
        <v/>
      </c>
      <c r="G195" s="71"/>
      <c r="H195" s="72"/>
      <c r="I195" s="73" t="str">
        <f t="shared" si="11"/>
        <v/>
      </c>
    </row>
    <row r="196" spans="1:9" s="73" customFormat="1" ht="17">
      <c r="A196" s="71"/>
      <c r="B196" s="72"/>
      <c r="C196" s="73" t="str">
        <f t="shared" si="9"/>
        <v/>
      </c>
      <c r="D196" s="71"/>
      <c r="E196" s="72"/>
      <c r="F196" s="73" t="str">
        <f t="shared" si="10"/>
        <v/>
      </c>
      <c r="G196" s="71"/>
      <c r="H196" s="72"/>
      <c r="I196" s="73" t="str">
        <f t="shared" si="11"/>
        <v/>
      </c>
    </row>
    <row r="197" spans="1:9" s="73" customFormat="1" ht="17">
      <c r="A197" s="71"/>
      <c r="B197" s="72"/>
      <c r="C197" s="73" t="str">
        <f t="shared" si="9"/>
        <v/>
      </c>
      <c r="D197" s="71"/>
      <c r="E197" s="72"/>
      <c r="F197" s="73" t="str">
        <f t="shared" si="10"/>
        <v/>
      </c>
      <c r="G197" s="71"/>
      <c r="H197" s="72"/>
      <c r="I197" s="73" t="str">
        <f t="shared" si="11"/>
        <v/>
      </c>
    </row>
    <row r="198" spans="1:9" s="73" customFormat="1" ht="17">
      <c r="A198" s="71"/>
      <c r="B198" s="72"/>
      <c r="C198" s="73" t="str">
        <f t="shared" si="9"/>
        <v/>
      </c>
      <c r="D198" s="71"/>
      <c r="E198" s="72"/>
      <c r="F198" s="73" t="str">
        <f t="shared" si="10"/>
        <v/>
      </c>
      <c r="G198" s="71"/>
      <c r="H198" s="72"/>
      <c r="I198" s="73" t="str">
        <f t="shared" si="11"/>
        <v/>
      </c>
    </row>
    <row r="199" spans="1:9" s="73" customFormat="1" ht="17">
      <c r="A199" s="71"/>
      <c r="B199" s="72"/>
      <c r="C199" s="73" t="str">
        <f t="shared" si="9"/>
        <v/>
      </c>
      <c r="D199" s="71"/>
      <c r="E199" s="72"/>
      <c r="F199" s="73" t="str">
        <f t="shared" si="10"/>
        <v/>
      </c>
      <c r="G199" s="71"/>
      <c r="H199" s="72"/>
      <c r="I199" s="73" t="str">
        <f t="shared" si="11"/>
        <v/>
      </c>
    </row>
    <row r="200" spans="1:9" s="73" customFormat="1" ht="17">
      <c r="A200" s="71"/>
      <c r="B200" s="72"/>
      <c r="C200" s="73" t="str">
        <f t="shared" si="9"/>
        <v/>
      </c>
      <c r="D200" s="71"/>
      <c r="E200" s="72"/>
      <c r="F200" s="73" t="str">
        <f t="shared" si="10"/>
        <v/>
      </c>
      <c r="G200" s="71"/>
      <c r="H200" s="72"/>
      <c r="I200" s="73" t="str">
        <f t="shared" si="11"/>
        <v/>
      </c>
    </row>
    <row r="201" spans="1:9" s="73" customFormat="1" ht="17">
      <c r="A201" s="71"/>
      <c r="B201" s="72"/>
      <c r="C201" s="73" t="str">
        <f t="shared" si="9"/>
        <v/>
      </c>
      <c r="D201" s="71"/>
      <c r="E201" s="72"/>
      <c r="F201" s="73" t="str">
        <f t="shared" si="10"/>
        <v/>
      </c>
      <c r="G201" s="71"/>
      <c r="H201" s="72"/>
      <c r="I201" s="73" t="str">
        <f t="shared" si="11"/>
        <v/>
      </c>
    </row>
    <row r="202" spans="1:9" s="73" customFormat="1" ht="17">
      <c r="A202" s="71"/>
      <c r="B202" s="72"/>
      <c r="C202" s="73" t="str">
        <f t="shared" si="9"/>
        <v/>
      </c>
      <c r="D202" s="71"/>
      <c r="E202" s="72"/>
      <c r="F202" s="73" t="str">
        <f t="shared" si="10"/>
        <v/>
      </c>
      <c r="G202" s="71"/>
      <c r="H202" s="72"/>
      <c r="I202" s="73" t="str">
        <f t="shared" si="11"/>
        <v/>
      </c>
    </row>
    <row r="203" spans="1:9" s="73" customFormat="1" ht="17">
      <c r="A203" s="71"/>
      <c r="B203" s="72"/>
      <c r="C203" s="73" t="str">
        <f t="shared" si="9"/>
        <v/>
      </c>
      <c r="D203" s="71"/>
      <c r="E203" s="72"/>
      <c r="F203" s="73" t="str">
        <f t="shared" si="10"/>
        <v/>
      </c>
      <c r="G203" s="71"/>
      <c r="H203" s="72"/>
      <c r="I203" s="73" t="str">
        <f t="shared" si="11"/>
        <v/>
      </c>
    </row>
    <row r="204" spans="1:9" s="73" customFormat="1" ht="17">
      <c r="A204" s="71"/>
      <c r="B204" s="72"/>
      <c r="C204" s="73" t="str">
        <f t="shared" si="9"/>
        <v/>
      </c>
      <c r="D204" s="71"/>
      <c r="E204" s="72"/>
      <c r="F204" s="73" t="str">
        <f t="shared" si="10"/>
        <v/>
      </c>
      <c r="G204" s="71"/>
      <c r="H204" s="72"/>
      <c r="I204" s="73" t="str">
        <f t="shared" si="11"/>
        <v/>
      </c>
    </row>
    <row r="205" spans="1:9" s="73" customFormat="1" ht="17">
      <c r="A205" s="71"/>
      <c r="B205" s="72"/>
      <c r="C205" s="73" t="str">
        <f t="shared" si="9"/>
        <v/>
      </c>
      <c r="D205" s="71"/>
      <c r="E205" s="72"/>
      <c r="F205" s="73" t="str">
        <f t="shared" si="10"/>
        <v/>
      </c>
      <c r="G205" s="71"/>
      <c r="H205" s="72"/>
      <c r="I205" s="73" t="str">
        <f t="shared" si="11"/>
        <v/>
      </c>
    </row>
    <row r="206" spans="1:9" s="73" customFormat="1" ht="17">
      <c r="A206" s="71"/>
      <c r="B206" s="72"/>
      <c r="C206" s="73" t="str">
        <f t="shared" si="9"/>
        <v/>
      </c>
      <c r="D206" s="71"/>
      <c r="E206" s="72"/>
      <c r="F206" s="73" t="str">
        <f t="shared" si="10"/>
        <v/>
      </c>
      <c r="G206" s="71"/>
      <c r="H206" s="72"/>
      <c r="I206" s="73" t="str">
        <f t="shared" si="11"/>
        <v/>
      </c>
    </row>
    <row r="207" spans="1:9" s="73" customFormat="1" ht="17">
      <c r="A207" s="71"/>
      <c r="B207" s="72"/>
      <c r="C207" s="73" t="str">
        <f t="shared" si="9"/>
        <v/>
      </c>
      <c r="D207" s="71"/>
      <c r="E207" s="72"/>
      <c r="F207" s="73" t="str">
        <f t="shared" si="10"/>
        <v/>
      </c>
      <c r="G207" s="71"/>
      <c r="H207" s="72"/>
      <c r="I207" s="73" t="str">
        <f t="shared" si="11"/>
        <v/>
      </c>
    </row>
    <row r="208" spans="1:9" s="73" customFormat="1" ht="17">
      <c r="A208" s="71"/>
      <c r="B208" s="72"/>
      <c r="C208" s="73" t="str">
        <f t="shared" si="9"/>
        <v/>
      </c>
      <c r="D208" s="71"/>
      <c r="E208" s="72"/>
      <c r="F208" s="73" t="str">
        <f t="shared" si="10"/>
        <v/>
      </c>
      <c r="G208" s="71"/>
      <c r="H208" s="72"/>
      <c r="I208" s="73" t="str">
        <f t="shared" si="11"/>
        <v/>
      </c>
    </row>
    <row r="209" spans="1:9" s="73" customFormat="1" ht="17">
      <c r="A209" s="71"/>
      <c r="B209" s="72"/>
      <c r="C209" s="73" t="str">
        <f t="shared" si="9"/>
        <v/>
      </c>
      <c r="D209" s="71"/>
      <c r="E209" s="72"/>
      <c r="F209" s="73" t="str">
        <f t="shared" si="10"/>
        <v/>
      </c>
      <c r="G209" s="71"/>
      <c r="H209" s="72"/>
      <c r="I209" s="73" t="str">
        <f t="shared" si="11"/>
        <v/>
      </c>
    </row>
    <row r="210" spans="1:9" s="73" customFormat="1" ht="17">
      <c r="A210" s="71"/>
      <c r="B210" s="72"/>
      <c r="C210" s="73" t="str">
        <f t="shared" si="9"/>
        <v/>
      </c>
      <c r="D210" s="71"/>
      <c r="E210" s="72"/>
      <c r="F210" s="73" t="str">
        <f t="shared" si="10"/>
        <v/>
      </c>
      <c r="G210" s="71"/>
      <c r="H210" s="72"/>
      <c r="I210" s="73" t="str">
        <f t="shared" si="11"/>
        <v/>
      </c>
    </row>
    <row r="211" spans="1:9" s="73" customFormat="1" ht="17">
      <c r="A211" s="71"/>
      <c r="B211" s="72"/>
      <c r="C211" s="73" t="str">
        <f t="shared" si="9"/>
        <v/>
      </c>
      <c r="D211" s="71"/>
      <c r="E211" s="72"/>
      <c r="F211" s="73" t="str">
        <f t="shared" si="10"/>
        <v/>
      </c>
      <c r="G211" s="71"/>
      <c r="H211" s="72"/>
      <c r="I211" s="73" t="str">
        <f t="shared" si="11"/>
        <v/>
      </c>
    </row>
    <row r="212" spans="1:9" s="73" customFormat="1" ht="17">
      <c r="A212" s="71"/>
      <c r="B212" s="72"/>
      <c r="C212" s="73" t="str">
        <f t="shared" si="9"/>
        <v/>
      </c>
      <c r="D212" s="71"/>
      <c r="E212" s="72"/>
      <c r="F212" s="73" t="str">
        <f t="shared" si="10"/>
        <v/>
      </c>
      <c r="G212" s="71"/>
      <c r="H212" s="72"/>
      <c r="I212" s="73" t="str">
        <f t="shared" si="11"/>
        <v/>
      </c>
    </row>
    <row r="213" spans="1:9" s="73" customFormat="1" ht="17">
      <c r="A213" s="71"/>
      <c r="B213" s="72"/>
      <c r="C213" s="73" t="str">
        <f t="shared" si="9"/>
        <v/>
      </c>
      <c r="D213" s="71"/>
      <c r="E213" s="72"/>
      <c r="F213" s="73" t="str">
        <f t="shared" si="10"/>
        <v/>
      </c>
      <c r="G213" s="71"/>
      <c r="H213" s="72"/>
      <c r="I213" s="73" t="str">
        <f t="shared" si="11"/>
        <v/>
      </c>
    </row>
    <row r="214" spans="1:9" s="73" customFormat="1" ht="17">
      <c r="A214" s="71"/>
      <c r="B214" s="72"/>
      <c r="C214" s="73" t="str">
        <f t="shared" si="9"/>
        <v/>
      </c>
      <c r="D214" s="71"/>
      <c r="E214" s="72"/>
      <c r="F214" s="73" t="str">
        <f t="shared" si="10"/>
        <v/>
      </c>
      <c r="G214" s="71"/>
      <c r="H214" s="72"/>
      <c r="I214" s="73" t="str">
        <f t="shared" si="11"/>
        <v/>
      </c>
    </row>
    <row r="215" spans="1:9" s="73" customFormat="1" ht="17">
      <c r="A215" s="71"/>
      <c r="B215" s="72"/>
      <c r="C215" s="73" t="str">
        <f t="shared" si="9"/>
        <v/>
      </c>
      <c r="D215" s="71"/>
      <c r="E215" s="72"/>
      <c r="F215" s="73" t="str">
        <f t="shared" si="10"/>
        <v/>
      </c>
      <c r="G215" s="71"/>
      <c r="H215" s="72"/>
      <c r="I215" s="73" t="str">
        <f t="shared" si="11"/>
        <v/>
      </c>
    </row>
    <row r="216" spans="1:9" s="73" customFormat="1" ht="17">
      <c r="A216" s="71"/>
      <c r="B216" s="72"/>
      <c r="C216" s="73" t="str">
        <f t="shared" si="9"/>
        <v/>
      </c>
      <c r="D216" s="71"/>
      <c r="E216" s="72"/>
      <c r="F216" s="73" t="str">
        <f t="shared" si="10"/>
        <v/>
      </c>
      <c r="G216" s="71"/>
      <c r="H216" s="72"/>
      <c r="I216" s="73" t="str">
        <f t="shared" si="11"/>
        <v/>
      </c>
    </row>
    <row r="217" spans="1:9" s="73" customFormat="1" ht="17">
      <c r="A217" s="71"/>
      <c r="B217" s="72"/>
      <c r="C217" s="73" t="str">
        <f t="shared" si="9"/>
        <v/>
      </c>
      <c r="D217" s="71"/>
      <c r="E217" s="72"/>
      <c r="F217" s="73" t="str">
        <f t="shared" si="10"/>
        <v/>
      </c>
      <c r="G217" s="71"/>
      <c r="H217" s="72"/>
      <c r="I217" s="73" t="str">
        <f t="shared" si="11"/>
        <v/>
      </c>
    </row>
    <row r="218" spans="1:9" s="73" customFormat="1" ht="17">
      <c r="A218" s="71"/>
      <c r="B218" s="72"/>
      <c r="C218" s="73" t="str">
        <f t="shared" si="9"/>
        <v/>
      </c>
      <c r="D218" s="71"/>
      <c r="E218" s="72"/>
      <c r="F218" s="73" t="str">
        <f t="shared" si="10"/>
        <v/>
      </c>
      <c r="G218" s="71"/>
      <c r="H218" s="72"/>
      <c r="I218" s="73" t="str">
        <f t="shared" si="11"/>
        <v/>
      </c>
    </row>
    <row r="219" spans="1:9" s="73" customFormat="1" ht="17">
      <c r="A219" s="71"/>
      <c r="B219" s="72"/>
      <c r="C219" s="73" t="str">
        <f t="shared" si="9"/>
        <v/>
      </c>
      <c r="D219" s="71"/>
      <c r="E219" s="72"/>
      <c r="F219" s="73" t="str">
        <f t="shared" si="10"/>
        <v/>
      </c>
      <c r="G219" s="71"/>
      <c r="H219" s="72"/>
      <c r="I219" s="73" t="str">
        <f t="shared" si="11"/>
        <v/>
      </c>
    </row>
    <row r="220" spans="1:9" s="73" customFormat="1" ht="17">
      <c r="A220" s="71"/>
      <c r="B220" s="72"/>
      <c r="C220" s="73" t="str">
        <f t="shared" si="9"/>
        <v/>
      </c>
      <c r="D220" s="71"/>
      <c r="E220" s="72"/>
      <c r="F220" s="73" t="str">
        <f t="shared" si="10"/>
        <v/>
      </c>
      <c r="G220" s="71"/>
      <c r="H220" s="72"/>
      <c r="I220" s="73" t="str">
        <f t="shared" si="11"/>
        <v/>
      </c>
    </row>
    <row r="221" spans="1:9" s="73" customFormat="1" ht="17">
      <c r="A221" s="71"/>
      <c r="B221" s="72"/>
      <c r="C221" s="73" t="str">
        <f t="shared" si="9"/>
        <v/>
      </c>
      <c r="D221" s="71"/>
      <c r="E221" s="72"/>
      <c r="F221" s="73" t="str">
        <f t="shared" si="10"/>
        <v/>
      </c>
      <c r="G221" s="71"/>
      <c r="H221" s="72"/>
      <c r="I221" s="73" t="str">
        <f t="shared" si="11"/>
        <v/>
      </c>
    </row>
    <row r="222" spans="1:9" s="73" customFormat="1" ht="17">
      <c r="A222" s="71"/>
      <c r="B222" s="72"/>
      <c r="C222" s="73" t="str">
        <f t="shared" si="9"/>
        <v/>
      </c>
      <c r="D222" s="71"/>
      <c r="E222" s="72"/>
      <c r="F222" s="73" t="str">
        <f t="shared" si="10"/>
        <v/>
      </c>
      <c r="G222" s="71"/>
      <c r="H222" s="72"/>
      <c r="I222" s="73" t="str">
        <f t="shared" si="11"/>
        <v/>
      </c>
    </row>
    <row r="223" spans="1:9" s="73" customFormat="1" ht="17">
      <c r="A223" s="71"/>
      <c r="B223" s="72"/>
      <c r="C223" s="73" t="str">
        <f t="shared" si="9"/>
        <v/>
      </c>
      <c r="D223" s="71"/>
      <c r="E223" s="72"/>
      <c r="F223" s="73" t="str">
        <f t="shared" si="10"/>
        <v/>
      </c>
      <c r="G223" s="71"/>
      <c r="H223" s="72"/>
      <c r="I223" s="73" t="str">
        <f t="shared" si="11"/>
        <v/>
      </c>
    </row>
    <row r="224" spans="1:9" s="73" customFormat="1" ht="17">
      <c r="A224" s="71"/>
      <c r="B224" s="72"/>
      <c r="C224" s="73" t="str">
        <f t="shared" si="9"/>
        <v/>
      </c>
      <c r="D224" s="71"/>
      <c r="E224" s="72"/>
      <c r="F224" s="73" t="str">
        <f t="shared" si="10"/>
        <v/>
      </c>
      <c r="G224" s="71"/>
      <c r="H224" s="72"/>
      <c r="I224" s="73" t="str">
        <f t="shared" si="11"/>
        <v/>
      </c>
    </row>
    <row r="225" spans="1:9" s="73" customFormat="1" ht="17">
      <c r="A225" s="71"/>
      <c r="B225" s="72"/>
      <c r="C225" s="73" t="str">
        <f t="shared" si="9"/>
        <v/>
      </c>
      <c r="D225" s="71"/>
      <c r="E225" s="72"/>
      <c r="F225" s="73" t="str">
        <f t="shared" si="10"/>
        <v/>
      </c>
      <c r="G225" s="71"/>
      <c r="H225" s="72"/>
      <c r="I225" s="73" t="str">
        <f t="shared" si="11"/>
        <v/>
      </c>
    </row>
    <row r="226" spans="1:9" s="73" customFormat="1" ht="17">
      <c r="A226" s="71"/>
      <c r="B226" s="72"/>
      <c r="C226" s="73" t="str">
        <f t="shared" si="9"/>
        <v/>
      </c>
      <c r="D226" s="71"/>
      <c r="E226" s="72"/>
      <c r="F226" s="73" t="str">
        <f t="shared" si="10"/>
        <v/>
      </c>
      <c r="G226" s="71"/>
      <c r="H226" s="72"/>
      <c r="I226" s="73" t="str">
        <f t="shared" si="11"/>
        <v/>
      </c>
    </row>
    <row r="227" spans="1:9" s="73" customFormat="1" ht="17">
      <c r="A227" s="71"/>
      <c r="B227" s="72"/>
      <c r="C227" s="73" t="str">
        <f t="shared" si="9"/>
        <v/>
      </c>
      <c r="D227" s="71"/>
      <c r="E227" s="72"/>
      <c r="F227" s="73" t="str">
        <f t="shared" si="10"/>
        <v/>
      </c>
      <c r="G227" s="71"/>
      <c r="H227" s="72"/>
      <c r="I227" s="73" t="str">
        <f t="shared" si="11"/>
        <v/>
      </c>
    </row>
    <row r="228" spans="1:9" s="73" customFormat="1" ht="17">
      <c r="A228" s="71"/>
      <c r="B228" s="72"/>
      <c r="C228" s="73" t="str">
        <f t="shared" si="9"/>
        <v/>
      </c>
      <c r="D228" s="71"/>
      <c r="E228" s="72"/>
      <c r="F228" s="73" t="str">
        <f t="shared" si="10"/>
        <v/>
      </c>
      <c r="G228" s="71"/>
      <c r="H228" s="72"/>
      <c r="I228" s="73" t="str">
        <f t="shared" si="11"/>
        <v/>
      </c>
    </row>
    <row r="229" spans="1:9" s="73" customFormat="1" ht="17">
      <c r="A229" s="71"/>
      <c r="B229" s="72"/>
      <c r="C229" s="73" t="str">
        <f t="shared" si="9"/>
        <v/>
      </c>
      <c r="D229" s="71"/>
      <c r="E229" s="72"/>
      <c r="F229" s="73" t="str">
        <f t="shared" si="10"/>
        <v/>
      </c>
      <c r="G229" s="71"/>
      <c r="H229" s="72"/>
      <c r="I229" s="73" t="str">
        <f t="shared" si="11"/>
        <v/>
      </c>
    </row>
    <row r="230" spans="1:9" s="73" customFormat="1" ht="17">
      <c r="A230" s="71"/>
      <c r="B230" s="72"/>
      <c r="C230" s="73" t="str">
        <f t="shared" si="9"/>
        <v/>
      </c>
      <c r="D230" s="71"/>
      <c r="E230" s="72"/>
      <c r="F230" s="73" t="str">
        <f t="shared" si="10"/>
        <v/>
      </c>
      <c r="G230" s="71"/>
      <c r="H230" s="72"/>
      <c r="I230" s="73" t="str">
        <f t="shared" si="11"/>
        <v/>
      </c>
    </row>
    <row r="231" spans="1:9" s="73" customFormat="1" ht="17">
      <c r="A231" s="71"/>
      <c r="B231" s="72"/>
      <c r="C231" s="73" t="str">
        <f t="shared" si="9"/>
        <v/>
      </c>
      <c r="D231" s="71"/>
      <c r="E231" s="72"/>
      <c r="F231" s="73" t="str">
        <f t="shared" si="10"/>
        <v/>
      </c>
      <c r="G231" s="71"/>
      <c r="H231" s="72"/>
      <c r="I231" s="73" t="str">
        <f t="shared" si="11"/>
        <v/>
      </c>
    </row>
    <row r="232" spans="1:9" s="73" customFormat="1" ht="17">
      <c r="A232" s="71"/>
      <c r="B232" s="72"/>
      <c r="C232" s="73" t="str">
        <f t="shared" si="9"/>
        <v/>
      </c>
      <c r="D232" s="71"/>
      <c r="E232" s="72"/>
      <c r="F232" s="73" t="str">
        <f t="shared" si="10"/>
        <v/>
      </c>
      <c r="G232" s="71"/>
      <c r="H232" s="72"/>
      <c r="I232" s="73" t="str">
        <f t="shared" si="11"/>
        <v/>
      </c>
    </row>
    <row r="233" spans="1:9" s="73" customFormat="1" ht="17">
      <c r="A233" s="71"/>
      <c r="B233" s="72"/>
      <c r="C233" s="73" t="str">
        <f t="shared" si="9"/>
        <v/>
      </c>
      <c r="D233" s="71"/>
      <c r="E233" s="72"/>
      <c r="F233" s="73" t="str">
        <f t="shared" si="10"/>
        <v/>
      </c>
      <c r="G233" s="71"/>
      <c r="H233" s="72"/>
      <c r="I233" s="73" t="str">
        <f t="shared" si="11"/>
        <v/>
      </c>
    </row>
    <row r="234" spans="1:9" s="73" customFormat="1" ht="17">
      <c r="A234" s="71"/>
      <c r="B234" s="72"/>
      <c r="C234" s="73" t="str">
        <f t="shared" si="9"/>
        <v/>
      </c>
      <c r="D234" s="71"/>
      <c r="E234" s="72"/>
      <c r="F234" s="73" t="str">
        <f t="shared" si="10"/>
        <v/>
      </c>
      <c r="G234" s="71"/>
      <c r="H234" s="72"/>
      <c r="I234" s="73" t="str">
        <f t="shared" si="11"/>
        <v/>
      </c>
    </row>
    <row r="235" spans="1:9" s="73" customFormat="1" ht="17">
      <c r="A235" s="71"/>
      <c r="B235" s="72"/>
      <c r="C235" s="73" t="str">
        <f t="shared" si="9"/>
        <v/>
      </c>
      <c r="D235" s="71"/>
      <c r="E235" s="72"/>
      <c r="F235" s="73" t="str">
        <f t="shared" si="10"/>
        <v/>
      </c>
      <c r="G235" s="71"/>
      <c r="H235" s="72"/>
      <c r="I235" s="73" t="str">
        <f t="shared" si="11"/>
        <v/>
      </c>
    </row>
    <row r="236" spans="1:9" s="73" customFormat="1" ht="17">
      <c r="A236" s="71"/>
      <c r="B236" s="72"/>
      <c r="C236" s="73" t="str">
        <f t="shared" si="9"/>
        <v/>
      </c>
      <c r="D236" s="71"/>
      <c r="E236" s="72"/>
      <c r="F236" s="73" t="str">
        <f t="shared" si="10"/>
        <v/>
      </c>
      <c r="G236" s="71"/>
      <c r="H236" s="72"/>
      <c r="I236" s="73" t="str">
        <f t="shared" si="11"/>
        <v/>
      </c>
    </row>
    <row r="237" spans="1:9" s="73" customFormat="1" ht="17">
      <c r="A237" s="71"/>
      <c r="B237" s="72"/>
      <c r="C237" s="73" t="str">
        <f t="shared" si="9"/>
        <v/>
      </c>
      <c r="D237" s="71"/>
      <c r="E237" s="72"/>
      <c r="F237" s="73" t="str">
        <f t="shared" si="10"/>
        <v/>
      </c>
      <c r="G237" s="71"/>
      <c r="H237" s="72"/>
      <c r="I237" s="73" t="str">
        <f t="shared" si="11"/>
        <v/>
      </c>
    </row>
    <row r="238" spans="1:9" s="73" customFormat="1" ht="17">
      <c r="A238" s="71"/>
      <c r="B238" s="72"/>
      <c r="C238" s="73" t="str">
        <f t="shared" si="9"/>
        <v/>
      </c>
      <c r="D238" s="71"/>
      <c r="E238" s="72"/>
      <c r="F238" s="73" t="str">
        <f t="shared" si="10"/>
        <v/>
      </c>
      <c r="G238" s="71"/>
      <c r="H238" s="72"/>
      <c r="I238" s="73" t="str">
        <f t="shared" si="11"/>
        <v/>
      </c>
    </row>
    <row r="239" spans="1:9" s="73" customFormat="1" ht="17">
      <c r="A239" s="71"/>
      <c r="B239" s="72"/>
      <c r="C239" s="73" t="str">
        <f t="shared" si="9"/>
        <v/>
      </c>
      <c r="D239" s="71"/>
      <c r="E239" s="72"/>
      <c r="F239" s="73" t="str">
        <f t="shared" si="10"/>
        <v/>
      </c>
      <c r="G239" s="71"/>
      <c r="H239" s="72"/>
      <c r="I239" s="73" t="str">
        <f t="shared" si="11"/>
        <v/>
      </c>
    </row>
    <row r="240" spans="1:9" s="73" customFormat="1" ht="17">
      <c r="A240" s="71"/>
      <c r="B240" s="72"/>
      <c r="C240" s="73" t="str">
        <f t="shared" si="9"/>
        <v/>
      </c>
      <c r="D240" s="71"/>
      <c r="E240" s="72"/>
      <c r="F240" s="73" t="str">
        <f t="shared" si="10"/>
        <v/>
      </c>
      <c r="G240" s="71"/>
      <c r="H240" s="72"/>
      <c r="I240" s="73" t="str">
        <f t="shared" si="11"/>
        <v/>
      </c>
    </row>
    <row r="241" spans="1:9" s="73" customFormat="1" ht="17">
      <c r="A241" s="71"/>
      <c r="B241" s="72"/>
      <c r="C241" s="73" t="str">
        <f t="shared" si="9"/>
        <v/>
      </c>
      <c r="D241" s="71"/>
      <c r="E241" s="72"/>
      <c r="F241" s="73" t="str">
        <f t="shared" si="10"/>
        <v/>
      </c>
      <c r="G241" s="71"/>
      <c r="H241" s="72"/>
      <c r="I241" s="73" t="str">
        <f t="shared" si="11"/>
        <v/>
      </c>
    </row>
    <row r="242" spans="1:9" s="73" customFormat="1" ht="17">
      <c r="A242" s="71"/>
      <c r="B242" s="72"/>
      <c r="C242" s="73" t="str">
        <f t="shared" si="9"/>
        <v/>
      </c>
      <c r="D242" s="71"/>
      <c r="E242" s="72"/>
      <c r="F242" s="73" t="str">
        <f t="shared" si="10"/>
        <v/>
      </c>
      <c r="G242" s="71"/>
      <c r="H242" s="72"/>
      <c r="I242" s="73" t="str">
        <f t="shared" si="11"/>
        <v/>
      </c>
    </row>
    <row r="243" spans="1:9" s="73" customFormat="1" ht="17">
      <c r="A243" s="71"/>
      <c r="B243" s="72"/>
      <c r="C243" s="73" t="str">
        <f t="shared" si="9"/>
        <v/>
      </c>
      <c r="D243" s="71"/>
      <c r="E243" s="72"/>
      <c r="F243" s="73" t="str">
        <f t="shared" si="10"/>
        <v/>
      </c>
      <c r="G243" s="71"/>
      <c r="H243" s="72"/>
      <c r="I243" s="73" t="str">
        <f t="shared" si="11"/>
        <v/>
      </c>
    </row>
    <row r="244" spans="1:9" s="73" customFormat="1" ht="17">
      <c r="A244" s="71"/>
      <c r="B244" s="72"/>
      <c r="C244" s="73" t="str">
        <f t="shared" ref="C244:C287" si="12">IF(B244&gt;0,TEXT(B244,"(aaa)"),"")</f>
        <v/>
      </c>
      <c r="D244" s="71"/>
      <c r="E244" s="72"/>
      <c r="F244" s="73" t="str">
        <f t="shared" ref="F244:F287" si="13">IF(E244&gt;0,TEXT(E244,"(aaa)"),"")</f>
        <v/>
      </c>
      <c r="G244" s="71"/>
      <c r="H244" s="72"/>
      <c r="I244" s="73" t="str">
        <f t="shared" ref="I244:I287" si="14">IF(H244&gt;0,TEXT(H244,"(aaa)"),"")</f>
        <v/>
      </c>
    </row>
    <row r="245" spans="1:9" s="73" customFormat="1" ht="17">
      <c r="A245" s="71"/>
      <c r="B245" s="72"/>
      <c r="C245" s="73" t="str">
        <f t="shared" si="12"/>
        <v/>
      </c>
      <c r="D245" s="71"/>
      <c r="E245" s="72"/>
      <c r="F245" s="73" t="str">
        <f t="shared" si="13"/>
        <v/>
      </c>
      <c r="G245" s="71"/>
      <c r="H245" s="72"/>
      <c r="I245" s="73" t="str">
        <f t="shared" si="14"/>
        <v/>
      </c>
    </row>
    <row r="246" spans="1:9" s="73" customFormat="1" ht="17">
      <c r="A246" s="71"/>
      <c r="B246" s="72"/>
      <c r="C246" s="73" t="str">
        <f t="shared" si="12"/>
        <v/>
      </c>
      <c r="D246" s="71"/>
      <c r="E246" s="72"/>
      <c r="F246" s="73" t="str">
        <f t="shared" si="13"/>
        <v/>
      </c>
      <c r="G246" s="71"/>
      <c r="H246" s="72"/>
      <c r="I246" s="73" t="str">
        <f t="shared" si="14"/>
        <v/>
      </c>
    </row>
    <row r="247" spans="1:9" s="73" customFormat="1" ht="17">
      <c r="A247" s="71"/>
      <c r="B247" s="72"/>
      <c r="C247" s="73" t="str">
        <f t="shared" si="12"/>
        <v/>
      </c>
      <c r="D247" s="71"/>
      <c r="E247" s="72"/>
      <c r="F247" s="73" t="str">
        <f t="shared" si="13"/>
        <v/>
      </c>
      <c r="G247" s="71"/>
      <c r="H247" s="72"/>
      <c r="I247" s="73" t="str">
        <f t="shared" si="14"/>
        <v/>
      </c>
    </row>
    <row r="248" spans="1:9" s="73" customFormat="1" ht="17">
      <c r="A248" s="71"/>
      <c r="B248" s="72"/>
      <c r="C248" s="73" t="str">
        <f t="shared" si="12"/>
        <v/>
      </c>
      <c r="D248" s="71"/>
      <c r="E248" s="72"/>
      <c r="F248" s="73" t="str">
        <f t="shared" si="13"/>
        <v/>
      </c>
      <c r="G248" s="71"/>
      <c r="H248" s="72"/>
      <c r="I248" s="73" t="str">
        <f t="shared" si="14"/>
        <v/>
      </c>
    </row>
    <row r="249" spans="1:9" s="73" customFormat="1" ht="17">
      <c r="A249" s="71"/>
      <c r="B249" s="72"/>
      <c r="C249" s="73" t="str">
        <f t="shared" si="12"/>
        <v/>
      </c>
      <c r="D249" s="71"/>
      <c r="E249" s="72"/>
      <c r="F249" s="73" t="str">
        <f t="shared" si="13"/>
        <v/>
      </c>
      <c r="G249" s="71"/>
      <c r="H249" s="72"/>
      <c r="I249" s="73" t="str">
        <f t="shared" si="14"/>
        <v/>
      </c>
    </row>
    <row r="250" spans="1:9" s="73" customFormat="1" ht="17">
      <c r="A250" s="71"/>
      <c r="B250" s="72"/>
      <c r="C250" s="73" t="str">
        <f t="shared" si="12"/>
        <v/>
      </c>
      <c r="D250" s="71"/>
      <c r="E250" s="72"/>
      <c r="F250" s="73" t="str">
        <f t="shared" si="13"/>
        <v/>
      </c>
      <c r="G250" s="71"/>
      <c r="H250" s="72"/>
      <c r="I250" s="73" t="str">
        <f t="shared" si="14"/>
        <v/>
      </c>
    </row>
    <row r="251" spans="1:9" s="73" customFormat="1" ht="17">
      <c r="A251" s="71"/>
      <c r="B251" s="72"/>
      <c r="C251" s="73" t="str">
        <f t="shared" si="12"/>
        <v/>
      </c>
      <c r="D251" s="71"/>
      <c r="E251" s="72"/>
      <c r="F251" s="73" t="str">
        <f t="shared" si="13"/>
        <v/>
      </c>
      <c r="G251" s="71"/>
      <c r="H251" s="72"/>
      <c r="I251" s="73" t="str">
        <f t="shared" si="14"/>
        <v/>
      </c>
    </row>
    <row r="252" spans="1:9" s="73" customFormat="1" ht="17">
      <c r="A252" s="71"/>
      <c r="B252" s="72"/>
      <c r="C252" s="73" t="str">
        <f t="shared" si="12"/>
        <v/>
      </c>
      <c r="D252" s="71"/>
      <c r="E252" s="72"/>
      <c r="F252" s="73" t="str">
        <f t="shared" si="13"/>
        <v/>
      </c>
      <c r="G252" s="71"/>
      <c r="H252" s="72"/>
      <c r="I252" s="73" t="str">
        <f t="shared" si="14"/>
        <v/>
      </c>
    </row>
    <row r="253" spans="1:9" s="73" customFormat="1" ht="17">
      <c r="A253" s="71"/>
      <c r="B253" s="72"/>
      <c r="C253" s="73" t="str">
        <f t="shared" si="12"/>
        <v/>
      </c>
      <c r="D253" s="71"/>
      <c r="E253" s="72"/>
      <c r="F253" s="73" t="str">
        <f t="shared" si="13"/>
        <v/>
      </c>
      <c r="G253" s="71"/>
      <c r="H253" s="72"/>
      <c r="I253" s="73" t="str">
        <f t="shared" si="14"/>
        <v/>
      </c>
    </row>
    <row r="254" spans="1:9" s="73" customFormat="1" ht="17">
      <c r="A254" s="71"/>
      <c r="B254" s="72"/>
      <c r="C254" s="73" t="str">
        <f t="shared" si="12"/>
        <v/>
      </c>
      <c r="D254" s="71"/>
      <c r="E254" s="72"/>
      <c r="F254" s="73" t="str">
        <f t="shared" si="13"/>
        <v/>
      </c>
      <c r="G254" s="71"/>
      <c r="H254" s="72"/>
      <c r="I254" s="73" t="str">
        <f t="shared" si="14"/>
        <v/>
      </c>
    </row>
    <row r="255" spans="1:9" s="73" customFormat="1" ht="17">
      <c r="A255" s="71"/>
      <c r="B255" s="72"/>
      <c r="C255" s="73" t="str">
        <f t="shared" si="12"/>
        <v/>
      </c>
      <c r="D255" s="71"/>
      <c r="E255" s="72"/>
      <c r="F255" s="73" t="str">
        <f t="shared" si="13"/>
        <v/>
      </c>
      <c r="G255" s="71"/>
      <c r="H255" s="72"/>
      <c r="I255" s="73" t="str">
        <f t="shared" si="14"/>
        <v/>
      </c>
    </row>
    <row r="256" spans="1:9" s="73" customFormat="1" ht="17">
      <c r="A256" s="71"/>
      <c r="B256" s="72"/>
      <c r="C256" s="73" t="str">
        <f t="shared" si="12"/>
        <v/>
      </c>
      <c r="D256" s="71"/>
      <c r="E256" s="72"/>
      <c r="F256" s="73" t="str">
        <f t="shared" si="13"/>
        <v/>
      </c>
      <c r="G256" s="71"/>
      <c r="H256" s="72"/>
      <c r="I256" s="73" t="str">
        <f t="shared" si="14"/>
        <v/>
      </c>
    </row>
    <row r="257" spans="1:9" s="73" customFormat="1" ht="17">
      <c r="A257" s="71"/>
      <c r="B257" s="72"/>
      <c r="C257" s="73" t="str">
        <f t="shared" si="12"/>
        <v/>
      </c>
      <c r="D257" s="71"/>
      <c r="E257" s="72"/>
      <c r="F257" s="73" t="str">
        <f t="shared" si="13"/>
        <v/>
      </c>
      <c r="G257" s="71"/>
      <c r="H257" s="72"/>
      <c r="I257" s="73" t="str">
        <f t="shared" si="14"/>
        <v/>
      </c>
    </row>
    <row r="258" spans="1:9" s="73" customFormat="1" ht="17">
      <c r="A258" s="71"/>
      <c r="B258" s="72"/>
      <c r="C258" s="73" t="str">
        <f t="shared" si="12"/>
        <v/>
      </c>
      <c r="D258" s="71"/>
      <c r="E258" s="72"/>
      <c r="F258" s="73" t="str">
        <f t="shared" si="13"/>
        <v/>
      </c>
      <c r="G258" s="71"/>
      <c r="H258" s="72"/>
      <c r="I258" s="73" t="str">
        <f t="shared" si="14"/>
        <v/>
      </c>
    </row>
    <row r="259" spans="1:9" s="73" customFormat="1" ht="17">
      <c r="A259" s="71"/>
      <c r="B259" s="72"/>
      <c r="C259" s="73" t="str">
        <f t="shared" si="12"/>
        <v/>
      </c>
      <c r="D259" s="71"/>
      <c r="E259" s="72"/>
      <c r="F259" s="73" t="str">
        <f t="shared" si="13"/>
        <v/>
      </c>
      <c r="G259" s="71"/>
      <c r="H259" s="72"/>
      <c r="I259" s="73" t="str">
        <f t="shared" si="14"/>
        <v/>
      </c>
    </row>
    <row r="260" spans="1:9" s="73" customFormat="1" ht="17">
      <c r="A260" s="71"/>
      <c r="B260" s="72"/>
      <c r="C260" s="73" t="str">
        <f t="shared" si="12"/>
        <v/>
      </c>
      <c r="D260" s="71"/>
      <c r="E260" s="72"/>
      <c r="F260" s="73" t="str">
        <f t="shared" si="13"/>
        <v/>
      </c>
      <c r="G260" s="71"/>
      <c r="H260" s="72"/>
      <c r="I260" s="73" t="str">
        <f t="shared" si="14"/>
        <v/>
      </c>
    </row>
    <row r="261" spans="1:9" s="73" customFormat="1" ht="17">
      <c r="A261" s="71"/>
      <c r="B261" s="72"/>
      <c r="C261" s="73" t="str">
        <f t="shared" si="12"/>
        <v/>
      </c>
      <c r="D261" s="71"/>
      <c r="E261" s="72"/>
      <c r="F261" s="73" t="str">
        <f t="shared" si="13"/>
        <v/>
      </c>
      <c r="G261" s="71"/>
      <c r="H261" s="72"/>
      <c r="I261" s="73" t="str">
        <f t="shared" si="14"/>
        <v/>
      </c>
    </row>
    <row r="262" spans="1:9" s="73" customFormat="1" ht="17">
      <c r="A262" s="71"/>
      <c r="B262" s="72"/>
      <c r="C262" s="73" t="str">
        <f t="shared" si="12"/>
        <v/>
      </c>
      <c r="D262" s="71"/>
      <c r="E262" s="72"/>
      <c r="F262" s="73" t="str">
        <f t="shared" si="13"/>
        <v/>
      </c>
      <c r="G262" s="71"/>
      <c r="H262" s="72"/>
      <c r="I262" s="73" t="str">
        <f t="shared" si="14"/>
        <v/>
      </c>
    </row>
    <row r="263" spans="1:9" s="73" customFormat="1" ht="17">
      <c r="A263" s="71"/>
      <c r="B263" s="72"/>
      <c r="C263" s="73" t="str">
        <f t="shared" si="12"/>
        <v/>
      </c>
      <c r="D263" s="71"/>
      <c r="E263" s="72"/>
      <c r="F263" s="73" t="str">
        <f t="shared" si="13"/>
        <v/>
      </c>
      <c r="G263" s="71"/>
      <c r="H263" s="72"/>
      <c r="I263" s="73" t="str">
        <f t="shared" si="14"/>
        <v/>
      </c>
    </row>
    <row r="264" spans="1:9" s="73" customFormat="1" ht="17">
      <c r="A264" s="71"/>
      <c r="B264" s="72"/>
      <c r="C264" s="73" t="str">
        <f t="shared" si="12"/>
        <v/>
      </c>
      <c r="D264" s="71"/>
      <c r="E264" s="72"/>
      <c r="F264" s="73" t="str">
        <f t="shared" si="13"/>
        <v/>
      </c>
      <c r="G264" s="71"/>
      <c r="H264" s="72"/>
      <c r="I264" s="73" t="str">
        <f t="shared" si="14"/>
        <v/>
      </c>
    </row>
    <row r="265" spans="1:9" s="73" customFormat="1" ht="17">
      <c r="A265" s="71"/>
      <c r="B265" s="72"/>
      <c r="C265" s="73" t="str">
        <f t="shared" si="12"/>
        <v/>
      </c>
      <c r="D265" s="71"/>
      <c r="E265" s="72"/>
      <c r="F265" s="73" t="str">
        <f t="shared" si="13"/>
        <v/>
      </c>
      <c r="G265" s="71"/>
      <c r="H265" s="72"/>
      <c r="I265" s="73" t="str">
        <f t="shared" si="14"/>
        <v/>
      </c>
    </row>
    <row r="266" spans="1:9" s="73" customFormat="1" ht="17">
      <c r="A266" s="71"/>
      <c r="B266" s="72"/>
      <c r="C266" s="73" t="str">
        <f t="shared" si="12"/>
        <v/>
      </c>
      <c r="D266" s="71"/>
      <c r="E266" s="72"/>
      <c r="F266" s="73" t="str">
        <f t="shared" si="13"/>
        <v/>
      </c>
      <c r="G266" s="71"/>
      <c r="H266" s="72"/>
      <c r="I266" s="73" t="str">
        <f t="shared" si="14"/>
        <v/>
      </c>
    </row>
    <row r="267" spans="1:9" s="73" customFormat="1" ht="17">
      <c r="A267" s="71"/>
      <c r="B267" s="72"/>
      <c r="C267" s="73" t="str">
        <f t="shared" si="12"/>
        <v/>
      </c>
      <c r="D267" s="71"/>
      <c r="E267" s="72"/>
      <c r="F267" s="73" t="str">
        <f t="shared" si="13"/>
        <v/>
      </c>
      <c r="G267" s="71"/>
      <c r="H267" s="72"/>
      <c r="I267" s="73" t="str">
        <f t="shared" si="14"/>
        <v/>
      </c>
    </row>
    <row r="268" spans="1:9" s="73" customFormat="1" ht="17">
      <c r="A268" s="71"/>
      <c r="B268" s="72"/>
      <c r="C268" s="73" t="str">
        <f t="shared" si="12"/>
        <v/>
      </c>
      <c r="D268" s="71"/>
      <c r="E268" s="72"/>
      <c r="F268" s="73" t="str">
        <f t="shared" si="13"/>
        <v/>
      </c>
      <c r="G268" s="71"/>
      <c r="H268" s="72"/>
      <c r="I268" s="73" t="str">
        <f t="shared" si="14"/>
        <v/>
      </c>
    </row>
    <row r="269" spans="1:9" s="73" customFormat="1" ht="17">
      <c r="A269" s="71"/>
      <c r="B269" s="72"/>
      <c r="C269" s="73" t="str">
        <f t="shared" si="12"/>
        <v/>
      </c>
      <c r="D269" s="71"/>
      <c r="E269" s="72"/>
      <c r="F269" s="73" t="str">
        <f t="shared" si="13"/>
        <v/>
      </c>
      <c r="G269" s="71"/>
      <c r="H269" s="72"/>
      <c r="I269" s="73" t="str">
        <f t="shared" si="14"/>
        <v/>
      </c>
    </row>
    <row r="270" spans="1:9" s="73" customFormat="1" ht="17">
      <c r="A270" s="71"/>
      <c r="B270" s="72"/>
      <c r="C270" s="73" t="str">
        <f t="shared" si="12"/>
        <v/>
      </c>
      <c r="D270" s="71"/>
      <c r="E270" s="72"/>
      <c r="F270" s="73" t="str">
        <f t="shared" si="13"/>
        <v/>
      </c>
      <c r="G270" s="71"/>
      <c r="H270" s="72"/>
      <c r="I270" s="73" t="str">
        <f t="shared" si="14"/>
        <v/>
      </c>
    </row>
    <row r="271" spans="1:9" s="73" customFormat="1" ht="17">
      <c r="A271" s="71"/>
      <c r="B271" s="72"/>
      <c r="C271" s="73" t="str">
        <f t="shared" si="12"/>
        <v/>
      </c>
      <c r="D271" s="71"/>
      <c r="E271" s="72"/>
      <c r="F271" s="73" t="str">
        <f t="shared" si="13"/>
        <v/>
      </c>
      <c r="G271" s="71"/>
      <c r="H271" s="72"/>
      <c r="I271" s="73" t="str">
        <f t="shared" si="14"/>
        <v/>
      </c>
    </row>
    <row r="272" spans="1:9" s="73" customFormat="1" ht="17">
      <c r="A272" s="71"/>
      <c r="B272" s="72"/>
      <c r="C272" s="73" t="str">
        <f t="shared" si="12"/>
        <v/>
      </c>
      <c r="D272" s="71"/>
      <c r="E272" s="72"/>
      <c r="F272" s="73" t="str">
        <f t="shared" si="13"/>
        <v/>
      </c>
      <c r="G272" s="71"/>
      <c r="H272" s="72"/>
      <c r="I272" s="73" t="str">
        <f t="shared" si="14"/>
        <v/>
      </c>
    </row>
    <row r="273" spans="1:9" s="73" customFormat="1" ht="17">
      <c r="A273" s="71"/>
      <c r="B273" s="72"/>
      <c r="C273" s="73" t="str">
        <f t="shared" si="12"/>
        <v/>
      </c>
      <c r="D273" s="71"/>
      <c r="E273" s="72"/>
      <c r="F273" s="73" t="str">
        <f t="shared" si="13"/>
        <v/>
      </c>
      <c r="G273" s="71"/>
      <c r="H273" s="72"/>
      <c r="I273" s="73" t="str">
        <f t="shared" si="14"/>
        <v/>
      </c>
    </row>
    <row r="274" spans="1:9" s="73" customFormat="1" ht="17">
      <c r="A274" s="71"/>
      <c r="B274" s="72"/>
      <c r="C274" s="73" t="str">
        <f t="shared" si="12"/>
        <v/>
      </c>
      <c r="D274" s="71"/>
      <c r="E274" s="72"/>
      <c r="F274" s="73" t="str">
        <f t="shared" si="13"/>
        <v/>
      </c>
      <c r="G274" s="71"/>
      <c r="H274" s="72"/>
      <c r="I274" s="73" t="str">
        <f t="shared" si="14"/>
        <v/>
      </c>
    </row>
    <row r="275" spans="1:9" s="73" customFormat="1" ht="17">
      <c r="A275" s="71"/>
      <c r="B275" s="72"/>
      <c r="C275" s="73" t="str">
        <f t="shared" si="12"/>
        <v/>
      </c>
      <c r="D275" s="71"/>
      <c r="E275" s="72"/>
      <c r="F275" s="73" t="str">
        <f t="shared" si="13"/>
        <v/>
      </c>
      <c r="G275" s="71"/>
      <c r="H275" s="72"/>
      <c r="I275" s="73" t="str">
        <f t="shared" si="14"/>
        <v/>
      </c>
    </row>
    <row r="276" spans="1:9" s="73" customFormat="1" ht="17">
      <c r="A276" s="71"/>
      <c r="B276" s="72"/>
      <c r="C276" s="73" t="str">
        <f t="shared" si="12"/>
        <v/>
      </c>
      <c r="D276" s="71"/>
      <c r="E276" s="72"/>
      <c r="F276" s="73" t="str">
        <f t="shared" si="13"/>
        <v/>
      </c>
      <c r="G276" s="71"/>
      <c r="H276" s="72"/>
      <c r="I276" s="73" t="str">
        <f t="shared" si="14"/>
        <v/>
      </c>
    </row>
    <row r="277" spans="1:9" s="73" customFormat="1" ht="17">
      <c r="A277" s="71"/>
      <c r="B277" s="72"/>
      <c r="C277" s="73" t="str">
        <f t="shared" si="12"/>
        <v/>
      </c>
      <c r="D277" s="71"/>
      <c r="E277" s="72"/>
      <c r="F277" s="73" t="str">
        <f t="shared" si="13"/>
        <v/>
      </c>
      <c r="G277" s="71"/>
      <c r="H277" s="72"/>
      <c r="I277" s="73" t="str">
        <f t="shared" si="14"/>
        <v/>
      </c>
    </row>
    <row r="278" spans="1:9" s="73" customFormat="1" ht="17">
      <c r="A278" s="71"/>
      <c r="B278" s="72"/>
      <c r="C278" s="73" t="str">
        <f t="shared" si="12"/>
        <v/>
      </c>
      <c r="D278" s="71"/>
      <c r="E278" s="72"/>
      <c r="F278" s="73" t="str">
        <f t="shared" si="13"/>
        <v/>
      </c>
      <c r="G278" s="71"/>
      <c r="H278" s="72"/>
      <c r="I278" s="73" t="str">
        <f t="shared" si="14"/>
        <v/>
      </c>
    </row>
    <row r="279" spans="1:9" s="73" customFormat="1" ht="17">
      <c r="A279" s="71"/>
      <c r="B279" s="72"/>
      <c r="C279" s="73" t="str">
        <f t="shared" si="12"/>
        <v/>
      </c>
      <c r="D279" s="71"/>
      <c r="E279" s="72"/>
      <c r="F279" s="73" t="str">
        <f t="shared" si="13"/>
        <v/>
      </c>
      <c r="G279" s="71"/>
      <c r="H279" s="72"/>
      <c r="I279" s="73" t="str">
        <f t="shared" si="14"/>
        <v/>
      </c>
    </row>
    <row r="280" spans="1:9" s="73" customFormat="1" ht="17">
      <c r="A280" s="71"/>
      <c r="B280" s="72"/>
      <c r="C280" s="73" t="str">
        <f t="shared" si="12"/>
        <v/>
      </c>
      <c r="D280" s="71"/>
      <c r="E280" s="72"/>
      <c r="F280" s="73" t="str">
        <f t="shared" si="13"/>
        <v/>
      </c>
      <c r="G280" s="71"/>
      <c r="H280" s="72"/>
      <c r="I280" s="73" t="str">
        <f t="shared" si="14"/>
        <v/>
      </c>
    </row>
    <row r="281" spans="1:9" s="73" customFormat="1" ht="17">
      <c r="A281" s="71"/>
      <c r="B281" s="72"/>
      <c r="C281" s="73" t="str">
        <f t="shared" si="12"/>
        <v/>
      </c>
      <c r="D281" s="71"/>
      <c r="E281" s="72"/>
      <c r="F281" s="73" t="str">
        <f t="shared" si="13"/>
        <v/>
      </c>
      <c r="G281" s="71"/>
      <c r="H281" s="72"/>
      <c r="I281" s="73" t="str">
        <f t="shared" si="14"/>
        <v/>
      </c>
    </row>
    <row r="282" spans="1:9" s="73" customFormat="1" ht="17">
      <c r="A282" s="71"/>
      <c r="B282" s="72"/>
      <c r="C282" s="73" t="str">
        <f t="shared" si="12"/>
        <v/>
      </c>
      <c r="D282" s="71"/>
      <c r="E282" s="72"/>
      <c r="F282" s="73" t="str">
        <f t="shared" si="13"/>
        <v/>
      </c>
      <c r="G282" s="71"/>
      <c r="H282" s="72"/>
      <c r="I282" s="73" t="str">
        <f t="shared" si="14"/>
        <v/>
      </c>
    </row>
    <row r="283" spans="1:9" s="73" customFormat="1" ht="17">
      <c r="A283" s="71"/>
      <c r="B283" s="72"/>
      <c r="C283" s="73" t="str">
        <f t="shared" si="12"/>
        <v/>
      </c>
      <c r="D283" s="71"/>
      <c r="E283" s="72"/>
      <c r="F283" s="73" t="str">
        <f t="shared" si="13"/>
        <v/>
      </c>
      <c r="G283" s="71"/>
      <c r="H283" s="72"/>
      <c r="I283" s="73" t="str">
        <f t="shared" si="14"/>
        <v/>
      </c>
    </row>
    <row r="284" spans="1:9" s="73" customFormat="1" ht="17">
      <c r="A284" s="71"/>
      <c r="B284" s="72"/>
      <c r="C284" s="73" t="str">
        <f t="shared" si="12"/>
        <v/>
      </c>
      <c r="D284" s="71"/>
      <c r="E284" s="72"/>
      <c r="F284" s="73" t="str">
        <f t="shared" si="13"/>
        <v/>
      </c>
      <c r="G284" s="71"/>
      <c r="H284" s="72"/>
      <c r="I284" s="73" t="str">
        <f t="shared" si="14"/>
        <v/>
      </c>
    </row>
    <row r="285" spans="1:9" s="73" customFormat="1" ht="17">
      <c r="A285" s="71"/>
      <c r="B285" s="74"/>
      <c r="C285" s="73" t="str">
        <f t="shared" si="12"/>
        <v/>
      </c>
      <c r="D285" s="71"/>
      <c r="E285" s="74"/>
      <c r="F285" s="73" t="str">
        <f t="shared" si="13"/>
        <v/>
      </c>
      <c r="G285" s="71"/>
      <c r="H285" s="74"/>
      <c r="I285" s="73" t="str">
        <f t="shared" si="14"/>
        <v/>
      </c>
    </row>
    <row r="286" spans="1:9" s="73" customFormat="1" ht="17">
      <c r="A286" s="71"/>
      <c r="B286" s="74"/>
      <c r="C286" s="73" t="str">
        <f t="shared" si="12"/>
        <v/>
      </c>
      <c r="D286" s="71"/>
      <c r="E286" s="74"/>
      <c r="F286" s="73" t="str">
        <f t="shared" si="13"/>
        <v/>
      </c>
      <c r="G286" s="71"/>
      <c r="H286" s="74"/>
      <c r="I286" s="73" t="str">
        <f t="shared" si="14"/>
        <v/>
      </c>
    </row>
    <row r="287" spans="1:9" s="73" customFormat="1" ht="17">
      <c r="A287" s="71"/>
      <c r="B287" s="74"/>
      <c r="C287" s="73" t="str">
        <f t="shared" si="12"/>
        <v/>
      </c>
      <c r="D287" s="71"/>
      <c r="E287" s="74"/>
      <c r="F287" s="73" t="str">
        <f t="shared" si="13"/>
        <v/>
      </c>
      <c r="G287" s="71"/>
      <c r="H287" s="74"/>
      <c r="I287" s="73" t="str">
        <f t="shared" si="14"/>
        <v/>
      </c>
    </row>
    <row r="288" spans="1:9" s="73" customFormat="1" ht="17">
      <c r="A288" s="73" t="s">
        <v>1612</v>
      </c>
      <c r="D288" s="73" t="s">
        <v>1612</v>
      </c>
      <c r="G288" s="73" t="s">
        <v>1612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628"/>
  <sheetViews>
    <sheetView zoomScaleNormal="100" workbookViewId="0">
      <pane ySplit="1" topLeftCell="A592" activePane="bottomLeft" state="frozen"/>
      <selection pane="bottomLeft" activeCell="C625" sqref="C625"/>
    </sheetView>
  </sheetViews>
  <sheetFormatPr baseColWidth="10" defaultColWidth="73.33203125" defaultRowHeight="12"/>
  <cols>
    <col min="1" max="1" width="7.6640625" style="125" bestFit="1" customWidth="1"/>
    <col min="2" max="2" width="8.33203125" style="126" bestFit="1" customWidth="1"/>
    <col min="3" max="3" width="23.1640625" style="127" bestFit="1" customWidth="1"/>
    <col min="4" max="4" width="47.1640625" style="128" customWidth="1"/>
    <col min="5" max="5" width="56.1640625" style="128" customWidth="1"/>
    <col min="6" max="6" width="57.33203125" style="125" customWidth="1"/>
    <col min="7" max="26" width="73.33203125" style="125"/>
    <col min="27" max="27" width="73.33203125" style="125" hidden="1" customWidth="1"/>
    <col min="28" max="29" width="73.33203125" style="125"/>
    <col min="30" max="30" width="0" style="125" hidden="1" customWidth="1"/>
    <col min="31" max="16384" width="73.33203125" style="125"/>
  </cols>
  <sheetData>
    <row r="1" spans="1:6" s="123" customFormat="1" ht="13">
      <c r="A1" s="123" t="s">
        <v>408</v>
      </c>
      <c r="B1" s="123" t="s">
        <v>409</v>
      </c>
      <c r="C1" s="124" t="s">
        <v>410</v>
      </c>
      <c r="D1" s="124" t="s">
        <v>18</v>
      </c>
      <c r="E1" s="124" t="s">
        <v>19</v>
      </c>
      <c r="F1" s="123" t="s">
        <v>575</v>
      </c>
    </row>
    <row r="2" spans="1:6" ht="78">
      <c r="A2" s="210" t="s">
        <v>568</v>
      </c>
      <c r="B2" s="126">
        <v>1</v>
      </c>
      <c r="C2" s="127" t="s">
        <v>473</v>
      </c>
      <c r="D2" s="128" t="s">
        <v>411</v>
      </c>
      <c r="E2" s="128" t="s">
        <v>742</v>
      </c>
      <c r="F2" s="128" t="s">
        <v>742</v>
      </c>
    </row>
    <row r="3" spans="1:6" ht="91">
      <c r="A3" s="211">
        <v>650</v>
      </c>
      <c r="B3" s="126">
        <v>2</v>
      </c>
      <c r="C3" s="127" t="s">
        <v>473</v>
      </c>
      <c r="D3" s="128" t="s">
        <v>404</v>
      </c>
      <c r="E3" s="128" t="s">
        <v>743</v>
      </c>
      <c r="F3" s="128" t="s">
        <v>743</v>
      </c>
    </row>
    <row r="4" spans="1:6" ht="65">
      <c r="B4" s="126">
        <v>3</v>
      </c>
      <c r="C4" s="127" t="s">
        <v>473</v>
      </c>
      <c r="D4" s="128" t="s">
        <v>412</v>
      </c>
      <c r="E4" s="128" t="s">
        <v>744</v>
      </c>
      <c r="F4" s="128" t="s">
        <v>744</v>
      </c>
    </row>
    <row r="5" spans="1:6" ht="60">
      <c r="B5" s="126">
        <v>4</v>
      </c>
      <c r="C5" s="127" t="s">
        <v>473</v>
      </c>
      <c r="D5" s="128" t="s">
        <v>413</v>
      </c>
      <c r="E5" s="128" t="s">
        <v>745</v>
      </c>
      <c r="F5" s="128" t="s">
        <v>745</v>
      </c>
    </row>
    <row r="6" spans="1:6" ht="75">
      <c r="B6" s="126">
        <v>5</v>
      </c>
      <c r="C6" s="127" t="s">
        <v>473</v>
      </c>
      <c r="D6" s="128" t="s">
        <v>414</v>
      </c>
      <c r="E6" s="128" t="s">
        <v>746</v>
      </c>
      <c r="F6" s="128" t="s">
        <v>746</v>
      </c>
    </row>
    <row r="7" spans="1:6" ht="52">
      <c r="B7" s="126">
        <v>6</v>
      </c>
      <c r="C7" s="127" t="s">
        <v>473</v>
      </c>
      <c r="D7" s="128" t="s">
        <v>415</v>
      </c>
      <c r="E7" s="128" t="s">
        <v>747</v>
      </c>
      <c r="F7" s="128" t="s">
        <v>747</v>
      </c>
    </row>
    <row r="8" spans="1:6" ht="15">
      <c r="B8" s="126">
        <v>7</v>
      </c>
      <c r="C8" s="127" t="s">
        <v>473</v>
      </c>
      <c r="D8" s="128" t="s">
        <v>406</v>
      </c>
      <c r="E8" s="128" t="s">
        <v>748</v>
      </c>
      <c r="F8" s="128" t="s">
        <v>748</v>
      </c>
    </row>
    <row r="9" spans="1:6" ht="52">
      <c r="B9" s="126">
        <v>8</v>
      </c>
      <c r="C9" s="127" t="s">
        <v>542</v>
      </c>
      <c r="D9" s="128" t="s">
        <v>539</v>
      </c>
      <c r="E9" s="144" t="s">
        <v>1225</v>
      </c>
      <c r="F9" s="144" t="s">
        <v>1225</v>
      </c>
    </row>
    <row r="10" spans="1:6" ht="52">
      <c r="B10" s="126">
        <v>9</v>
      </c>
      <c r="C10" s="127" t="s">
        <v>542</v>
      </c>
      <c r="D10" s="128" t="s">
        <v>531</v>
      </c>
      <c r="E10" s="128" t="s">
        <v>749</v>
      </c>
      <c r="F10" s="128" t="s">
        <v>749</v>
      </c>
    </row>
    <row r="11" spans="1:6" ht="52">
      <c r="B11" s="126">
        <v>10</v>
      </c>
      <c r="C11" s="127" t="s">
        <v>542</v>
      </c>
      <c r="D11" s="128" t="s">
        <v>540</v>
      </c>
      <c r="E11" s="128" t="s">
        <v>750</v>
      </c>
      <c r="F11" s="128" t="s">
        <v>750</v>
      </c>
    </row>
    <row r="12" spans="1:6" ht="60">
      <c r="B12" s="126">
        <v>11</v>
      </c>
      <c r="C12" s="127" t="s">
        <v>542</v>
      </c>
      <c r="D12" s="128" t="s">
        <v>534</v>
      </c>
      <c r="E12" s="128" t="s">
        <v>751</v>
      </c>
      <c r="F12" s="128" t="s">
        <v>751</v>
      </c>
    </row>
    <row r="13" spans="1:6" ht="78">
      <c r="B13" s="126">
        <v>12</v>
      </c>
      <c r="C13" s="127" t="s">
        <v>542</v>
      </c>
      <c r="D13" s="128" t="s">
        <v>535</v>
      </c>
      <c r="E13" s="128" t="s">
        <v>752</v>
      </c>
      <c r="F13" s="128" t="s">
        <v>752</v>
      </c>
    </row>
    <row r="14" spans="1:6" ht="52">
      <c r="B14" s="126">
        <v>13</v>
      </c>
      <c r="C14" s="127" t="s">
        <v>473</v>
      </c>
      <c r="D14" s="128" t="s">
        <v>695</v>
      </c>
      <c r="E14" s="128" t="s">
        <v>753</v>
      </c>
      <c r="F14" s="128" t="s">
        <v>753</v>
      </c>
    </row>
    <row r="15" spans="1:6" ht="45">
      <c r="B15" s="126">
        <v>14</v>
      </c>
      <c r="C15" s="127" t="s">
        <v>473</v>
      </c>
      <c r="D15" s="128" t="s">
        <v>696</v>
      </c>
      <c r="E15" s="128" t="s">
        <v>754</v>
      </c>
      <c r="F15" s="128" t="s">
        <v>754</v>
      </c>
    </row>
    <row r="16" spans="1:6" ht="15">
      <c r="B16" s="126">
        <v>15</v>
      </c>
      <c r="C16" s="127" t="s">
        <v>473</v>
      </c>
      <c r="D16" s="128" t="s">
        <v>697</v>
      </c>
      <c r="E16" s="128" t="s">
        <v>755</v>
      </c>
      <c r="F16" s="128" t="s">
        <v>755</v>
      </c>
    </row>
    <row r="17" spans="1:6" ht="15">
      <c r="B17" s="126">
        <v>101</v>
      </c>
      <c r="D17" s="128" t="s">
        <v>20</v>
      </c>
      <c r="E17" s="128" t="s">
        <v>756</v>
      </c>
      <c r="F17" s="128" t="s">
        <v>756</v>
      </c>
    </row>
    <row r="18" spans="1:6" ht="15">
      <c r="B18" s="126">
        <v>102</v>
      </c>
      <c r="D18" s="128" t="s">
        <v>21</v>
      </c>
      <c r="E18" s="128" t="s">
        <v>757</v>
      </c>
      <c r="F18" s="128" t="s">
        <v>757</v>
      </c>
    </row>
    <row r="19" spans="1:6" ht="15">
      <c r="B19" s="126">
        <v>103</v>
      </c>
      <c r="D19" s="128" t="s">
        <v>22</v>
      </c>
      <c r="E19" s="128" t="s">
        <v>758</v>
      </c>
      <c r="F19" s="128" t="s">
        <v>758</v>
      </c>
    </row>
    <row r="20" spans="1:6" ht="15">
      <c r="B20" s="126">
        <v>104</v>
      </c>
      <c r="D20" s="128" t="s">
        <v>23</v>
      </c>
      <c r="E20" s="128" t="s">
        <v>759</v>
      </c>
      <c r="F20" s="128" t="s">
        <v>759</v>
      </c>
    </row>
    <row r="21" spans="1:6" ht="15">
      <c r="B21" s="126">
        <v>105</v>
      </c>
      <c r="D21" s="128" t="s">
        <v>24</v>
      </c>
      <c r="E21" s="128" t="s">
        <v>760</v>
      </c>
      <c r="F21" s="128" t="s">
        <v>760</v>
      </c>
    </row>
    <row r="22" spans="1:6" ht="13">
      <c r="B22" s="126">
        <v>106</v>
      </c>
      <c r="D22" s="128" t="s">
        <v>328</v>
      </c>
      <c r="E22" s="128" t="s">
        <v>1321</v>
      </c>
      <c r="F22" s="128" t="s">
        <v>1321</v>
      </c>
    </row>
    <row r="23" spans="1:6" ht="45">
      <c r="B23" s="126">
        <v>107</v>
      </c>
      <c r="D23" s="128" t="s">
        <v>329</v>
      </c>
      <c r="E23" s="128" t="s">
        <v>761</v>
      </c>
      <c r="F23" s="128" t="s">
        <v>761</v>
      </c>
    </row>
    <row r="24" spans="1:6" ht="45">
      <c r="B24" s="126">
        <v>108</v>
      </c>
      <c r="D24" s="128" t="s">
        <v>330</v>
      </c>
      <c r="E24" s="128" t="s">
        <v>762</v>
      </c>
      <c r="F24" s="128" t="s">
        <v>762</v>
      </c>
    </row>
    <row r="25" spans="1:6" ht="13">
      <c r="B25" s="126">
        <v>109</v>
      </c>
      <c r="D25" s="128" t="s">
        <v>25</v>
      </c>
      <c r="E25" s="128" t="s">
        <v>1322</v>
      </c>
      <c r="F25" s="128" t="s">
        <v>1322</v>
      </c>
    </row>
    <row r="26" spans="1:6" ht="13">
      <c r="B26" s="126">
        <v>110</v>
      </c>
      <c r="D26" s="128" t="s">
        <v>26</v>
      </c>
      <c r="E26" s="128" t="s">
        <v>1323</v>
      </c>
      <c r="F26" s="128" t="s">
        <v>1323</v>
      </c>
    </row>
    <row r="27" spans="1:6" ht="15">
      <c r="B27" s="126">
        <v>111</v>
      </c>
      <c r="D27" s="128" t="s">
        <v>27</v>
      </c>
      <c r="E27" s="128" t="s">
        <v>763</v>
      </c>
      <c r="F27" s="128" t="s">
        <v>763</v>
      </c>
    </row>
    <row r="28" spans="1:6" ht="15">
      <c r="A28" s="130"/>
      <c r="B28" s="126">
        <v>112</v>
      </c>
      <c r="C28" s="131" t="s">
        <v>399</v>
      </c>
      <c r="D28" s="129" t="s">
        <v>416</v>
      </c>
      <c r="E28" s="129" t="s">
        <v>764</v>
      </c>
      <c r="F28" s="129" t="s">
        <v>764</v>
      </c>
    </row>
    <row r="29" spans="1:6" ht="15">
      <c r="B29" s="126">
        <v>113</v>
      </c>
      <c r="D29" s="128" t="s">
        <v>28</v>
      </c>
      <c r="E29" s="128" t="s">
        <v>764</v>
      </c>
      <c r="F29" s="128" t="s">
        <v>764</v>
      </c>
    </row>
    <row r="30" spans="1:6" ht="15">
      <c r="B30" s="126">
        <v>114</v>
      </c>
      <c r="C30" s="127" t="s">
        <v>500</v>
      </c>
      <c r="D30" s="128" t="s">
        <v>505</v>
      </c>
      <c r="E30" s="128" t="s">
        <v>765</v>
      </c>
      <c r="F30" s="128" t="s">
        <v>765</v>
      </c>
    </row>
    <row r="31" spans="1:6" ht="15">
      <c r="B31" s="126">
        <v>115</v>
      </c>
      <c r="D31" s="128" t="s">
        <v>557</v>
      </c>
      <c r="E31" s="128" t="s">
        <v>766</v>
      </c>
      <c r="F31" s="128" t="s">
        <v>766</v>
      </c>
    </row>
    <row r="32" spans="1:6" ht="15">
      <c r="B32" s="126">
        <v>116</v>
      </c>
      <c r="D32" s="128" t="s">
        <v>29</v>
      </c>
      <c r="E32" s="128" t="s">
        <v>767</v>
      </c>
      <c r="F32" s="128" t="s">
        <v>767</v>
      </c>
    </row>
    <row r="33" spans="2:6" ht="15">
      <c r="B33" s="126">
        <v>117</v>
      </c>
      <c r="D33" s="128" t="s">
        <v>30</v>
      </c>
      <c r="E33" s="128" t="s">
        <v>768</v>
      </c>
      <c r="F33" s="128" t="s">
        <v>768</v>
      </c>
    </row>
    <row r="34" spans="2:6" ht="30">
      <c r="B34" s="126">
        <v>118</v>
      </c>
      <c r="D34" s="128" t="s">
        <v>331</v>
      </c>
      <c r="E34" s="128" t="s">
        <v>769</v>
      </c>
      <c r="F34" s="128" t="s">
        <v>769</v>
      </c>
    </row>
    <row r="35" spans="2:6" ht="13">
      <c r="B35" s="126">
        <v>119</v>
      </c>
      <c r="D35" s="128" t="s">
        <v>486</v>
      </c>
      <c r="E35" s="128" t="s">
        <v>1437</v>
      </c>
      <c r="F35" s="128" t="s">
        <v>1437</v>
      </c>
    </row>
    <row r="36" spans="2:6" ht="13">
      <c r="B36" s="126">
        <v>120</v>
      </c>
      <c r="D36" s="128" t="s">
        <v>479</v>
      </c>
      <c r="E36" s="128" t="s">
        <v>1438</v>
      </c>
      <c r="F36" s="128" t="s">
        <v>1438</v>
      </c>
    </row>
    <row r="37" spans="2:6" ht="26">
      <c r="B37" s="126">
        <v>121</v>
      </c>
      <c r="D37" s="128" t="s">
        <v>31</v>
      </c>
      <c r="E37" s="128" t="s">
        <v>1305</v>
      </c>
      <c r="F37" s="128" t="s">
        <v>1305</v>
      </c>
    </row>
    <row r="38" spans="2:6" ht="15">
      <c r="B38" s="126">
        <v>122</v>
      </c>
      <c r="D38" s="128" t="s">
        <v>32</v>
      </c>
      <c r="E38" s="128" t="s">
        <v>770</v>
      </c>
      <c r="F38" s="128" t="s">
        <v>770</v>
      </c>
    </row>
    <row r="39" spans="2:6" ht="15">
      <c r="B39" s="126">
        <v>123</v>
      </c>
      <c r="D39" s="128" t="s">
        <v>326</v>
      </c>
      <c r="E39" s="128" t="s">
        <v>771</v>
      </c>
      <c r="F39" s="128" t="s">
        <v>771</v>
      </c>
    </row>
    <row r="40" spans="2:6" ht="13">
      <c r="B40" s="126">
        <v>124</v>
      </c>
      <c r="D40" s="128" t="s">
        <v>33</v>
      </c>
      <c r="E40" s="128" t="s">
        <v>1324</v>
      </c>
      <c r="F40" s="128" t="s">
        <v>1324</v>
      </c>
    </row>
    <row r="41" spans="2:6" ht="26">
      <c r="B41" s="126">
        <v>125</v>
      </c>
      <c r="D41" s="128" t="s">
        <v>488</v>
      </c>
      <c r="E41" s="128" t="s">
        <v>1325</v>
      </c>
      <c r="F41" s="128" t="s">
        <v>1325</v>
      </c>
    </row>
    <row r="42" spans="2:6" ht="13">
      <c r="B42" s="126">
        <v>126</v>
      </c>
      <c r="D42" s="128" t="s">
        <v>487</v>
      </c>
      <c r="E42" s="128" t="s">
        <v>1326</v>
      </c>
      <c r="F42" s="128" t="s">
        <v>1326</v>
      </c>
    </row>
    <row r="43" spans="2:6" ht="26">
      <c r="B43" s="126">
        <v>127</v>
      </c>
      <c r="D43" s="128" t="s">
        <v>34</v>
      </c>
      <c r="E43" s="128" t="s">
        <v>1306</v>
      </c>
      <c r="F43" s="128" t="s">
        <v>1306</v>
      </c>
    </row>
    <row r="44" spans="2:6" ht="26">
      <c r="B44" s="126">
        <v>128</v>
      </c>
      <c r="D44" s="128" t="s">
        <v>35</v>
      </c>
      <c r="E44" s="128" t="s">
        <v>772</v>
      </c>
      <c r="F44" s="128" t="s">
        <v>772</v>
      </c>
    </row>
    <row r="45" spans="2:6" ht="26">
      <c r="B45" s="126">
        <v>129</v>
      </c>
      <c r="D45" s="128" t="s">
        <v>327</v>
      </c>
      <c r="E45" s="128" t="s">
        <v>773</v>
      </c>
      <c r="F45" s="128" t="s">
        <v>773</v>
      </c>
    </row>
    <row r="46" spans="2:6" ht="15">
      <c r="B46" s="126">
        <v>130</v>
      </c>
      <c r="D46" s="128" t="s">
        <v>36</v>
      </c>
      <c r="E46" s="128" t="s">
        <v>774</v>
      </c>
      <c r="F46" s="128" t="s">
        <v>774</v>
      </c>
    </row>
    <row r="47" spans="2:6" ht="15">
      <c r="B47" s="126">
        <v>131</v>
      </c>
      <c r="D47" s="128" t="s">
        <v>332</v>
      </c>
      <c r="E47" s="128" t="s">
        <v>775</v>
      </c>
      <c r="F47" s="128" t="s">
        <v>775</v>
      </c>
    </row>
    <row r="48" spans="2:6" ht="15">
      <c r="B48" s="126">
        <v>132</v>
      </c>
      <c r="D48" s="128" t="s">
        <v>37</v>
      </c>
      <c r="E48" s="128" t="s">
        <v>776</v>
      </c>
      <c r="F48" s="128" t="s">
        <v>776</v>
      </c>
    </row>
    <row r="49" spans="2:6" ht="15">
      <c r="B49" s="126">
        <v>133</v>
      </c>
      <c r="D49" s="128" t="s">
        <v>583</v>
      </c>
      <c r="E49" s="128" t="s">
        <v>777</v>
      </c>
      <c r="F49" s="128" t="s">
        <v>777</v>
      </c>
    </row>
    <row r="50" spans="2:6" ht="15">
      <c r="B50" s="126">
        <v>134</v>
      </c>
      <c r="D50" s="128" t="s">
        <v>582</v>
      </c>
      <c r="E50" s="128" t="s">
        <v>778</v>
      </c>
      <c r="F50" s="128" t="s">
        <v>778</v>
      </c>
    </row>
    <row r="51" spans="2:6" ht="13">
      <c r="B51" s="126">
        <v>135</v>
      </c>
      <c r="D51" s="129" t="s">
        <v>581</v>
      </c>
      <c r="E51" s="132">
        <v>43435</v>
      </c>
      <c r="F51" s="132">
        <v>43435</v>
      </c>
    </row>
    <row r="52" spans="2:6" ht="13">
      <c r="B52" s="126">
        <v>136</v>
      </c>
      <c r="D52" s="129" t="s">
        <v>333</v>
      </c>
      <c r="E52" s="132">
        <v>43465</v>
      </c>
      <c r="F52" s="132">
        <v>43465</v>
      </c>
    </row>
    <row r="53" spans="2:6" ht="13">
      <c r="B53" s="126">
        <v>137</v>
      </c>
      <c r="D53" s="128" t="s">
        <v>38</v>
      </c>
      <c r="E53" s="128" t="s">
        <v>38</v>
      </c>
      <c r="F53" s="128" t="s">
        <v>38</v>
      </c>
    </row>
    <row r="54" spans="2:6" ht="15">
      <c r="B54" s="126">
        <v>138</v>
      </c>
      <c r="D54" s="128" t="s">
        <v>39</v>
      </c>
      <c r="E54" s="128" t="s">
        <v>779</v>
      </c>
      <c r="F54" s="128" t="s">
        <v>779</v>
      </c>
    </row>
    <row r="55" spans="2:6" ht="15">
      <c r="B55" s="126">
        <v>139</v>
      </c>
      <c r="C55" s="127" t="s">
        <v>417</v>
      </c>
      <c r="D55" s="128" t="s">
        <v>418</v>
      </c>
      <c r="E55" s="128" t="s">
        <v>780</v>
      </c>
      <c r="F55" s="128" t="s">
        <v>780</v>
      </c>
    </row>
    <row r="56" spans="2:6" ht="26">
      <c r="B56" s="126">
        <v>140</v>
      </c>
      <c r="D56" s="128" t="s">
        <v>40</v>
      </c>
      <c r="E56" s="128" t="s">
        <v>1327</v>
      </c>
      <c r="F56" s="128" t="s">
        <v>1327</v>
      </c>
    </row>
    <row r="57" spans="2:6" ht="30">
      <c r="B57" s="126">
        <v>141</v>
      </c>
      <c r="D57" s="128" t="s">
        <v>41</v>
      </c>
      <c r="E57" s="144" t="s">
        <v>1382</v>
      </c>
      <c r="F57" s="144" t="s">
        <v>1382</v>
      </c>
    </row>
    <row r="58" spans="2:6" ht="15">
      <c r="B58" s="126">
        <v>142</v>
      </c>
      <c r="D58" s="128" t="s">
        <v>475</v>
      </c>
      <c r="E58" s="128" t="s">
        <v>781</v>
      </c>
      <c r="F58" s="128" t="s">
        <v>781</v>
      </c>
    </row>
    <row r="59" spans="2:6" ht="14">
      <c r="B59" s="126">
        <v>143</v>
      </c>
      <c r="C59" s="127" t="s">
        <v>451</v>
      </c>
      <c r="D59" s="125" t="s">
        <v>334</v>
      </c>
      <c r="E59" s="133" t="s">
        <v>782</v>
      </c>
      <c r="F59" s="133" t="s">
        <v>782</v>
      </c>
    </row>
    <row r="60" spans="2:6" ht="15">
      <c r="B60" s="126">
        <v>144</v>
      </c>
      <c r="D60" s="128" t="s">
        <v>42</v>
      </c>
      <c r="E60" s="128" t="s">
        <v>783</v>
      </c>
      <c r="F60" s="128" t="s">
        <v>783</v>
      </c>
    </row>
    <row r="61" spans="2:6" ht="30">
      <c r="B61" s="126">
        <v>145</v>
      </c>
      <c r="D61" s="128" t="s">
        <v>43</v>
      </c>
      <c r="E61" s="128" t="s">
        <v>784</v>
      </c>
      <c r="F61" s="128" t="s">
        <v>784</v>
      </c>
    </row>
    <row r="62" spans="2:6" ht="15">
      <c r="B62" s="126">
        <v>146</v>
      </c>
      <c r="D62" s="128" t="s">
        <v>44</v>
      </c>
      <c r="E62" s="128" t="s">
        <v>785</v>
      </c>
      <c r="F62" s="128" t="s">
        <v>785</v>
      </c>
    </row>
    <row r="63" spans="2:6" ht="30">
      <c r="B63" s="126">
        <v>147</v>
      </c>
      <c r="D63" s="128" t="s">
        <v>45</v>
      </c>
      <c r="E63" s="128" t="s">
        <v>786</v>
      </c>
      <c r="F63" s="128" t="s">
        <v>786</v>
      </c>
    </row>
    <row r="64" spans="2:6" ht="15">
      <c r="B64" s="126">
        <v>148</v>
      </c>
      <c r="D64" s="128" t="s">
        <v>476</v>
      </c>
      <c r="E64" s="128" t="s">
        <v>787</v>
      </c>
      <c r="F64" s="128" t="s">
        <v>787</v>
      </c>
    </row>
    <row r="65" spans="1:6" ht="13">
      <c r="B65" s="126">
        <v>149</v>
      </c>
      <c r="D65" s="128" t="s">
        <v>477</v>
      </c>
      <c r="E65" s="128" t="s">
        <v>1328</v>
      </c>
      <c r="F65" s="128" t="s">
        <v>1328</v>
      </c>
    </row>
    <row r="66" spans="1:6" ht="13">
      <c r="B66" s="126">
        <v>150</v>
      </c>
      <c r="D66" s="128" t="s">
        <v>46</v>
      </c>
      <c r="E66" s="128" t="s">
        <v>1329</v>
      </c>
      <c r="F66" s="128" t="s">
        <v>1329</v>
      </c>
    </row>
    <row r="67" spans="1:6" ht="14">
      <c r="B67" s="126">
        <v>151</v>
      </c>
      <c r="C67" s="127" t="s">
        <v>451</v>
      </c>
      <c r="D67" s="125" t="s">
        <v>335</v>
      </c>
      <c r="E67" s="133" t="s">
        <v>788</v>
      </c>
      <c r="F67" s="133" t="s">
        <v>788</v>
      </c>
    </row>
    <row r="68" spans="1:6" ht="15">
      <c r="B68" s="126">
        <v>152</v>
      </c>
      <c r="D68" s="128" t="s">
        <v>47</v>
      </c>
      <c r="E68" s="128" t="s">
        <v>789</v>
      </c>
      <c r="F68" s="128" t="s">
        <v>789</v>
      </c>
    </row>
    <row r="69" spans="1:6" ht="15">
      <c r="B69" s="126">
        <v>153</v>
      </c>
      <c r="D69" s="128" t="s">
        <v>48</v>
      </c>
      <c r="E69" s="128" t="s">
        <v>790</v>
      </c>
      <c r="F69" s="128" t="s">
        <v>790</v>
      </c>
    </row>
    <row r="70" spans="1:6" ht="15">
      <c r="B70" s="126">
        <v>154</v>
      </c>
      <c r="D70" s="128" t="s">
        <v>49</v>
      </c>
      <c r="E70" s="128" t="s">
        <v>791</v>
      </c>
      <c r="F70" s="128" t="s">
        <v>791</v>
      </c>
    </row>
    <row r="71" spans="1:6" ht="30">
      <c r="B71" s="126">
        <v>155</v>
      </c>
      <c r="D71" s="128" t="s">
        <v>50</v>
      </c>
      <c r="E71" s="128" t="s">
        <v>792</v>
      </c>
      <c r="F71" s="128" t="s">
        <v>792</v>
      </c>
    </row>
    <row r="72" spans="1:6" ht="14">
      <c r="B72" s="126">
        <v>156</v>
      </c>
      <c r="C72" s="127" t="s">
        <v>451</v>
      </c>
      <c r="D72" s="125" t="s">
        <v>449</v>
      </c>
      <c r="E72" s="133" t="s">
        <v>793</v>
      </c>
      <c r="F72" s="133" t="s">
        <v>793</v>
      </c>
    </row>
    <row r="73" spans="1:6" ht="14">
      <c r="B73" s="126">
        <v>157</v>
      </c>
      <c r="C73" s="127" t="s">
        <v>451</v>
      </c>
      <c r="D73" s="125" t="s">
        <v>448</v>
      </c>
      <c r="E73" s="133" t="s">
        <v>794</v>
      </c>
      <c r="F73" s="133" t="s">
        <v>794</v>
      </c>
    </row>
    <row r="74" spans="1:6" ht="15">
      <c r="B74" s="126">
        <v>158</v>
      </c>
      <c r="D74" s="128" t="s">
        <v>336</v>
      </c>
      <c r="E74" s="128" t="s">
        <v>795</v>
      </c>
      <c r="F74" s="128" t="s">
        <v>795</v>
      </c>
    </row>
    <row r="75" spans="1:6" ht="15">
      <c r="A75" s="134"/>
      <c r="B75" s="126">
        <v>159</v>
      </c>
      <c r="C75" s="131" t="s">
        <v>399</v>
      </c>
      <c r="D75" s="129" t="s">
        <v>419</v>
      </c>
      <c r="E75" s="129" t="s">
        <v>796</v>
      </c>
      <c r="F75" s="129" t="s">
        <v>796</v>
      </c>
    </row>
    <row r="76" spans="1:6" ht="15">
      <c r="B76" s="126">
        <v>160</v>
      </c>
      <c r="D76" s="128" t="s">
        <v>51</v>
      </c>
      <c r="E76" s="129" t="s">
        <v>797</v>
      </c>
      <c r="F76" s="129" t="s">
        <v>797</v>
      </c>
    </row>
    <row r="77" spans="1:6" ht="13">
      <c r="B77" s="126">
        <v>161</v>
      </c>
      <c r="D77" s="128" t="s">
        <v>52</v>
      </c>
      <c r="E77" s="129" t="s">
        <v>1260</v>
      </c>
      <c r="F77" s="129" t="s">
        <v>1260</v>
      </c>
    </row>
    <row r="78" spans="1:6" ht="15">
      <c r="B78" s="126">
        <v>162</v>
      </c>
      <c r="D78" s="128" t="s">
        <v>1373</v>
      </c>
      <c r="E78" s="144" t="s">
        <v>1434</v>
      </c>
      <c r="F78" s="144" t="s">
        <v>1434</v>
      </c>
    </row>
    <row r="79" spans="1:6" ht="15">
      <c r="B79" s="126">
        <v>163</v>
      </c>
      <c r="D79" s="128" t="s">
        <v>1374</v>
      </c>
      <c r="E79" s="144" t="s">
        <v>1433</v>
      </c>
      <c r="F79" s="144" t="s">
        <v>1433</v>
      </c>
    </row>
    <row r="80" spans="1:6" ht="15">
      <c r="B80" s="126">
        <v>164</v>
      </c>
      <c r="D80" s="128" t="s">
        <v>1375</v>
      </c>
      <c r="E80" s="144" t="s">
        <v>1432</v>
      </c>
      <c r="F80" s="144" t="s">
        <v>1432</v>
      </c>
    </row>
    <row r="81" spans="1:6" ht="15">
      <c r="A81" s="134"/>
      <c r="B81" s="126">
        <v>165</v>
      </c>
      <c r="C81" s="131" t="s">
        <v>399</v>
      </c>
      <c r="D81" s="129" t="s">
        <v>420</v>
      </c>
      <c r="E81" s="129" t="s">
        <v>798</v>
      </c>
      <c r="F81" s="129" t="s">
        <v>798</v>
      </c>
    </row>
    <row r="82" spans="1:6" ht="15">
      <c r="A82" s="134"/>
      <c r="B82" s="126">
        <v>166</v>
      </c>
      <c r="C82" s="131" t="s">
        <v>399</v>
      </c>
      <c r="D82" s="129" t="s">
        <v>421</v>
      </c>
      <c r="E82" s="129" t="s">
        <v>799</v>
      </c>
      <c r="F82" s="129" t="s">
        <v>799</v>
      </c>
    </row>
    <row r="83" spans="1:6" ht="15">
      <c r="A83" s="134"/>
      <c r="B83" s="126">
        <v>167</v>
      </c>
      <c r="C83" s="131" t="s">
        <v>399</v>
      </c>
      <c r="D83" s="129" t="s">
        <v>422</v>
      </c>
      <c r="E83" s="129" t="s">
        <v>800</v>
      </c>
      <c r="F83" s="129" t="s">
        <v>800</v>
      </c>
    </row>
    <row r="84" spans="1:6" ht="15">
      <c r="A84" s="134"/>
      <c r="B84" s="126">
        <v>168</v>
      </c>
      <c r="C84" s="131" t="s">
        <v>399</v>
      </c>
      <c r="D84" s="129" t="s">
        <v>407</v>
      </c>
      <c r="E84" s="129" t="s">
        <v>801</v>
      </c>
      <c r="F84" s="129" t="s">
        <v>801</v>
      </c>
    </row>
    <row r="85" spans="1:6" ht="15">
      <c r="B85" s="126">
        <v>169</v>
      </c>
      <c r="D85" s="128" t="s">
        <v>53</v>
      </c>
      <c r="E85" s="128" t="s">
        <v>802</v>
      </c>
      <c r="F85" s="128" t="s">
        <v>802</v>
      </c>
    </row>
    <row r="86" spans="1:6" ht="15">
      <c r="B86" s="126">
        <v>170</v>
      </c>
      <c r="D86" s="128" t="s">
        <v>54</v>
      </c>
      <c r="E86" s="128" t="s">
        <v>803</v>
      </c>
      <c r="F86" s="128" t="s">
        <v>803</v>
      </c>
    </row>
    <row r="87" spans="1:6" ht="15">
      <c r="B87" s="126">
        <v>171</v>
      </c>
      <c r="D87" s="128" t="s">
        <v>423</v>
      </c>
      <c r="E87" s="128" t="s">
        <v>804</v>
      </c>
      <c r="F87" s="128" t="s">
        <v>804</v>
      </c>
    </row>
    <row r="88" spans="1:6" ht="15">
      <c r="B88" s="126">
        <v>172</v>
      </c>
      <c r="D88" s="128" t="s">
        <v>55</v>
      </c>
      <c r="E88" s="128" t="s">
        <v>805</v>
      </c>
      <c r="F88" s="128" t="s">
        <v>805</v>
      </c>
    </row>
    <row r="89" spans="1:6" ht="15">
      <c r="B89" s="126">
        <v>173</v>
      </c>
      <c r="D89" s="128" t="s">
        <v>56</v>
      </c>
      <c r="E89" s="128" t="s">
        <v>806</v>
      </c>
      <c r="F89" s="128" t="s">
        <v>806</v>
      </c>
    </row>
    <row r="90" spans="1:6" ht="15">
      <c r="B90" s="126">
        <v>174</v>
      </c>
      <c r="D90" s="128" t="s">
        <v>1372</v>
      </c>
      <c r="E90" s="128" t="s">
        <v>807</v>
      </c>
      <c r="F90" s="128" t="s">
        <v>807</v>
      </c>
    </row>
    <row r="91" spans="1:6" ht="15">
      <c r="B91" s="126">
        <v>175</v>
      </c>
      <c r="D91" s="128" t="s">
        <v>1378</v>
      </c>
      <c r="E91" s="144" t="s">
        <v>1379</v>
      </c>
      <c r="F91" s="144" t="s">
        <v>1379</v>
      </c>
    </row>
    <row r="92" spans="1:6" ht="30">
      <c r="B92" s="126">
        <v>176</v>
      </c>
      <c r="D92" s="128" t="s">
        <v>1371</v>
      </c>
      <c r="E92" s="144" t="s">
        <v>1380</v>
      </c>
      <c r="F92" s="128" t="s">
        <v>1307</v>
      </c>
    </row>
    <row r="93" spans="1:6" ht="15">
      <c r="B93" s="126">
        <v>177</v>
      </c>
      <c r="D93" s="128" t="s">
        <v>57</v>
      </c>
      <c r="E93" s="128" t="s">
        <v>808</v>
      </c>
      <c r="F93" s="128" t="s">
        <v>808</v>
      </c>
    </row>
    <row r="94" spans="1:6" ht="15">
      <c r="B94" s="126">
        <v>178</v>
      </c>
      <c r="D94" s="128" t="s">
        <v>58</v>
      </c>
      <c r="E94" s="128" t="s">
        <v>809</v>
      </c>
      <c r="F94" s="128" t="s">
        <v>809</v>
      </c>
    </row>
    <row r="95" spans="1:6" ht="15">
      <c r="B95" s="126">
        <v>179</v>
      </c>
      <c r="D95" s="128" t="s">
        <v>59</v>
      </c>
      <c r="E95" s="128" t="s">
        <v>810</v>
      </c>
      <c r="F95" s="128" t="s">
        <v>810</v>
      </c>
    </row>
    <row r="96" spans="1:6" ht="15">
      <c r="B96" s="126">
        <v>180</v>
      </c>
      <c r="D96" s="128" t="s">
        <v>337</v>
      </c>
      <c r="E96" s="128" t="s">
        <v>811</v>
      </c>
      <c r="F96" s="128" t="s">
        <v>811</v>
      </c>
    </row>
    <row r="97" spans="2:6" ht="15">
      <c r="B97" s="126">
        <v>181</v>
      </c>
      <c r="C97" s="127" t="s">
        <v>500</v>
      </c>
      <c r="D97" s="128" t="s">
        <v>521</v>
      </c>
      <c r="E97" s="128" t="s">
        <v>812</v>
      </c>
      <c r="F97" s="128" t="s">
        <v>812</v>
      </c>
    </row>
    <row r="98" spans="2:6" ht="45">
      <c r="B98" s="126">
        <v>182</v>
      </c>
      <c r="C98" s="127" t="s">
        <v>500</v>
      </c>
      <c r="D98" s="128" t="s">
        <v>541</v>
      </c>
      <c r="E98" s="128" t="s">
        <v>813</v>
      </c>
      <c r="F98" s="128" t="s">
        <v>813</v>
      </c>
    </row>
    <row r="99" spans="2:6" ht="15">
      <c r="B99" s="126">
        <v>183</v>
      </c>
      <c r="D99" s="128" t="s">
        <v>60</v>
      </c>
      <c r="E99" s="128" t="s">
        <v>814</v>
      </c>
      <c r="F99" s="128" t="s">
        <v>814</v>
      </c>
    </row>
    <row r="100" spans="2:6" ht="15">
      <c r="B100" s="126">
        <v>184</v>
      </c>
      <c r="D100" s="128" t="s">
        <v>572</v>
      </c>
      <c r="E100" s="128" t="s">
        <v>815</v>
      </c>
      <c r="F100" s="128" t="s">
        <v>815</v>
      </c>
    </row>
    <row r="101" spans="2:6" ht="15">
      <c r="B101" s="126">
        <v>185</v>
      </c>
      <c r="D101" s="128" t="s">
        <v>61</v>
      </c>
      <c r="E101" s="128" t="s">
        <v>816</v>
      </c>
      <c r="F101" s="128" t="s">
        <v>816</v>
      </c>
    </row>
    <row r="102" spans="2:6" ht="26">
      <c r="B102" s="126">
        <v>186</v>
      </c>
      <c r="D102" s="128" t="s">
        <v>62</v>
      </c>
      <c r="E102" s="128" t="s">
        <v>817</v>
      </c>
      <c r="F102" s="128" t="s">
        <v>817</v>
      </c>
    </row>
    <row r="103" spans="2:6" ht="26">
      <c r="B103" s="126">
        <v>187</v>
      </c>
      <c r="D103" s="128" t="s">
        <v>63</v>
      </c>
      <c r="E103" s="128" t="s">
        <v>818</v>
      </c>
      <c r="F103" s="128" t="s">
        <v>818</v>
      </c>
    </row>
    <row r="104" spans="2:6" ht="15">
      <c r="B104" s="126">
        <v>188</v>
      </c>
      <c r="D104" s="128" t="s">
        <v>64</v>
      </c>
      <c r="E104" s="128" t="s">
        <v>819</v>
      </c>
      <c r="F104" s="128" t="s">
        <v>819</v>
      </c>
    </row>
    <row r="105" spans="2:6" ht="15">
      <c r="B105" s="126">
        <v>189</v>
      </c>
      <c r="D105" s="128" t="s">
        <v>65</v>
      </c>
      <c r="E105" s="128" t="s">
        <v>820</v>
      </c>
      <c r="F105" s="128" t="s">
        <v>820</v>
      </c>
    </row>
    <row r="106" spans="2:6" ht="15">
      <c r="B106" s="126">
        <v>190</v>
      </c>
      <c r="C106" s="127" t="s">
        <v>500</v>
      </c>
      <c r="D106" s="128" t="s">
        <v>519</v>
      </c>
      <c r="E106" s="128" t="s">
        <v>821</v>
      </c>
      <c r="F106" s="128" t="s">
        <v>821</v>
      </c>
    </row>
    <row r="107" spans="2:6" ht="15">
      <c r="B107" s="126">
        <v>191</v>
      </c>
      <c r="D107" s="128" t="s">
        <v>547</v>
      </c>
      <c r="E107" s="128" t="s">
        <v>822</v>
      </c>
      <c r="F107" s="128" t="s">
        <v>822</v>
      </c>
    </row>
    <row r="108" spans="2:6" ht="15">
      <c r="B108" s="126">
        <v>192</v>
      </c>
      <c r="D108" s="128" t="s">
        <v>441</v>
      </c>
      <c r="E108" s="128" t="s">
        <v>823</v>
      </c>
      <c r="F108" s="128" t="s">
        <v>823</v>
      </c>
    </row>
    <row r="109" spans="2:6" ht="15">
      <c r="B109" s="126">
        <v>193</v>
      </c>
      <c r="D109" s="128" t="s">
        <v>442</v>
      </c>
      <c r="E109" s="128" t="s">
        <v>824</v>
      </c>
      <c r="F109" s="128" t="s">
        <v>824</v>
      </c>
    </row>
    <row r="110" spans="2:6" ht="15">
      <c r="B110" s="126">
        <v>194</v>
      </c>
      <c r="D110" s="128" t="s">
        <v>66</v>
      </c>
      <c r="E110" s="128" t="s">
        <v>825</v>
      </c>
      <c r="F110" s="128" t="s">
        <v>825</v>
      </c>
    </row>
    <row r="111" spans="2:6" ht="15">
      <c r="B111" s="126">
        <v>195</v>
      </c>
      <c r="D111" s="128" t="s">
        <v>67</v>
      </c>
      <c r="E111" s="128" t="s">
        <v>826</v>
      </c>
      <c r="F111" s="128" t="s">
        <v>826</v>
      </c>
    </row>
    <row r="112" spans="2:6" ht="15">
      <c r="B112" s="126">
        <v>196</v>
      </c>
      <c r="D112" s="128" t="s">
        <v>338</v>
      </c>
      <c r="E112" s="128" t="s">
        <v>827</v>
      </c>
      <c r="F112" s="128" t="s">
        <v>827</v>
      </c>
    </row>
    <row r="113" spans="2:6" ht="26">
      <c r="B113" s="126">
        <v>197</v>
      </c>
      <c r="D113" s="128" t="s">
        <v>339</v>
      </c>
      <c r="E113" s="128" t="s">
        <v>828</v>
      </c>
      <c r="F113" s="128" t="s">
        <v>828</v>
      </c>
    </row>
    <row r="114" spans="2:6" ht="28">
      <c r="B114" s="126">
        <v>198</v>
      </c>
      <c r="D114" s="128" t="s">
        <v>68</v>
      </c>
      <c r="E114" s="128" t="s">
        <v>829</v>
      </c>
      <c r="F114" s="128" t="s">
        <v>829</v>
      </c>
    </row>
    <row r="115" spans="2:6" ht="15">
      <c r="B115" s="126">
        <v>199</v>
      </c>
      <c r="D115" s="128" t="s">
        <v>574</v>
      </c>
      <c r="E115" s="128" t="s">
        <v>830</v>
      </c>
      <c r="F115" s="128" t="s">
        <v>830</v>
      </c>
    </row>
    <row r="116" spans="2:6" ht="13">
      <c r="B116" s="126">
        <v>200</v>
      </c>
      <c r="D116" s="128" t="s">
        <v>69</v>
      </c>
      <c r="E116" s="128" t="s">
        <v>70</v>
      </c>
      <c r="F116" s="128" t="s">
        <v>70</v>
      </c>
    </row>
    <row r="117" spans="2:6" ht="15">
      <c r="B117" s="126">
        <v>201</v>
      </c>
      <c r="D117" s="128" t="s">
        <v>566</v>
      </c>
      <c r="E117" s="128" t="s">
        <v>831</v>
      </c>
      <c r="F117" s="128" t="s">
        <v>831</v>
      </c>
    </row>
    <row r="118" spans="2:6" ht="15">
      <c r="B118" s="126">
        <v>202</v>
      </c>
      <c r="D118" s="128" t="s">
        <v>340</v>
      </c>
      <c r="E118" s="128" t="s">
        <v>832</v>
      </c>
      <c r="F118" s="128" t="s">
        <v>832</v>
      </c>
    </row>
    <row r="119" spans="2:6" ht="15">
      <c r="B119" s="126">
        <v>203</v>
      </c>
      <c r="D119" s="128" t="s">
        <v>341</v>
      </c>
      <c r="E119" s="128" t="s">
        <v>833</v>
      </c>
      <c r="F119" s="128" t="s">
        <v>833</v>
      </c>
    </row>
    <row r="120" spans="2:6" ht="15">
      <c r="B120" s="126">
        <v>204</v>
      </c>
      <c r="D120" s="128" t="s">
        <v>342</v>
      </c>
      <c r="E120" s="128" t="s">
        <v>834</v>
      </c>
      <c r="F120" s="128" t="s">
        <v>834</v>
      </c>
    </row>
    <row r="121" spans="2:6" ht="15">
      <c r="B121" s="126">
        <v>205</v>
      </c>
      <c r="D121" s="128" t="s">
        <v>558</v>
      </c>
      <c r="E121" s="128" t="s">
        <v>835</v>
      </c>
      <c r="F121" s="128" t="s">
        <v>835</v>
      </c>
    </row>
    <row r="122" spans="2:6" ht="13">
      <c r="B122" s="126">
        <v>206</v>
      </c>
      <c r="D122" s="128" t="s">
        <v>1269</v>
      </c>
      <c r="E122" s="128" t="s">
        <v>1261</v>
      </c>
      <c r="F122" s="128" t="s">
        <v>1261</v>
      </c>
    </row>
    <row r="123" spans="2:6" ht="13">
      <c r="B123" s="126">
        <v>207</v>
      </c>
      <c r="D123" s="128" t="s">
        <v>71</v>
      </c>
      <c r="E123" s="128" t="s">
        <v>1330</v>
      </c>
      <c r="F123" s="128" t="s">
        <v>1330</v>
      </c>
    </row>
    <row r="124" spans="2:6" ht="26">
      <c r="B124" s="126">
        <v>208</v>
      </c>
      <c r="D124" s="128" t="s">
        <v>72</v>
      </c>
      <c r="E124" s="128" t="s">
        <v>1331</v>
      </c>
      <c r="F124" s="128" t="s">
        <v>1331</v>
      </c>
    </row>
    <row r="125" spans="2:6" ht="26">
      <c r="B125" s="126">
        <v>209</v>
      </c>
      <c r="D125" s="128" t="s">
        <v>73</v>
      </c>
      <c r="E125" s="128" t="s">
        <v>1332</v>
      </c>
      <c r="F125" s="128" t="s">
        <v>1332</v>
      </c>
    </row>
    <row r="126" spans="2:6" ht="15">
      <c r="B126" s="126">
        <v>210</v>
      </c>
      <c r="D126" s="128" t="s">
        <v>443</v>
      </c>
      <c r="E126" s="128" t="s">
        <v>836</v>
      </c>
      <c r="F126" s="128" t="s">
        <v>836</v>
      </c>
    </row>
    <row r="127" spans="2:6" ht="13">
      <c r="B127" s="126">
        <v>211</v>
      </c>
      <c r="D127" s="128" t="s">
        <v>74</v>
      </c>
      <c r="E127" s="128" t="s">
        <v>74</v>
      </c>
      <c r="F127" s="128" t="s">
        <v>74</v>
      </c>
    </row>
    <row r="128" spans="2:6" ht="15">
      <c r="B128" s="126">
        <v>212</v>
      </c>
      <c r="D128" s="128" t="s">
        <v>75</v>
      </c>
      <c r="E128" s="128" t="s">
        <v>837</v>
      </c>
      <c r="F128" s="128" t="s">
        <v>837</v>
      </c>
    </row>
    <row r="129" spans="2:6" ht="15">
      <c r="B129" s="126">
        <v>213</v>
      </c>
      <c r="D129" s="128" t="s">
        <v>76</v>
      </c>
      <c r="E129" s="128" t="s">
        <v>838</v>
      </c>
      <c r="F129" s="128" t="s">
        <v>838</v>
      </c>
    </row>
    <row r="130" spans="2:6" ht="15">
      <c r="B130" s="126">
        <v>214</v>
      </c>
      <c r="D130" s="128" t="s">
        <v>77</v>
      </c>
      <c r="E130" s="128" t="s">
        <v>839</v>
      </c>
      <c r="F130" s="128" t="s">
        <v>839</v>
      </c>
    </row>
    <row r="131" spans="2:6" ht="15">
      <c r="B131" s="126">
        <v>215</v>
      </c>
      <c r="D131" s="128" t="s">
        <v>343</v>
      </c>
      <c r="E131" s="128" t="s">
        <v>840</v>
      </c>
      <c r="F131" s="128" t="s">
        <v>840</v>
      </c>
    </row>
    <row r="132" spans="2:6" ht="15">
      <c r="B132" s="126">
        <v>216</v>
      </c>
      <c r="D132" s="128" t="s">
        <v>78</v>
      </c>
      <c r="E132" s="128" t="s">
        <v>841</v>
      </c>
      <c r="F132" s="128" t="s">
        <v>841</v>
      </c>
    </row>
    <row r="133" spans="2:6" ht="15">
      <c r="B133" s="126">
        <v>217</v>
      </c>
      <c r="D133" s="128" t="s">
        <v>344</v>
      </c>
      <c r="E133" s="128" t="s">
        <v>842</v>
      </c>
      <c r="F133" s="128" t="s">
        <v>842</v>
      </c>
    </row>
    <row r="134" spans="2:6" ht="15">
      <c r="B134" s="126">
        <v>218</v>
      </c>
      <c r="D134" s="128" t="s">
        <v>79</v>
      </c>
      <c r="E134" s="128" t="s">
        <v>843</v>
      </c>
      <c r="F134" s="128" t="s">
        <v>843</v>
      </c>
    </row>
    <row r="135" spans="2:6" ht="15">
      <c r="B135" s="126">
        <v>219</v>
      </c>
      <c r="D135" s="128" t="s">
        <v>80</v>
      </c>
      <c r="E135" s="128" t="s">
        <v>844</v>
      </c>
      <c r="F135" s="128" t="s">
        <v>844</v>
      </c>
    </row>
    <row r="136" spans="2:6" ht="15">
      <c r="B136" s="126">
        <v>220</v>
      </c>
      <c r="D136" s="128" t="s">
        <v>81</v>
      </c>
      <c r="E136" s="128" t="s">
        <v>845</v>
      </c>
      <c r="F136" s="128" t="s">
        <v>845</v>
      </c>
    </row>
    <row r="137" spans="2:6" ht="15">
      <c r="B137" s="126">
        <v>221</v>
      </c>
      <c r="D137" s="128" t="s">
        <v>345</v>
      </c>
      <c r="E137" s="128" t="s">
        <v>846</v>
      </c>
      <c r="F137" s="128" t="s">
        <v>846</v>
      </c>
    </row>
    <row r="138" spans="2:6" ht="15">
      <c r="B138" s="126">
        <v>222</v>
      </c>
      <c r="D138" s="128" t="s">
        <v>82</v>
      </c>
      <c r="E138" s="128" t="s">
        <v>847</v>
      </c>
      <c r="F138" s="128" t="s">
        <v>847</v>
      </c>
    </row>
    <row r="139" spans="2:6" ht="15">
      <c r="B139" s="126">
        <v>223</v>
      </c>
      <c r="D139" s="128" t="s">
        <v>83</v>
      </c>
      <c r="E139" s="128" t="s">
        <v>848</v>
      </c>
      <c r="F139" s="128" t="s">
        <v>848</v>
      </c>
    </row>
    <row r="140" spans="2:6" ht="15">
      <c r="B140" s="126">
        <v>224</v>
      </c>
      <c r="C140" s="127" t="s">
        <v>451</v>
      </c>
      <c r="D140" s="128" t="s">
        <v>460</v>
      </c>
      <c r="E140" s="128" t="s">
        <v>849</v>
      </c>
      <c r="F140" s="128" t="s">
        <v>849</v>
      </c>
    </row>
    <row r="141" spans="2:6" ht="15">
      <c r="B141" s="126">
        <v>225</v>
      </c>
      <c r="D141" s="128" t="s">
        <v>84</v>
      </c>
      <c r="E141" s="128" t="s">
        <v>850</v>
      </c>
      <c r="F141" s="128" t="s">
        <v>850</v>
      </c>
    </row>
    <row r="142" spans="2:6" ht="15">
      <c r="B142" s="126">
        <v>226</v>
      </c>
      <c r="D142" s="128" t="s">
        <v>543</v>
      </c>
      <c r="E142" s="128" t="s">
        <v>851</v>
      </c>
      <c r="F142" s="128" t="s">
        <v>851</v>
      </c>
    </row>
    <row r="143" spans="2:6" ht="15">
      <c r="B143" s="126">
        <v>227</v>
      </c>
      <c r="D143" s="128" t="s">
        <v>346</v>
      </c>
      <c r="E143" s="128" t="s">
        <v>852</v>
      </c>
      <c r="F143" s="128" t="s">
        <v>852</v>
      </c>
    </row>
    <row r="144" spans="2:6" ht="15">
      <c r="B144" s="126">
        <v>228</v>
      </c>
      <c r="D144" s="128" t="s">
        <v>347</v>
      </c>
      <c r="E144" s="128" t="s">
        <v>853</v>
      </c>
      <c r="F144" s="128" t="s">
        <v>853</v>
      </c>
    </row>
    <row r="145" spans="2:6" ht="15">
      <c r="B145" s="126">
        <v>229</v>
      </c>
      <c r="D145" s="128" t="s">
        <v>498</v>
      </c>
      <c r="E145" s="128" t="s">
        <v>854</v>
      </c>
      <c r="F145" s="128" t="s">
        <v>854</v>
      </c>
    </row>
    <row r="146" spans="2:6" ht="15">
      <c r="B146" s="126">
        <v>230</v>
      </c>
      <c r="D146" s="128" t="s">
        <v>497</v>
      </c>
      <c r="E146" s="128" t="s">
        <v>855</v>
      </c>
      <c r="F146" s="128" t="s">
        <v>855</v>
      </c>
    </row>
    <row r="147" spans="2:6" ht="15">
      <c r="B147" s="126">
        <v>231</v>
      </c>
      <c r="D147" s="128" t="s">
        <v>348</v>
      </c>
      <c r="E147" s="128" t="s">
        <v>856</v>
      </c>
      <c r="F147" s="128" t="s">
        <v>856</v>
      </c>
    </row>
    <row r="148" spans="2:6" ht="15">
      <c r="B148" s="126">
        <v>232</v>
      </c>
      <c r="D148" s="128" t="s">
        <v>556</v>
      </c>
      <c r="E148" s="128" t="s">
        <v>857</v>
      </c>
      <c r="F148" s="128" t="s">
        <v>857</v>
      </c>
    </row>
    <row r="149" spans="2:6" ht="15">
      <c r="B149" s="126">
        <v>233</v>
      </c>
      <c r="D149" s="128" t="s">
        <v>349</v>
      </c>
      <c r="E149" s="128" t="s">
        <v>858</v>
      </c>
      <c r="F149" s="128" t="s">
        <v>858</v>
      </c>
    </row>
    <row r="150" spans="2:6" ht="15">
      <c r="B150" s="126">
        <v>234</v>
      </c>
      <c r="D150" s="128" t="s">
        <v>350</v>
      </c>
      <c r="E150" s="128" t="s">
        <v>859</v>
      </c>
      <c r="F150" s="128" t="s">
        <v>859</v>
      </c>
    </row>
    <row r="151" spans="2:6" ht="15">
      <c r="B151" s="126">
        <v>235</v>
      </c>
      <c r="D151" s="128" t="s">
        <v>85</v>
      </c>
      <c r="E151" s="128" t="s">
        <v>860</v>
      </c>
      <c r="F151" s="128" t="s">
        <v>860</v>
      </c>
    </row>
    <row r="152" spans="2:6" ht="15">
      <c r="B152" s="126">
        <v>236</v>
      </c>
      <c r="D152" s="128" t="s">
        <v>351</v>
      </c>
      <c r="E152" s="128" t="s">
        <v>861</v>
      </c>
      <c r="F152" s="128" t="s">
        <v>861</v>
      </c>
    </row>
    <row r="153" spans="2:6" ht="15">
      <c r="B153" s="126">
        <v>237</v>
      </c>
      <c r="D153" s="128" t="s">
        <v>1256</v>
      </c>
      <c r="E153" s="128" t="s">
        <v>862</v>
      </c>
      <c r="F153" s="128" t="s">
        <v>862</v>
      </c>
    </row>
    <row r="154" spans="2:6" ht="15">
      <c r="B154" s="126">
        <v>238</v>
      </c>
      <c r="D154" s="128" t="s">
        <v>86</v>
      </c>
      <c r="E154" s="128" t="s">
        <v>863</v>
      </c>
      <c r="F154" s="128" t="s">
        <v>863</v>
      </c>
    </row>
    <row r="155" spans="2:6" ht="15">
      <c r="B155" s="126">
        <v>239</v>
      </c>
      <c r="D155" s="128" t="s">
        <v>87</v>
      </c>
      <c r="E155" s="128" t="s">
        <v>864</v>
      </c>
      <c r="F155" s="128" t="s">
        <v>864</v>
      </c>
    </row>
    <row r="156" spans="2:6" ht="15">
      <c r="B156" s="126">
        <v>240</v>
      </c>
      <c r="D156" s="128" t="s">
        <v>88</v>
      </c>
      <c r="E156" s="128" t="s">
        <v>865</v>
      </c>
      <c r="F156" s="128" t="s">
        <v>865</v>
      </c>
    </row>
    <row r="157" spans="2:6" ht="13">
      <c r="B157" s="126">
        <v>241</v>
      </c>
      <c r="D157" s="128" t="s">
        <v>352</v>
      </c>
      <c r="E157" s="128" t="s">
        <v>1333</v>
      </c>
      <c r="F157" s="128" t="s">
        <v>1333</v>
      </c>
    </row>
    <row r="158" spans="2:6" ht="15">
      <c r="B158" s="126">
        <v>242</v>
      </c>
      <c r="D158" s="128" t="s">
        <v>353</v>
      </c>
      <c r="E158" s="128" t="s">
        <v>866</v>
      </c>
      <c r="F158" s="128" t="s">
        <v>866</v>
      </c>
    </row>
    <row r="159" spans="2:6" ht="15">
      <c r="B159" s="126">
        <v>243</v>
      </c>
      <c r="D159" s="128" t="s">
        <v>544</v>
      </c>
      <c r="E159" s="128" t="s">
        <v>867</v>
      </c>
      <c r="F159" s="128" t="s">
        <v>867</v>
      </c>
    </row>
    <row r="160" spans="2:6" ht="15">
      <c r="B160" s="126">
        <v>244</v>
      </c>
      <c r="D160" s="128" t="s">
        <v>597</v>
      </c>
      <c r="E160" s="128" t="s">
        <v>868</v>
      </c>
      <c r="F160" s="128" t="s">
        <v>868</v>
      </c>
    </row>
    <row r="161" spans="2:6" ht="15">
      <c r="B161" s="126">
        <v>245</v>
      </c>
      <c r="D161" s="128" t="s">
        <v>598</v>
      </c>
      <c r="E161" s="128" t="s">
        <v>869</v>
      </c>
      <c r="F161" s="128" t="s">
        <v>869</v>
      </c>
    </row>
    <row r="162" spans="2:6" ht="13">
      <c r="B162" s="126">
        <v>246</v>
      </c>
      <c r="D162" s="128" t="s">
        <v>354</v>
      </c>
      <c r="E162" s="128" t="s">
        <v>1334</v>
      </c>
      <c r="F162" s="128" t="s">
        <v>1334</v>
      </c>
    </row>
    <row r="163" spans="2:6" ht="15">
      <c r="B163" s="126">
        <v>247</v>
      </c>
      <c r="D163" s="128" t="s">
        <v>546</v>
      </c>
      <c r="E163" s="128" t="s">
        <v>870</v>
      </c>
      <c r="F163" s="128" t="s">
        <v>870</v>
      </c>
    </row>
    <row r="164" spans="2:6" ht="15">
      <c r="B164" s="126">
        <v>248</v>
      </c>
      <c r="D164" s="128" t="s">
        <v>355</v>
      </c>
      <c r="E164" s="128" t="s">
        <v>871</v>
      </c>
      <c r="F164" s="128" t="s">
        <v>871</v>
      </c>
    </row>
    <row r="165" spans="2:6" ht="15">
      <c r="B165" s="126">
        <v>249</v>
      </c>
      <c r="D165" s="128" t="s">
        <v>356</v>
      </c>
      <c r="E165" s="128" t="s">
        <v>872</v>
      </c>
      <c r="F165" s="128" t="s">
        <v>872</v>
      </c>
    </row>
    <row r="166" spans="2:6" ht="15">
      <c r="B166" s="126">
        <v>250</v>
      </c>
      <c r="D166" s="128" t="s">
        <v>89</v>
      </c>
      <c r="E166" s="128" t="s">
        <v>873</v>
      </c>
      <c r="F166" s="128" t="s">
        <v>873</v>
      </c>
    </row>
    <row r="167" spans="2:6" ht="15">
      <c r="B167" s="126">
        <v>251</v>
      </c>
      <c r="D167" s="128" t="s">
        <v>90</v>
      </c>
      <c r="E167" s="144" t="s">
        <v>1381</v>
      </c>
      <c r="F167" s="144" t="s">
        <v>1381</v>
      </c>
    </row>
    <row r="168" spans="2:6" ht="15">
      <c r="B168" s="126">
        <v>252</v>
      </c>
      <c r="D168" s="128" t="s">
        <v>545</v>
      </c>
      <c r="E168" s="128" t="s">
        <v>874</v>
      </c>
      <c r="F168" s="128" t="s">
        <v>874</v>
      </c>
    </row>
    <row r="169" spans="2:6" ht="15">
      <c r="B169" s="126">
        <v>253</v>
      </c>
      <c r="D169" s="128" t="s">
        <v>607</v>
      </c>
      <c r="E169" s="128" t="s">
        <v>875</v>
      </c>
      <c r="F169" s="128" t="s">
        <v>875</v>
      </c>
    </row>
    <row r="170" spans="2:6" ht="15">
      <c r="B170" s="126">
        <v>254</v>
      </c>
      <c r="D170" s="128" t="s">
        <v>91</v>
      </c>
      <c r="E170" s="128" t="s">
        <v>876</v>
      </c>
      <c r="F170" s="128" t="s">
        <v>876</v>
      </c>
    </row>
    <row r="171" spans="2:6" ht="15">
      <c r="B171" s="126">
        <v>255</v>
      </c>
      <c r="C171" s="127" t="s">
        <v>451</v>
      </c>
      <c r="D171" s="128" t="s">
        <v>457</v>
      </c>
      <c r="E171" s="128" t="s">
        <v>877</v>
      </c>
      <c r="F171" s="128" t="s">
        <v>877</v>
      </c>
    </row>
    <row r="172" spans="2:6" ht="15">
      <c r="B172" s="126">
        <v>256</v>
      </c>
      <c r="D172" s="128" t="s">
        <v>92</v>
      </c>
      <c r="E172" s="128" t="s">
        <v>878</v>
      </c>
      <c r="F172" s="128" t="s">
        <v>878</v>
      </c>
    </row>
    <row r="173" spans="2:6" ht="15">
      <c r="B173" s="126">
        <v>257</v>
      </c>
      <c r="D173" s="128" t="s">
        <v>357</v>
      </c>
      <c r="E173" s="128" t="s">
        <v>879</v>
      </c>
      <c r="F173" s="128" t="s">
        <v>879</v>
      </c>
    </row>
    <row r="174" spans="2:6" ht="13">
      <c r="B174" s="126">
        <v>258</v>
      </c>
      <c r="D174" s="128" t="s">
        <v>358</v>
      </c>
      <c r="E174" s="128" t="s">
        <v>1335</v>
      </c>
      <c r="F174" s="128" t="s">
        <v>1335</v>
      </c>
    </row>
    <row r="175" spans="2:6" ht="15">
      <c r="B175" s="126">
        <v>259</v>
      </c>
      <c r="D175" s="128" t="s">
        <v>359</v>
      </c>
      <c r="E175" s="128" t="s">
        <v>880</v>
      </c>
      <c r="F175" s="128" t="s">
        <v>880</v>
      </c>
    </row>
    <row r="176" spans="2:6" ht="15">
      <c r="B176" s="126">
        <v>260</v>
      </c>
      <c r="D176" s="128" t="s">
        <v>490</v>
      </c>
      <c r="E176" s="128" t="s">
        <v>881</v>
      </c>
      <c r="F176" s="128" t="s">
        <v>881</v>
      </c>
    </row>
    <row r="177" spans="2:6" ht="15">
      <c r="B177" s="126">
        <v>261</v>
      </c>
      <c r="D177" s="128" t="s">
        <v>492</v>
      </c>
      <c r="E177" s="128" t="s">
        <v>882</v>
      </c>
      <c r="F177" s="128" t="s">
        <v>882</v>
      </c>
    </row>
    <row r="178" spans="2:6" ht="26">
      <c r="B178" s="126">
        <v>262</v>
      </c>
      <c r="D178" s="128" t="s">
        <v>1376</v>
      </c>
      <c r="E178" s="144" t="s">
        <v>1377</v>
      </c>
      <c r="F178" s="144" t="s">
        <v>1377</v>
      </c>
    </row>
    <row r="179" spans="2:6" ht="15">
      <c r="B179" s="126">
        <v>263</v>
      </c>
      <c r="D179" s="128" t="s">
        <v>1370</v>
      </c>
      <c r="E179" s="144" t="s">
        <v>1369</v>
      </c>
      <c r="F179" s="144" t="s">
        <v>1369</v>
      </c>
    </row>
    <row r="180" spans="2:6" ht="13">
      <c r="B180" s="126">
        <v>264</v>
      </c>
      <c r="D180" s="128" t="s">
        <v>491</v>
      </c>
      <c r="E180" s="128" t="s">
        <v>1336</v>
      </c>
      <c r="F180" s="128" t="s">
        <v>1336</v>
      </c>
    </row>
    <row r="181" spans="2:6" ht="15">
      <c r="B181" s="126">
        <v>265</v>
      </c>
      <c r="D181" s="128" t="s">
        <v>493</v>
      </c>
      <c r="E181" s="128" t="s">
        <v>883</v>
      </c>
      <c r="F181" s="128" t="s">
        <v>883</v>
      </c>
    </row>
    <row r="182" spans="2:6" ht="15">
      <c r="B182" s="126">
        <v>266</v>
      </c>
      <c r="D182" s="128" t="s">
        <v>489</v>
      </c>
      <c r="E182" s="128" t="s">
        <v>884</v>
      </c>
      <c r="F182" s="128" t="s">
        <v>884</v>
      </c>
    </row>
    <row r="183" spans="2:6" ht="15">
      <c r="B183" s="126">
        <v>267</v>
      </c>
      <c r="D183" s="128" t="s">
        <v>93</v>
      </c>
      <c r="E183" s="128" t="s">
        <v>885</v>
      </c>
      <c r="F183" s="128" t="s">
        <v>885</v>
      </c>
    </row>
    <row r="184" spans="2:6" ht="15">
      <c r="B184" s="126">
        <v>268</v>
      </c>
      <c r="D184" s="128" t="s">
        <v>562</v>
      </c>
      <c r="E184" s="128" t="s">
        <v>886</v>
      </c>
      <c r="F184" s="128" t="s">
        <v>886</v>
      </c>
    </row>
    <row r="185" spans="2:6" ht="15">
      <c r="B185" s="126">
        <v>269</v>
      </c>
      <c r="D185" s="128" t="s">
        <v>94</v>
      </c>
      <c r="E185" s="128" t="s">
        <v>887</v>
      </c>
      <c r="F185" s="128" t="s">
        <v>887</v>
      </c>
    </row>
    <row r="186" spans="2:6" ht="15">
      <c r="B186" s="126">
        <v>270</v>
      </c>
      <c r="D186" s="128" t="s">
        <v>360</v>
      </c>
      <c r="E186" s="128" t="s">
        <v>888</v>
      </c>
      <c r="F186" s="128" t="s">
        <v>888</v>
      </c>
    </row>
    <row r="187" spans="2:6" ht="26">
      <c r="B187" s="126">
        <v>271</v>
      </c>
      <c r="D187" s="128" t="s">
        <v>1403</v>
      </c>
      <c r="E187" s="128" t="s">
        <v>889</v>
      </c>
      <c r="F187" s="128" t="s">
        <v>889</v>
      </c>
    </row>
    <row r="188" spans="2:6" ht="45">
      <c r="B188" s="126">
        <v>272</v>
      </c>
      <c r="D188" s="128" t="s">
        <v>95</v>
      </c>
      <c r="E188" s="128" t="s">
        <v>890</v>
      </c>
      <c r="F188" s="128" t="s">
        <v>890</v>
      </c>
    </row>
    <row r="189" spans="2:6" ht="15">
      <c r="B189" s="126">
        <v>273</v>
      </c>
      <c r="D189" s="128" t="s">
        <v>96</v>
      </c>
      <c r="E189" s="128" t="s">
        <v>891</v>
      </c>
      <c r="F189" s="128" t="s">
        <v>891</v>
      </c>
    </row>
    <row r="190" spans="2:6" ht="15">
      <c r="B190" s="126">
        <v>274</v>
      </c>
      <c r="D190" s="128" t="s">
        <v>97</v>
      </c>
      <c r="E190" s="128" t="s">
        <v>892</v>
      </c>
      <c r="F190" s="128" t="s">
        <v>892</v>
      </c>
    </row>
    <row r="191" spans="2:6" ht="15">
      <c r="B191" s="126">
        <v>275</v>
      </c>
      <c r="D191" s="128" t="s">
        <v>98</v>
      </c>
      <c r="E191" s="128" t="s">
        <v>893</v>
      </c>
      <c r="F191" s="128" t="s">
        <v>893</v>
      </c>
    </row>
    <row r="192" spans="2:6" ht="15">
      <c r="B192" s="126">
        <v>276</v>
      </c>
      <c r="D192" s="128" t="s">
        <v>99</v>
      </c>
      <c r="E192" s="128" t="s">
        <v>894</v>
      </c>
      <c r="F192" s="128" t="s">
        <v>894</v>
      </c>
    </row>
    <row r="193" spans="2:6" ht="15">
      <c r="B193" s="126">
        <v>277</v>
      </c>
      <c r="D193" s="128" t="s">
        <v>100</v>
      </c>
      <c r="E193" s="128" t="s">
        <v>895</v>
      </c>
      <c r="F193" s="128" t="s">
        <v>895</v>
      </c>
    </row>
    <row r="194" spans="2:6" ht="15">
      <c r="B194" s="126">
        <v>278</v>
      </c>
      <c r="D194" s="128" t="s">
        <v>101</v>
      </c>
      <c r="E194" s="128" t="s">
        <v>896</v>
      </c>
      <c r="F194" s="128" t="s">
        <v>896</v>
      </c>
    </row>
    <row r="195" spans="2:6" ht="15">
      <c r="B195" s="126">
        <v>279</v>
      </c>
      <c r="D195" s="128" t="s">
        <v>102</v>
      </c>
      <c r="E195" s="128" t="s">
        <v>897</v>
      </c>
      <c r="F195" s="128" t="s">
        <v>897</v>
      </c>
    </row>
    <row r="196" spans="2:6" ht="15">
      <c r="B196" s="126">
        <v>280</v>
      </c>
      <c r="D196" s="128" t="s">
        <v>103</v>
      </c>
      <c r="E196" s="128" t="s">
        <v>898</v>
      </c>
      <c r="F196" s="128" t="s">
        <v>898</v>
      </c>
    </row>
    <row r="197" spans="2:6" ht="15">
      <c r="B197" s="126">
        <v>281</v>
      </c>
      <c r="D197" s="128" t="s">
        <v>104</v>
      </c>
      <c r="E197" s="128" t="s">
        <v>899</v>
      </c>
      <c r="F197" s="128" t="s">
        <v>899</v>
      </c>
    </row>
    <row r="198" spans="2:6" ht="15">
      <c r="B198" s="126">
        <v>282</v>
      </c>
      <c r="D198" s="128" t="s">
        <v>105</v>
      </c>
      <c r="E198" s="128" t="s">
        <v>900</v>
      </c>
      <c r="F198" s="128" t="s">
        <v>900</v>
      </c>
    </row>
    <row r="199" spans="2:6" ht="15">
      <c r="B199" s="126">
        <v>283</v>
      </c>
      <c r="D199" s="128" t="s">
        <v>106</v>
      </c>
      <c r="E199" s="128" t="s">
        <v>901</v>
      </c>
      <c r="F199" s="128" t="s">
        <v>901</v>
      </c>
    </row>
    <row r="200" spans="2:6" ht="30">
      <c r="B200" s="126">
        <v>284</v>
      </c>
      <c r="D200" s="128" t="s">
        <v>107</v>
      </c>
      <c r="E200" s="144" t="s">
        <v>1402</v>
      </c>
      <c r="F200" s="128" t="s">
        <v>902</v>
      </c>
    </row>
    <row r="201" spans="2:6" ht="15">
      <c r="B201" s="126">
        <v>285</v>
      </c>
      <c r="D201" s="128" t="s">
        <v>361</v>
      </c>
      <c r="E201" s="128" t="s">
        <v>903</v>
      </c>
      <c r="F201" s="128" t="s">
        <v>903</v>
      </c>
    </row>
    <row r="202" spans="2:6" ht="15">
      <c r="B202" s="126">
        <v>286</v>
      </c>
      <c r="D202" s="128" t="s">
        <v>108</v>
      </c>
      <c r="E202" s="128" t="s">
        <v>904</v>
      </c>
      <c r="F202" s="128" t="s">
        <v>904</v>
      </c>
    </row>
    <row r="203" spans="2:6" ht="15">
      <c r="B203" s="126">
        <v>287</v>
      </c>
      <c r="D203" s="128" t="s">
        <v>109</v>
      </c>
      <c r="E203" s="128" t="s">
        <v>905</v>
      </c>
      <c r="F203" s="128" t="s">
        <v>905</v>
      </c>
    </row>
    <row r="204" spans="2:6" ht="15">
      <c r="B204" s="126">
        <v>288</v>
      </c>
      <c r="D204" s="128" t="s">
        <v>110</v>
      </c>
      <c r="E204" s="128" t="s">
        <v>906</v>
      </c>
      <c r="F204" s="128" t="s">
        <v>906</v>
      </c>
    </row>
    <row r="205" spans="2:6" ht="15">
      <c r="B205" s="126">
        <v>289</v>
      </c>
      <c r="D205" s="128" t="s">
        <v>362</v>
      </c>
      <c r="E205" s="128" t="s">
        <v>907</v>
      </c>
      <c r="F205" s="128" t="s">
        <v>907</v>
      </c>
    </row>
    <row r="206" spans="2:6" ht="15">
      <c r="B206" s="126">
        <v>290</v>
      </c>
      <c r="D206" s="128" t="s">
        <v>363</v>
      </c>
      <c r="E206" s="128" t="s">
        <v>1247</v>
      </c>
      <c r="F206" s="128" t="s">
        <v>1247</v>
      </c>
    </row>
    <row r="207" spans="2:6" ht="15">
      <c r="B207" s="126">
        <v>291</v>
      </c>
      <c r="D207" s="128" t="s">
        <v>549</v>
      </c>
      <c r="E207" s="128" t="s">
        <v>908</v>
      </c>
      <c r="F207" s="128" t="s">
        <v>908</v>
      </c>
    </row>
    <row r="208" spans="2:6" ht="13">
      <c r="B208" s="126">
        <v>292</v>
      </c>
      <c r="D208" s="128" t="s">
        <v>576</v>
      </c>
      <c r="E208" s="128" t="s">
        <v>1337</v>
      </c>
      <c r="F208" s="128" t="s">
        <v>1337</v>
      </c>
    </row>
    <row r="209" spans="2:6" ht="15">
      <c r="B209" s="126">
        <v>293</v>
      </c>
      <c r="D209" s="128" t="s">
        <v>550</v>
      </c>
      <c r="E209" s="128" t="s">
        <v>909</v>
      </c>
      <c r="F209" s="128" t="s">
        <v>909</v>
      </c>
    </row>
    <row r="210" spans="2:6" ht="15">
      <c r="B210" s="126">
        <v>294</v>
      </c>
      <c r="D210" s="128" t="s">
        <v>548</v>
      </c>
      <c r="E210" s="128" t="s">
        <v>910</v>
      </c>
      <c r="F210" s="128" t="s">
        <v>910</v>
      </c>
    </row>
    <row r="211" spans="2:6" ht="15">
      <c r="B211" s="126">
        <v>295</v>
      </c>
      <c r="D211" s="128" t="s">
        <v>364</v>
      </c>
      <c r="E211" s="128" t="s">
        <v>911</v>
      </c>
      <c r="F211" s="128" t="s">
        <v>911</v>
      </c>
    </row>
    <row r="212" spans="2:6" ht="15">
      <c r="B212" s="126">
        <v>296</v>
      </c>
      <c r="D212" s="128" t="s">
        <v>439</v>
      </c>
      <c r="E212" s="128" t="s">
        <v>912</v>
      </c>
      <c r="F212" s="128" t="s">
        <v>912</v>
      </c>
    </row>
    <row r="213" spans="2:6" ht="15">
      <c r="B213" s="126">
        <v>297</v>
      </c>
      <c r="D213" s="128" t="s">
        <v>111</v>
      </c>
      <c r="E213" s="128" t="s">
        <v>913</v>
      </c>
      <c r="F213" s="128" t="s">
        <v>913</v>
      </c>
    </row>
    <row r="214" spans="2:6" ht="15">
      <c r="B214" s="126">
        <v>298</v>
      </c>
      <c r="C214" s="127" t="s">
        <v>500</v>
      </c>
      <c r="D214" s="128" t="s">
        <v>536</v>
      </c>
      <c r="E214" s="128" t="s">
        <v>914</v>
      </c>
      <c r="F214" s="128" t="s">
        <v>914</v>
      </c>
    </row>
    <row r="215" spans="2:6" ht="15">
      <c r="B215" s="126">
        <v>299</v>
      </c>
      <c r="D215" s="128" t="s">
        <v>555</v>
      </c>
      <c r="E215" s="128" t="s">
        <v>915</v>
      </c>
      <c r="F215" s="128" t="s">
        <v>915</v>
      </c>
    </row>
    <row r="216" spans="2:6" ht="15">
      <c r="B216" s="126">
        <v>300</v>
      </c>
      <c r="D216" s="128" t="s">
        <v>433</v>
      </c>
      <c r="E216" s="128" t="s">
        <v>916</v>
      </c>
      <c r="F216" s="128" t="s">
        <v>916</v>
      </c>
    </row>
    <row r="217" spans="2:6" ht="15">
      <c r="B217" s="126">
        <v>301</v>
      </c>
      <c r="D217" s="128" t="s">
        <v>472</v>
      </c>
      <c r="E217" s="128" t="s">
        <v>917</v>
      </c>
      <c r="F217" s="128" t="s">
        <v>917</v>
      </c>
    </row>
    <row r="218" spans="2:6" ht="14">
      <c r="B218" s="126">
        <v>302</v>
      </c>
      <c r="C218" s="127" t="s">
        <v>500</v>
      </c>
      <c r="D218" s="133" t="s">
        <v>588</v>
      </c>
      <c r="E218" s="133" t="s">
        <v>918</v>
      </c>
      <c r="F218" s="133" t="s">
        <v>918</v>
      </c>
    </row>
    <row r="219" spans="2:6" ht="14">
      <c r="B219" s="126">
        <v>303</v>
      </c>
      <c r="C219" s="127" t="s">
        <v>500</v>
      </c>
      <c r="D219" s="133" t="s">
        <v>508</v>
      </c>
      <c r="E219" s="133" t="s">
        <v>919</v>
      </c>
      <c r="F219" s="133" t="s">
        <v>919</v>
      </c>
    </row>
    <row r="220" spans="2:6" ht="14">
      <c r="B220" s="126">
        <v>304</v>
      </c>
      <c r="C220" s="127" t="s">
        <v>500</v>
      </c>
      <c r="D220" s="133" t="s">
        <v>590</v>
      </c>
      <c r="E220" s="133" t="s">
        <v>920</v>
      </c>
      <c r="F220" s="133" t="s">
        <v>920</v>
      </c>
    </row>
    <row r="221" spans="2:6">
      <c r="B221" s="126">
        <v>305</v>
      </c>
      <c r="C221" s="127" t="s">
        <v>500</v>
      </c>
      <c r="D221" s="133" t="s">
        <v>1283</v>
      </c>
      <c r="E221" s="133" t="s">
        <v>741</v>
      </c>
      <c r="F221" s="133" t="s">
        <v>741</v>
      </c>
    </row>
    <row r="222" spans="2:6">
      <c r="B222" s="126">
        <v>306</v>
      </c>
      <c r="C222" s="127" t="s">
        <v>500</v>
      </c>
      <c r="D222" s="133" t="s">
        <v>1284</v>
      </c>
      <c r="E222" s="133" t="s">
        <v>589</v>
      </c>
      <c r="F222" s="133" t="s">
        <v>589</v>
      </c>
    </row>
    <row r="223" spans="2:6">
      <c r="B223" s="126">
        <v>307</v>
      </c>
      <c r="C223" s="127" t="s">
        <v>500</v>
      </c>
      <c r="D223" s="133" t="s">
        <v>1285</v>
      </c>
      <c r="E223" s="133" t="s">
        <v>584</v>
      </c>
      <c r="F223" s="133" t="s">
        <v>584</v>
      </c>
    </row>
    <row r="224" spans="2:6">
      <c r="B224" s="126">
        <v>308</v>
      </c>
      <c r="C224" s="127" t="s">
        <v>500</v>
      </c>
      <c r="D224" s="133" t="s">
        <v>1286</v>
      </c>
      <c r="E224" s="133" t="s">
        <v>585</v>
      </c>
      <c r="F224" s="133" t="s">
        <v>585</v>
      </c>
    </row>
    <row r="225" spans="2:6">
      <c r="B225" s="126">
        <v>309</v>
      </c>
      <c r="C225" s="127" t="s">
        <v>500</v>
      </c>
      <c r="D225" s="133" t="s">
        <v>1287</v>
      </c>
      <c r="E225" s="133" t="s">
        <v>586</v>
      </c>
      <c r="F225" s="133" t="s">
        <v>586</v>
      </c>
    </row>
    <row r="226" spans="2:6">
      <c r="B226" s="126">
        <v>310</v>
      </c>
      <c r="C226" s="127" t="s">
        <v>500</v>
      </c>
      <c r="D226" s="133" t="s">
        <v>1288</v>
      </c>
      <c r="E226" s="133" t="s">
        <v>587</v>
      </c>
      <c r="F226" s="133" t="s">
        <v>587</v>
      </c>
    </row>
    <row r="227" spans="2:6">
      <c r="B227" s="126">
        <v>311</v>
      </c>
      <c r="C227" s="127" t="s">
        <v>500</v>
      </c>
      <c r="D227" s="133" t="s">
        <v>1289</v>
      </c>
      <c r="E227" s="133" t="s">
        <v>591</v>
      </c>
      <c r="F227" s="133" t="s">
        <v>591</v>
      </c>
    </row>
    <row r="228" spans="2:6">
      <c r="B228" s="126">
        <v>312</v>
      </c>
      <c r="C228" s="127" t="s">
        <v>500</v>
      </c>
      <c r="D228" s="133" t="s">
        <v>1290</v>
      </c>
      <c r="E228" s="133" t="s">
        <v>592</v>
      </c>
      <c r="F228" s="133" t="s">
        <v>592</v>
      </c>
    </row>
    <row r="229" spans="2:6">
      <c r="B229" s="126">
        <v>313</v>
      </c>
      <c r="C229" s="127" t="s">
        <v>500</v>
      </c>
      <c r="D229" s="133" t="s">
        <v>1291</v>
      </c>
      <c r="E229" s="133" t="s">
        <v>593</v>
      </c>
      <c r="F229" s="133" t="s">
        <v>593</v>
      </c>
    </row>
    <row r="230" spans="2:6">
      <c r="B230" s="126">
        <v>314</v>
      </c>
      <c r="C230" s="127" t="s">
        <v>500</v>
      </c>
      <c r="D230" s="133" t="s">
        <v>1292</v>
      </c>
      <c r="E230" s="133" t="s">
        <v>594</v>
      </c>
      <c r="F230" s="133" t="s">
        <v>594</v>
      </c>
    </row>
    <row r="231" spans="2:6" ht="13">
      <c r="B231" s="126">
        <v>315</v>
      </c>
      <c r="C231" s="127" t="s">
        <v>500</v>
      </c>
      <c r="D231" s="133" t="s">
        <v>1293</v>
      </c>
      <c r="E231" s="128" t="s">
        <v>501</v>
      </c>
      <c r="F231" s="128" t="s">
        <v>501</v>
      </c>
    </row>
    <row r="232" spans="2:6" ht="13">
      <c r="B232" s="126">
        <v>316</v>
      </c>
      <c r="C232" s="127" t="s">
        <v>500</v>
      </c>
      <c r="D232" s="133" t="s">
        <v>1294</v>
      </c>
      <c r="E232" s="128" t="s">
        <v>502</v>
      </c>
      <c r="F232" s="128" t="s">
        <v>502</v>
      </c>
    </row>
    <row r="233" spans="2:6" ht="13">
      <c r="B233" s="126">
        <v>317</v>
      </c>
      <c r="C233" s="127" t="s">
        <v>500</v>
      </c>
      <c r="D233" s="133" t="s">
        <v>1295</v>
      </c>
      <c r="E233" s="128" t="s">
        <v>503</v>
      </c>
      <c r="F233" s="128" t="s">
        <v>503</v>
      </c>
    </row>
    <row r="234" spans="2:6" ht="13">
      <c r="B234" s="126">
        <v>318</v>
      </c>
      <c r="C234" s="127" t="s">
        <v>500</v>
      </c>
      <c r="D234" s="133" t="s">
        <v>1296</v>
      </c>
      <c r="E234" s="128" t="s">
        <v>504</v>
      </c>
      <c r="F234" s="128" t="s">
        <v>504</v>
      </c>
    </row>
    <row r="235" spans="2:6">
      <c r="B235" s="126">
        <v>319</v>
      </c>
      <c r="C235" s="127" t="s">
        <v>500</v>
      </c>
      <c r="D235" s="133" t="s">
        <v>1297</v>
      </c>
      <c r="E235" s="133" t="s">
        <v>538</v>
      </c>
      <c r="F235" s="133" t="s">
        <v>538</v>
      </c>
    </row>
    <row r="236" spans="2:6">
      <c r="B236" s="126">
        <v>320</v>
      </c>
      <c r="C236" s="127" t="s">
        <v>500</v>
      </c>
      <c r="D236" s="133" t="s">
        <v>1298</v>
      </c>
      <c r="E236" s="133" t="s">
        <v>1228</v>
      </c>
      <c r="F236" s="133" t="s">
        <v>1228</v>
      </c>
    </row>
    <row r="237" spans="2:6">
      <c r="B237" s="126">
        <v>321</v>
      </c>
      <c r="C237" s="127" t="s">
        <v>500</v>
      </c>
      <c r="D237" s="133" t="s">
        <v>1299</v>
      </c>
      <c r="E237" s="133" t="s">
        <v>1229</v>
      </c>
      <c r="F237" s="133" t="s">
        <v>1229</v>
      </c>
    </row>
    <row r="238" spans="2:6">
      <c r="B238" s="126">
        <v>322</v>
      </c>
      <c r="C238" s="127" t="s">
        <v>500</v>
      </c>
      <c r="D238" s="133"/>
      <c r="E238" s="133"/>
      <c r="F238" s="133"/>
    </row>
    <row r="239" spans="2:6" ht="30">
      <c r="B239" s="126">
        <v>323</v>
      </c>
      <c r="D239" s="128" t="s">
        <v>112</v>
      </c>
      <c r="E239" s="128" t="s">
        <v>921</v>
      </c>
      <c r="F239" s="128" t="s">
        <v>921</v>
      </c>
    </row>
    <row r="240" spans="2:6" ht="30">
      <c r="B240" s="126">
        <v>324</v>
      </c>
      <c r="D240" s="128" t="s">
        <v>113</v>
      </c>
      <c r="E240" s="128" t="s">
        <v>922</v>
      </c>
      <c r="F240" s="128" t="s">
        <v>922</v>
      </c>
    </row>
    <row r="241" spans="2:6" ht="30">
      <c r="B241" s="126">
        <v>325</v>
      </c>
      <c r="D241" s="128" t="s">
        <v>114</v>
      </c>
      <c r="E241" s="128" t="s">
        <v>923</v>
      </c>
      <c r="F241" s="128" t="s">
        <v>923</v>
      </c>
    </row>
    <row r="242" spans="2:6" ht="26">
      <c r="B242" s="126">
        <v>326</v>
      </c>
      <c r="C242" s="127" t="s">
        <v>500</v>
      </c>
      <c r="D242" s="128" t="s">
        <v>537</v>
      </c>
      <c r="E242" s="128" t="s">
        <v>924</v>
      </c>
      <c r="F242" s="128" t="s">
        <v>924</v>
      </c>
    </row>
    <row r="243" spans="2:6" ht="15">
      <c r="B243" s="126">
        <v>327</v>
      </c>
      <c r="D243" s="128" t="s">
        <v>115</v>
      </c>
      <c r="E243" s="128" t="s">
        <v>925</v>
      </c>
      <c r="F243" s="128" t="s">
        <v>925</v>
      </c>
    </row>
    <row r="244" spans="2:6" ht="15">
      <c r="B244" s="126">
        <v>328</v>
      </c>
      <c r="C244" s="127" t="s">
        <v>451</v>
      </c>
      <c r="D244" s="128" t="s">
        <v>461</v>
      </c>
      <c r="E244" s="128" t="s">
        <v>926</v>
      </c>
      <c r="F244" s="128" t="s">
        <v>926</v>
      </c>
    </row>
    <row r="245" spans="2:6" ht="15">
      <c r="B245" s="126">
        <v>329</v>
      </c>
      <c r="D245" s="128" t="s">
        <v>116</v>
      </c>
      <c r="E245" s="128" t="s">
        <v>927</v>
      </c>
      <c r="F245" s="128" t="s">
        <v>927</v>
      </c>
    </row>
    <row r="246" spans="2:6" ht="15">
      <c r="B246" s="126">
        <v>330</v>
      </c>
      <c r="D246" s="128" t="s">
        <v>117</v>
      </c>
      <c r="E246" s="128" t="s">
        <v>928</v>
      </c>
      <c r="F246" s="128" t="s">
        <v>928</v>
      </c>
    </row>
    <row r="247" spans="2:6" ht="15">
      <c r="B247" s="126">
        <v>331</v>
      </c>
      <c r="D247" s="128" t="s">
        <v>118</v>
      </c>
      <c r="E247" s="128" t="s">
        <v>929</v>
      </c>
      <c r="F247" s="128" t="s">
        <v>929</v>
      </c>
    </row>
    <row r="248" spans="2:6" ht="14">
      <c r="B248" s="126">
        <v>332</v>
      </c>
      <c r="C248" s="127" t="s">
        <v>451</v>
      </c>
      <c r="D248" s="125" t="s">
        <v>453</v>
      </c>
      <c r="E248" s="133" t="s">
        <v>930</v>
      </c>
      <c r="F248" s="133" t="s">
        <v>930</v>
      </c>
    </row>
    <row r="249" spans="2:6" ht="14">
      <c r="B249" s="126">
        <v>333</v>
      </c>
      <c r="C249" s="127" t="s">
        <v>451</v>
      </c>
      <c r="D249" s="125" t="s">
        <v>454</v>
      </c>
      <c r="E249" s="133" t="s">
        <v>931</v>
      </c>
      <c r="F249" s="133" t="s">
        <v>931</v>
      </c>
    </row>
    <row r="250" spans="2:6" ht="15">
      <c r="B250" s="126">
        <v>334</v>
      </c>
      <c r="D250" s="128" t="s">
        <v>119</v>
      </c>
      <c r="E250" s="128" t="s">
        <v>932</v>
      </c>
      <c r="F250" s="128" t="s">
        <v>932</v>
      </c>
    </row>
    <row r="251" spans="2:6" ht="15">
      <c r="B251" s="126">
        <v>335</v>
      </c>
      <c r="C251" s="127" t="s">
        <v>451</v>
      </c>
      <c r="D251" s="128" t="s">
        <v>459</v>
      </c>
      <c r="E251" s="128" t="s">
        <v>933</v>
      </c>
      <c r="F251" s="128" t="s">
        <v>933</v>
      </c>
    </row>
    <row r="252" spans="2:6" ht="14">
      <c r="B252" s="126">
        <v>336</v>
      </c>
      <c r="C252" s="127" t="s">
        <v>451</v>
      </c>
      <c r="D252" s="125" t="s">
        <v>462</v>
      </c>
      <c r="E252" s="133" t="s">
        <v>934</v>
      </c>
      <c r="F252" s="133" t="s">
        <v>934</v>
      </c>
    </row>
    <row r="253" spans="2:6" ht="30">
      <c r="B253" s="126">
        <v>337</v>
      </c>
      <c r="D253" s="128" t="s">
        <v>120</v>
      </c>
      <c r="E253" s="128" t="s">
        <v>935</v>
      </c>
      <c r="F253" s="128" t="s">
        <v>935</v>
      </c>
    </row>
    <row r="254" spans="2:6" ht="30">
      <c r="B254" s="126">
        <v>338</v>
      </c>
      <c r="D254" s="128" t="s">
        <v>121</v>
      </c>
      <c r="E254" s="128" t="s">
        <v>936</v>
      </c>
      <c r="F254" s="128" t="s">
        <v>936</v>
      </c>
    </row>
    <row r="255" spans="2:6" ht="15">
      <c r="B255" s="126">
        <v>339</v>
      </c>
      <c r="D255" s="128" t="s">
        <v>122</v>
      </c>
      <c r="E255" s="128" t="s">
        <v>937</v>
      </c>
      <c r="F255" s="128" t="s">
        <v>937</v>
      </c>
    </row>
    <row r="256" spans="2:6" ht="15">
      <c r="B256" s="126">
        <v>340</v>
      </c>
      <c r="D256" s="128" t="s">
        <v>123</v>
      </c>
      <c r="E256" s="128" t="s">
        <v>938</v>
      </c>
      <c r="F256" s="128" t="s">
        <v>938</v>
      </c>
    </row>
    <row r="257" spans="2:6" ht="15">
      <c r="B257" s="126">
        <v>341</v>
      </c>
      <c r="D257" s="128" t="s">
        <v>124</v>
      </c>
      <c r="E257" s="128" t="s">
        <v>939</v>
      </c>
      <c r="F257" s="128" t="s">
        <v>939</v>
      </c>
    </row>
    <row r="258" spans="2:6" ht="15">
      <c r="B258" s="126">
        <v>342</v>
      </c>
      <c r="D258" s="128" t="s">
        <v>125</v>
      </c>
      <c r="E258" s="128" t="s">
        <v>940</v>
      </c>
      <c r="F258" s="128" t="s">
        <v>940</v>
      </c>
    </row>
    <row r="259" spans="2:6" ht="15">
      <c r="B259" s="126">
        <v>343</v>
      </c>
      <c r="C259" s="127" t="s">
        <v>500</v>
      </c>
      <c r="D259" s="128" t="s">
        <v>522</v>
      </c>
      <c r="E259" s="128" t="s">
        <v>941</v>
      </c>
      <c r="F259" s="128" t="s">
        <v>941</v>
      </c>
    </row>
    <row r="260" spans="2:6" ht="15">
      <c r="B260" s="126">
        <v>344</v>
      </c>
      <c r="C260" s="127" t="s">
        <v>500</v>
      </c>
      <c r="D260" s="128" t="s">
        <v>524</v>
      </c>
      <c r="E260" s="128" t="s">
        <v>942</v>
      </c>
      <c r="F260" s="128" t="s">
        <v>942</v>
      </c>
    </row>
    <row r="261" spans="2:6" ht="15">
      <c r="B261" s="126">
        <v>345</v>
      </c>
      <c r="D261" s="128" t="s">
        <v>126</v>
      </c>
      <c r="E261" s="128" t="s">
        <v>943</v>
      </c>
      <c r="F261" s="128" t="s">
        <v>943</v>
      </c>
    </row>
    <row r="262" spans="2:6" ht="30">
      <c r="B262" s="126">
        <v>346</v>
      </c>
      <c r="C262" s="127" t="s">
        <v>500</v>
      </c>
      <c r="D262" s="128" t="s">
        <v>532</v>
      </c>
      <c r="E262" s="128" t="s">
        <v>944</v>
      </c>
      <c r="F262" s="128" t="s">
        <v>944</v>
      </c>
    </row>
    <row r="263" spans="2:6" ht="15">
      <c r="B263" s="126">
        <v>347</v>
      </c>
      <c r="D263" s="128" t="s">
        <v>365</v>
      </c>
      <c r="E263" s="128" t="s">
        <v>945</v>
      </c>
      <c r="F263" s="128" t="s">
        <v>945</v>
      </c>
    </row>
    <row r="264" spans="2:6" ht="15">
      <c r="B264" s="126">
        <v>348</v>
      </c>
      <c r="D264" s="128" t="s">
        <v>127</v>
      </c>
      <c r="E264" s="128" t="s">
        <v>946</v>
      </c>
      <c r="F264" s="128" t="s">
        <v>946</v>
      </c>
    </row>
    <row r="265" spans="2:6" ht="15">
      <c r="B265" s="126">
        <v>349</v>
      </c>
      <c r="D265" s="128" t="s">
        <v>366</v>
      </c>
      <c r="E265" s="128" t="s">
        <v>947</v>
      </c>
      <c r="F265" s="128" t="s">
        <v>947</v>
      </c>
    </row>
    <row r="266" spans="2:6" ht="15">
      <c r="B266" s="126">
        <v>350</v>
      </c>
      <c r="C266" s="127" t="s">
        <v>500</v>
      </c>
      <c r="D266" s="128" t="s">
        <v>523</v>
      </c>
      <c r="E266" s="128" t="s">
        <v>948</v>
      </c>
      <c r="F266" s="128" t="s">
        <v>948</v>
      </c>
    </row>
    <row r="267" spans="2:6" ht="14">
      <c r="B267" s="126">
        <v>351</v>
      </c>
      <c r="C267" s="127" t="s">
        <v>451</v>
      </c>
      <c r="D267" s="125" t="s">
        <v>452</v>
      </c>
      <c r="E267" s="133" t="s">
        <v>949</v>
      </c>
      <c r="F267" s="133" t="s">
        <v>949</v>
      </c>
    </row>
    <row r="268" spans="2:6" ht="26">
      <c r="B268" s="126">
        <v>352</v>
      </c>
      <c r="C268" s="127" t="s">
        <v>500</v>
      </c>
      <c r="D268" s="128" t="s">
        <v>515</v>
      </c>
      <c r="E268" s="128" t="s">
        <v>950</v>
      </c>
      <c r="F268" s="128" t="s">
        <v>950</v>
      </c>
    </row>
    <row r="269" spans="2:6" ht="26">
      <c r="B269" s="126">
        <v>353</v>
      </c>
      <c r="D269" s="128" t="s">
        <v>128</v>
      </c>
      <c r="F269" s="128"/>
    </row>
    <row r="270" spans="2:6" ht="15">
      <c r="B270" s="126">
        <v>354</v>
      </c>
      <c r="D270" s="128" t="s">
        <v>129</v>
      </c>
      <c r="E270" s="128" t="s">
        <v>951</v>
      </c>
      <c r="F270" s="128" t="s">
        <v>951</v>
      </c>
    </row>
    <row r="271" spans="2:6" ht="15">
      <c r="B271" s="126">
        <v>355</v>
      </c>
      <c r="D271" s="128" t="s">
        <v>130</v>
      </c>
      <c r="E271" s="128" t="s">
        <v>952</v>
      </c>
      <c r="F271" s="128" t="s">
        <v>952</v>
      </c>
    </row>
    <row r="272" spans="2:6" ht="15">
      <c r="B272" s="126">
        <v>356</v>
      </c>
      <c r="D272" s="128" t="s">
        <v>131</v>
      </c>
      <c r="E272" s="128" t="s">
        <v>953</v>
      </c>
      <c r="F272" s="128" t="s">
        <v>953</v>
      </c>
    </row>
    <row r="273" spans="2:6" ht="15">
      <c r="B273" s="126">
        <v>357</v>
      </c>
      <c r="C273" s="127" t="s">
        <v>500</v>
      </c>
      <c r="D273" s="128" t="s">
        <v>518</v>
      </c>
      <c r="E273" s="128" t="s">
        <v>954</v>
      </c>
      <c r="F273" s="128" t="s">
        <v>954</v>
      </c>
    </row>
    <row r="274" spans="2:6" ht="15">
      <c r="B274" s="126">
        <v>358</v>
      </c>
      <c r="D274" s="128" t="s">
        <v>132</v>
      </c>
      <c r="E274" s="128" t="s">
        <v>955</v>
      </c>
      <c r="F274" s="128" t="s">
        <v>955</v>
      </c>
    </row>
    <row r="275" spans="2:6" ht="15">
      <c r="B275" s="126">
        <v>359</v>
      </c>
      <c r="D275" s="128" t="s">
        <v>367</v>
      </c>
      <c r="E275" s="128" t="s">
        <v>956</v>
      </c>
      <c r="F275" s="128" t="s">
        <v>956</v>
      </c>
    </row>
    <row r="276" spans="2:6" ht="15">
      <c r="B276" s="126">
        <v>360</v>
      </c>
      <c r="D276" s="128" t="s">
        <v>133</v>
      </c>
      <c r="E276" s="128" t="s">
        <v>957</v>
      </c>
      <c r="F276" s="128" t="s">
        <v>957</v>
      </c>
    </row>
    <row r="277" spans="2:6" ht="30">
      <c r="B277" s="126">
        <v>361</v>
      </c>
      <c r="C277" s="127" t="s">
        <v>500</v>
      </c>
      <c r="D277" s="128" t="s">
        <v>514</v>
      </c>
      <c r="E277" s="128" t="s">
        <v>958</v>
      </c>
      <c r="F277" s="128" t="s">
        <v>958</v>
      </c>
    </row>
    <row r="278" spans="2:6" ht="45">
      <c r="B278" s="126">
        <v>362</v>
      </c>
      <c r="C278" s="127" t="s">
        <v>500</v>
      </c>
      <c r="D278" s="128" t="s">
        <v>529</v>
      </c>
      <c r="E278" s="128" t="s">
        <v>959</v>
      </c>
      <c r="F278" s="128" t="s">
        <v>959</v>
      </c>
    </row>
    <row r="279" spans="2:6" ht="15">
      <c r="B279" s="126">
        <v>363</v>
      </c>
      <c r="D279" s="128" t="s">
        <v>134</v>
      </c>
      <c r="E279" s="128" t="s">
        <v>960</v>
      </c>
      <c r="F279" s="128" t="s">
        <v>960</v>
      </c>
    </row>
    <row r="280" spans="2:6" ht="13">
      <c r="B280" s="126">
        <v>364</v>
      </c>
      <c r="D280" s="128" t="s">
        <v>1</v>
      </c>
      <c r="E280" s="128" t="s">
        <v>1</v>
      </c>
      <c r="F280" s="128" t="s">
        <v>1</v>
      </c>
    </row>
    <row r="281" spans="2:6" ht="13">
      <c r="B281" s="126">
        <v>365</v>
      </c>
      <c r="D281" s="128" t="s">
        <v>2</v>
      </c>
      <c r="E281" s="128" t="s">
        <v>2</v>
      </c>
      <c r="F281" s="128" t="s">
        <v>2</v>
      </c>
    </row>
    <row r="282" spans="2:6" ht="15">
      <c r="B282" s="126">
        <v>366</v>
      </c>
      <c r="D282" s="128" t="s">
        <v>440</v>
      </c>
      <c r="E282" s="128" t="s">
        <v>961</v>
      </c>
      <c r="F282" s="128" t="s">
        <v>961</v>
      </c>
    </row>
    <row r="283" spans="2:6" ht="13">
      <c r="B283" s="126">
        <v>367</v>
      </c>
      <c r="D283" s="128" t="s">
        <v>135</v>
      </c>
      <c r="E283" s="128" t="s">
        <v>136</v>
      </c>
      <c r="F283" s="128" t="s">
        <v>136</v>
      </c>
    </row>
    <row r="284" spans="2:6" ht="15">
      <c r="B284" s="126">
        <v>368</v>
      </c>
      <c r="D284" s="128" t="s">
        <v>563</v>
      </c>
      <c r="E284" s="128" t="s">
        <v>962</v>
      </c>
      <c r="F284" s="128" t="s">
        <v>962</v>
      </c>
    </row>
    <row r="285" spans="2:6" ht="13">
      <c r="B285" s="126">
        <v>369</v>
      </c>
      <c r="D285" s="128" t="s">
        <v>137</v>
      </c>
      <c r="E285" s="128" t="s">
        <v>424</v>
      </c>
      <c r="F285" s="128" t="s">
        <v>424</v>
      </c>
    </row>
    <row r="286" spans="2:6" ht="15">
      <c r="B286" s="126">
        <v>370</v>
      </c>
      <c r="D286" s="128" t="s">
        <v>138</v>
      </c>
      <c r="E286" s="128" t="s">
        <v>963</v>
      </c>
      <c r="F286" s="128" t="s">
        <v>963</v>
      </c>
    </row>
    <row r="287" spans="2:6" ht="15">
      <c r="B287" s="126">
        <v>371</v>
      </c>
      <c r="D287" s="128" t="s">
        <v>139</v>
      </c>
      <c r="E287" s="128" t="s">
        <v>964</v>
      </c>
      <c r="F287" s="128" t="s">
        <v>964</v>
      </c>
    </row>
    <row r="288" spans="2:6" ht="15">
      <c r="B288" s="126">
        <v>372</v>
      </c>
      <c r="D288" s="128" t="s">
        <v>368</v>
      </c>
      <c r="E288" s="128" t="s">
        <v>965</v>
      </c>
      <c r="F288" s="128" t="s">
        <v>965</v>
      </c>
    </row>
    <row r="289" spans="2:6" ht="15">
      <c r="B289" s="126">
        <v>373</v>
      </c>
      <c r="D289" s="128" t="s">
        <v>369</v>
      </c>
      <c r="E289" s="128" t="s">
        <v>966</v>
      </c>
      <c r="F289" s="128" t="s">
        <v>966</v>
      </c>
    </row>
    <row r="290" spans="2:6" ht="15">
      <c r="B290" s="126">
        <v>374</v>
      </c>
      <c r="D290" s="128" t="s">
        <v>370</v>
      </c>
      <c r="E290" s="128" t="s">
        <v>965</v>
      </c>
      <c r="F290" s="128" t="s">
        <v>965</v>
      </c>
    </row>
    <row r="291" spans="2:6" ht="15">
      <c r="B291" s="126">
        <v>375</v>
      </c>
      <c r="C291" s="127" t="s">
        <v>500</v>
      </c>
      <c r="D291" s="128" t="s">
        <v>506</v>
      </c>
      <c r="E291" s="128" t="s">
        <v>967</v>
      </c>
      <c r="F291" s="128" t="s">
        <v>967</v>
      </c>
    </row>
    <row r="292" spans="2:6" ht="15">
      <c r="B292" s="126">
        <v>376</v>
      </c>
      <c r="D292" s="128" t="s">
        <v>140</v>
      </c>
      <c r="E292" s="128" t="s">
        <v>968</v>
      </c>
      <c r="F292" s="128" t="s">
        <v>968</v>
      </c>
    </row>
    <row r="293" spans="2:6" ht="15">
      <c r="B293" s="126">
        <v>377</v>
      </c>
      <c r="D293" s="128" t="s">
        <v>371</v>
      </c>
      <c r="E293" s="128" t="s">
        <v>969</v>
      </c>
      <c r="F293" s="128" t="s">
        <v>969</v>
      </c>
    </row>
    <row r="294" spans="2:6" ht="15">
      <c r="B294" s="126">
        <v>378</v>
      </c>
      <c r="D294" s="128" t="s">
        <v>141</v>
      </c>
      <c r="E294" s="128" t="s">
        <v>970</v>
      </c>
      <c r="F294" s="128" t="s">
        <v>970</v>
      </c>
    </row>
    <row r="295" spans="2:6" ht="14">
      <c r="B295" s="126">
        <v>379</v>
      </c>
      <c r="C295" s="127" t="s">
        <v>451</v>
      </c>
      <c r="D295" s="125" t="s">
        <v>463</v>
      </c>
      <c r="E295" s="133" t="s">
        <v>971</v>
      </c>
      <c r="F295" s="133" t="s">
        <v>971</v>
      </c>
    </row>
    <row r="296" spans="2:6" ht="15">
      <c r="B296" s="126">
        <v>380</v>
      </c>
      <c r="D296" s="128" t="s">
        <v>400</v>
      </c>
      <c r="E296" s="128" t="s">
        <v>972</v>
      </c>
      <c r="F296" s="128" t="s">
        <v>972</v>
      </c>
    </row>
    <row r="297" spans="2:6" ht="15">
      <c r="B297" s="126">
        <v>381</v>
      </c>
      <c r="D297" s="128" t="s">
        <v>401</v>
      </c>
      <c r="E297" s="128" t="s">
        <v>973</v>
      </c>
      <c r="F297" s="128" t="s">
        <v>973</v>
      </c>
    </row>
    <row r="298" spans="2:6" ht="15">
      <c r="B298" s="126">
        <v>382</v>
      </c>
      <c r="C298" s="127" t="s">
        <v>469</v>
      </c>
      <c r="D298" s="128" t="s">
        <v>470</v>
      </c>
      <c r="E298" s="128" t="s">
        <v>974</v>
      </c>
      <c r="F298" s="128" t="s">
        <v>974</v>
      </c>
    </row>
    <row r="299" spans="2:6" ht="15">
      <c r="B299" s="126">
        <v>383</v>
      </c>
      <c r="D299" s="128" t="s">
        <v>142</v>
      </c>
      <c r="E299" s="128" t="s">
        <v>975</v>
      </c>
      <c r="F299" s="128" t="s">
        <v>975</v>
      </c>
    </row>
    <row r="300" spans="2:6" ht="15">
      <c r="B300" s="126">
        <v>384</v>
      </c>
      <c r="D300" s="128" t="s">
        <v>372</v>
      </c>
      <c r="E300" s="128" t="s">
        <v>976</v>
      </c>
      <c r="F300" s="128" t="s">
        <v>976</v>
      </c>
    </row>
    <row r="301" spans="2:6" ht="15">
      <c r="B301" s="126">
        <v>385</v>
      </c>
      <c r="D301" s="128" t="s">
        <v>143</v>
      </c>
      <c r="E301" s="128" t="s">
        <v>977</v>
      </c>
      <c r="F301" s="128" t="s">
        <v>977</v>
      </c>
    </row>
    <row r="302" spans="2:6" ht="15">
      <c r="B302" s="126">
        <v>386</v>
      </c>
      <c r="D302" s="128" t="s">
        <v>144</v>
      </c>
      <c r="E302" s="128" t="s">
        <v>978</v>
      </c>
      <c r="F302" s="128" t="s">
        <v>978</v>
      </c>
    </row>
    <row r="303" spans="2:6" ht="15">
      <c r="B303" s="126">
        <v>387</v>
      </c>
      <c r="D303" s="128" t="s">
        <v>145</v>
      </c>
      <c r="E303" s="128" t="s">
        <v>979</v>
      </c>
      <c r="F303" s="128" t="s">
        <v>979</v>
      </c>
    </row>
    <row r="304" spans="2:6" ht="15">
      <c r="B304" s="126">
        <v>388</v>
      </c>
      <c r="D304" s="128" t="s">
        <v>458</v>
      </c>
      <c r="E304" s="128" t="s">
        <v>980</v>
      </c>
      <c r="F304" s="128" t="s">
        <v>980</v>
      </c>
    </row>
    <row r="305" spans="2:6" ht="26">
      <c r="B305" s="126">
        <v>389</v>
      </c>
      <c r="D305" s="128" t="s">
        <v>146</v>
      </c>
      <c r="E305" s="128" t="s">
        <v>981</v>
      </c>
      <c r="F305" s="128" t="s">
        <v>981</v>
      </c>
    </row>
    <row r="306" spans="2:6" ht="15">
      <c r="B306" s="126">
        <v>390</v>
      </c>
      <c r="D306" s="128" t="s">
        <v>573</v>
      </c>
      <c r="E306" s="128" t="s">
        <v>982</v>
      </c>
      <c r="F306" s="128" t="s">
        <v>982</v>
      </c>
    </row>
    <row r="307" spans="2:6" ht="30">
      <c r="B307" s="126">
        <v>391</v>
      </c>
      <c r="D307" s="128" t="s">
        <v>402</v>
      </c>
      <c r="E307" s="128" t="s">
        <v>983</v>
      </c>
      <c r="F307" s="128" t="s">
        <v>983</v>
      </c>
    </row>
    <row r="308" spans="2:6" ht="15">
      <c r="B308" s="126">
        <v>392</v>
      </c>
      <c r="D308" s="128" t="s">
        <v>403</v>
      </c>
      <c r="E308" s="128" t="s">
        <v>984</v>
      </c>
      <c r="F308" s="128" t="s">
        <v>984</v>
      </c>
    </row>
    <row r="309" spans="2:6" ht="15">
      <c r="B309" s="126">
        <v>393</v>
      </c>
      <c r="D309" s="128" t="s">
        <v>373</v>
      </c>
      <c r="E309" s="128" t="s">
        <v>985</v>
      </c>
      <c r="F309" s="128" t="s">
        <v>985</v>
      </c>
    </row>
    <row r="310" spans="2:6" ht="15">
      <c r="B310" s="126">
        <v>394</v>
      </c>
      <c r="D310" s="128" t="s">
        <v>147</v>
      </c>
      <c r="E310" s="128" t="s">
        <v>986</v>
      </c>
      <c r="F310" s="128" t="s">
        <v>986</v>
      </c>
    </row>
    <row r="311" spans="2:6" ht="15">
      <c r="B311" s="126">
        <v>395</v>
      </c>
      <c r="D311" s="128" t="s">
        <v>374</v>
      </c>
      <c r="E311" s="128" t="s">
        <v>987</v>
      </c>
      <c r="F311" s="128" t="s">
        <v>987</v>
      </c>
    </row>
    <row r="312" spans="2:6" ht="15">
      <c r="B312" s="126">
        <v>396</v>
      </c>
      <c r="D312" s="128" t="s">
        <v>375</v>
      </c>
      <c r="E312" s="128" t="s">
        <v>988</v>
      </c>
      <c r="F312" s="128" t="s">
        <v>988</v>
      </c>
    </row>
    <row r="313" spans="2:6" ht="15">
      <c r="B313" s="126">
        <v>397</v>
      </c>
      <c r="D313" s="128" t="s">
        <v>148</v>
      </c>
      <c r="E313" s="128" t="s">
        <v>989</v>
      </c>
      <c r="F313" s="128" t="s">
        <v>989</v>
      </c>
    </row>
    <row r="314" spans="2:6" ht="15">
      <c r="B314" s="126">
        <v>398</v>
      </c>
      <c r="D314" s="128" t="s">
        <v>149</v>
      </c>
      <c r="E314" s="128" t="s">
        <v>990</v>
      </c>
      <c r="F314" s="128" t="s">
        <v>990</v>
      </c>
    </row>
    <row r="315" spans="2:6" ht="15">
      <c r="B315" s="126">
        <v>399</v>
      </c>
      <c r="D315" s="128" t="s">
        <v>376</v>
      </c>
      <c r="E315" s="128" t="s">
        <v>991</v>
      </c>
      <c r="F315" s="128" t="s">
        <v>991</v>
      </c>
    </row>
    <row r="316" spans="2:6" ht="15">
      <c r="B316" s="126">
        <v>400</v>
      </c>
      <c r="D316" s="128" t="s">
        <v>150</v>
      </c>
      <c r="E316" s="128" t="s">
        <v>992</v>
      </c>
      <c r="F316" s="128" t="s">
        <v>992</v>
      </c>
    </row>
    <row r="317" spans="2:6" ht="15">
      <c r="B317" s="126">
        <v>401</v>
      </c>
      <c r="C317" s="127" t="s">
        <v>417</v>
      </c>
      <c r="D317" s="128" t="s">
        <v>425</v>
      </c>
      <c r="E317" s="128" t="s">
        <v>993</v>
      </c>
      <c r="F317" s="128" t="s">
        <v>993</v>
      </c>
    </row>
    <row r="318" spans="2:6">
      <c r="B318" s="126">
        <v>402</v>
      </c>
      <c r="C318" s="127" t="s">
        <v>451</v>
      </c>
      <c r="D318" s="125" t="s">
        <v>450</v>
      </c>
      <c r="E318" s="133" t="s">
        <v>1338</v>
      </c>
      <c r="F318" s="133" t="s">
        <v>1338</v>
      </c>
    </row>
    <row r="319" spans="2:6" ht="13">
      <c r="B319" s="126">
        <v>403</v>
      </c>
      <c r="D319" s="128" t="s">
        <v>151</v>
      </c>
      <c r="E319" s="128" t="s">
        <v>1330</v>
      </c>
      <c r="F319" s="128" t="s">
        <v>1330</v>
      </c>
    </row>
    <row r="320" spans="2:6" ht="15">
      <c r="B320" s="126">
        <v>404</v>
      </c>
      <c r="D320" s="128" t="s">
        <v>152</v>
      </c>
      <c r="E320" s="144" t="s">
        <v>1383</v>
      </c>
      <c r="F320" s="144" t="s">
        <v>1383</v>
      </c>
    </row>
    <row r="321" spans="1:6" ht="13">
      <c r="B321" s="126">
        <v>405</v>
      </c>
      <c r="D321" s="128" t="s">
        <v>153</v>
      </c>
      <c r="E321" s="128" t="s">
        <v>1339</v>
      </c>
      <c r="F321" s="128" t="s">
        <v>1339</v>
      </c>
    </row>
    <row r="322" spans="1:6" ht="15">
      <c r="B322" s="126">
        <v>406</v>
      </c>
      <c r="D322" s="128" t="s">
        <v>154</v>
      </c>
      <c r="E322" s="128" t="s">
        <v>994</v>
      </c>
      <c r="F322" s="128" t="s">
        <v>994</v>
      </c>
    </row>
    <row r="323" spans="1:6" ht="14">
      <c r="B323" s="126">
        <v>407</v>
      </c>
      <c r="C323" s="127" t="s">
        <v>451</v>
      </c>
      <c r="D323" s="125" t="s">
        <v>447</v>
      </c>
      <c r="E323" s="133" t="s">
        <v>995</v>
      </c>
      <c r="F323" s="133" t="s">
        <v>995</v>
      </c>
    </row>
    <row r="324" spans="1:6" ht="13">
      <c r="B324" s="126">
        <v>408</v>
      </c>
      <c r="D324" s="128" t="s">
        <v>155</v>
      </c>
      <c r="E324" s="128" t="s">
        <v>1338</v>
      </c>
      <c r="F324" s="128" t="s">
        <v>1338</v>
      </c>
    </row>
    <row r="325" spans="1:6" ht="14">
      <c r="B325" s="126">
        <v>409</v>
      </c>
      <c r="C325" s="127" t="s">
        <v>451</v>
      </c>
      <c r="D325" s="128" t="s">
        <v>445</v>
      </c>
      <c r="E325" s="133" t="s">
        <v>996</v>
      </c>
      <c r="F325" s="133" t="s">
        <v>996</v>
      </c>
    </row>
    <row r="326" spans="1:6" ht="15">
      <c r="B326" s="126">
        <v>410</v>
      </c>
      <c r="D326" s="128" t="s">
        <v>156</v>
      </c>
      <c r="E326" s="128" t="s">
        <v>997</v>
      </c>
      <c r="F326" s="128" t="s">
        <v>997</v>
      </c>
    </row>
    <row r="327" spans="1:6" ht="39">
      <c r="B327" s="126">
        <v>411</v>
      </c>
      <c r="D327" s="128" t="s">
        <v>157</v>
      </c>
      <c r="E327" s="128" t="s">
        <v>1262</v>
      </c>
      <c r="F327" s="128" t="s">
        <v>1262</v>
      </c>
    </row>
    <row r="328" spans="1:6" ht="15">
      <c r="B328" s="126">
        <v>412</v>
      </c>
      <c r="D328" s="128" t="s">
        <v>158</v>
      </c>
      <c r="E328" s="128" t="s">
        <v>998</v>
      </c>
      <c r="F328" s="128" t="s">
        <v>998</v>
      </c>
    </row>
    <row r="329" spans="1:6" ht="15">
      <c r="B329" s="126">
        <v>413</v>
      </c>
      <c r="D329" s="128" t="s">
        <v>481</v>
      </c>
      <c r="E329" s="128" t="s">
        <v>999</v>
      </c>
      <c r="F329" s="128" t="s">
        <v>999</v>
      </c>
    </row>
    <row r="330" spans="1:6" ht="28">
      <c r="B330" s="126">
        <v>414</v>
      </c>
      <c r="D330" s="128" t="s">
        <v>1368</v>
      </c>
      <c r="E330" s="144" t="s">
        <v>1384</v>
      </c>
      <c r="F330" s="144" t="s">
        <v>1384</v>
      </c>
    </row>
    <row r="331" spans="1:6" ht="13">
      <c r="B331" s="126">
        <v>415</v>
      </c>
      <c r="D331" s="128" t="s">
        <v>482</v>
      </c>
      <c r="E331" s="128" t="s">
        <v>1340</v>
      </c>
      <c r="F331" s="128" t="s">
        <v>1340</v>
      </c>
    </row>
    <row r="332" spans="1:6" ht="15">
      <c r="B332" s="126">
        <v>416</v>
      </c>
      <c r="D332" s="128" t="s">
        <v>480</v>
      </c>
      <c r="E332" s="128" t="s">
        <v>1000</v>
      </c>
      <c r="F332" s="128" t="s">
        <v>1000</v>
      </c>
    </row>
    <row r="333" spans="1:6" ht="15">
      <c r="A333" s="130"/>
      <c r="B333" s="126">
        <v>417</v>
      </c>
      <c r="C333" s="131" t="s">
        <v>399</v>
      </c>
      <c r="D333" s="129" t="s">
        <v>426</v>
      </c>
      <c r="E333" s="129" t="s">
        <v>1001</v>
      </c>
      <c r="F333" s="129" t="s">
        <v>1001</v>
      </c>
    </row>
    <row r="334" spans="1:6" ht="15">
      <c r="A334" s="130"/>
      <c r="B334" s="126">
        <v>418</v>
      </c>
      <c r="C334" s="131" t="s">
        <v>399</v>
      </c>
      <c r="D334" s="129" t="s">
        <v>427</v>
      </c>
      <c r="E334" s="129" t="s">
        <v>1002</v>
      </c>
      <c r="F334" s="129" t="s">
        <v>1002</v>
      </c>
    </row>
    <row r="335" spans="1:6" ht="15">
      <c r="A335" s="130"/>
      <c r="B335" s="126">
        <v>419</v>
      </c>
      <c r="C335" s="131" t="s">
        <v>399</v>
      </c>
      <c r="D335" s="129" t="s">
        <v>428</v>
      </c>
      <c r="E335" s="129" t="s">
        <v>1003</v>
      </c>
      <c r="F335" s="129" t="s">
        <v>1003</v>
      </c>
    </row>
    <row r="336" spans="1:6" ht="15">
      <c r="B336" s="126">
        <v>420</v>
      </c>
      <c r="D336" s="128" t="s">
        <v>159</v>
      </c>
      <c r="E336" s="128" t="s">
        <v>1001</v>
      </c>
      <c r="F336" s="128" t="s">
        <v>1001</v>
      </c>
    </row>
    <row r="337" spans="2:6" ht="15">
      <c r="B337" s="126">
        <v>421</v>
      </c>
      <c r="D337" s="128" t="s">
        <v>160</v>
      </c>
      <c r="E337" s="129" t="s">
        <v>1004</v>
      </c>
      <c r="F337" s="129" t="s">
        <v>1004</v>
      </c>
    </row>
    <row r="338" spans="2:6" ht="15">
      <c r="B338" s="126">
        <v>422</v>
      </c>
      <c r="D338" s="128" t="s">
        <v>161</v>
      </c>
      <c r="E338" s="128" t="s">
        <v>1005</v>
      </c>
      <c r="F338" s="128" t="s">
        <v>1005</v>
      </c>
    </row>
    <row r="339" spans="2:6" ht="15">
      <c r="B339" s="126">
        <v>423</v>
      </c>
      <c r="D339" s="128" t="s">
        <v>162</v>
      </c>
      <c r="E339" s="128" t="s">
        <v>1006</v>
      </c>
      <c r="F339" s="128" t="s">
        <v>1006</v>
      </c>
    </row>
    <row r="340" spans="2:6" ht="15">
      <c r="B340" s="126">
        <v>424</v>
      </c>
      <c r="D340" s="128" t="s">
        <v>163</v>
      </c>
      <c r="E340" s="128" t="s">
        <v>1007</v>
      </c>
      <c r="F340" s="128" t="s">
        <v>1007</v>
      </c>
    </row>
    <row r="341" spans="2:6" ht="15">
      <c r="B341" s="126">
        <v>425</v>
      </c>
      <c r="D341" s="128" t="s">
        <v>164</v>
      </c>
      <c r="E341" s="128" t="s">
        <v>1008</v>
      </c>
      <c r="F341" s="128" t="s">
        <v>1008</v>
      </c>
    </row>
    <row r="342" spans="2:6" ht="15">
      <c r="B342" s="126">
        <v>426</v>
      </c>
      <c r="D342" s="128" t="s">
        <v>165</v>
      </c>
      <c r="E342" s="128" t="s">
        <v>1009</v>
      </c>
      <c r="F342" s="128" t="s">
        <v>1009</v>
      </c>
    </row>
    <row r="343" spans="2:6" ht="15">
      <c r="B343" s="126">
        <v>427</v>
      </c>
      <c r="D343" s="128" t="s">
        <v>166</v>
      </c>
      <c r="E343" s="128" t="s">
        <v>1010</v>
      </c>
      <c r="F343" s="128" t="s">
        <v>1010</v>
      </c>
    </row>
    <row r="344" spans="2:6" ht="15">
      <c r="B344" s="126">
        <v>428</v>
      </c>
      <c r="D344" s="128" t="s">
        <v>167</v>
      </c>
      <c r="E344" s="128" t="s">
        <v>1011</v>
      </c>
      <c r="F344" s="128" t="s">
        <v>1011</v>
      </c>
    </row>
    <row r="345" spans="2:6" ht="15">
      <c r="B345" s="126">
        <v>429</v>
      </c>
      <c r="D345" s="128" t="s">
        <v>168</v>
      </c>
      <c r="E345" s="128" t="s">
        <v>1012</v>
      </c>
      <c r="F345" s="128" t="s">
        <v>1012</v>
      </c>
    </row>
    <row r="346" spans="2:6" ht="15">
      <c r="B346" s="126">
        <v>430</v>
      </c>
      <c r="D346" s="128" t="s">
        <v>169</v>
      </c>
      <c r="E346" s="128" t="s">
        <v>1013</v>
      </c>
      <c r="F346" s="128" t="s">
        <v>1013</v>
      </c>
    </row>
    <row r="347" spans="2:6" ht="15">
      <c r="B347" s="126">
        <v>431</v>
      </c>
      <c r="D347" s="128" t="s">
        <v>170</v>
      </c>
      <c r="E347" s="128" t="s">
        <v>1014</v>
      </c>
      <c r="F347" s="128" t="s">
        <v>1014</v>
      </c>
    </row>
    <row r="348" spans="2:6" ht="15">
      <c r="B348" s="126">
        <v>432</v>
      </c>
      <c r="D348" s="128" t="s">
        <v>171</v>
      </c>
      <c r="E348" s="128" t="s">
        <v>1015</v>
      </c>
      <c r="F348" s="128" t="s">
        <v>1015</v>
      </c>
    </row>
    <row r="349" spans="2:6" ht="13">
      <c r="B349" s="126">
        <v>433</v>
      </c>
      <c r="D349" s="128" t="s">
        <v>172</v>
      </c>
      <c r="E349" s="128" t="s">
        <v>1341</v>
      </c>
      <c r="F349" s="128" t="s">
        <v>1341</v>
      </c>
    </row>
    <row r="350" spans="2:6" ht="13">
      <c r="B350" s="126">
        <v>434</v>
      </c>
      <c r="D350" s="128" t="s">
        <v>484</v>
      </c>
      <c r="E350" s="128" t="s">
        <v>1342</v>
      </c>
      <c r="F350" s="128" t="s">
        <v>1342</v>
      </c>
    </row>
    <row r="351" spans="2:6" ht="13">
      <c r="B351" s="126">
        <v>435</v>
      </c>
      <c r="D351" s="128" t="s">
        <v>483</v>
      </c>
      <c r="E351" s="128" t="s">
        <v>1343</v>
      </c>
      <c r="F351" s="128" t="s">
        <v>1343</v>
      </c>
    </row>
    <row r="352" spans="2:6" ht="13">
      <c r="B352" s="126">
        <v>436</v>
      </c>
      <c r="D352" s="128" t="s">
        <v>173</v>
      </c>
      <c r="E352" s="128" t="s">
        <v>1308</v>
      </c>
      <c r="F352" s="128" t="s">
        <v>1308</v>
      </c>
    </row>
    <row r="353" spans="2:6" ht="15">
      <c r="B353" s="126">
        <v>437</v>
      </c>
      <c r="D353" s="128" t="s">
        <v>174</v>
      </c>
      <c r="E353" s="128" t="s">
        <v>1016</v>
      </c>
      <c r="F353" s="128" t="s">
        <v>1016</v>
      </c>
    </row>
    <row r="354" spans="2:6" ht="15">
      <c r="B354" s="126">
        <v>438</v>
      </c>
      <c r="D354" s="128" t="s">
        <v>175</v>
      </c>
      <c r="E354" s="128" t="s">
        <v>1017</v>
      </c>
      <c r="F354" s="128" t="s">
        <v>1017</v>
      </c>
    </row>
    <row r="355" spans="2:6" ht="15">
      <c r="B355" s="126">
        <v>439</v>
      </c>
      <c r="D355" s="128" t="s">
        <v>176</v>
      </c>
      <c r="E355" s="128" t="s">
        <v>1018</v>
      </c>
      <c r="F355" s="128" t="s">
        <v>1018</v>
      </c>
    </row>
    <row r="356" spans="2:6" ht="13">
      <c r="B356" s="126">
        <v>440</v>
      </c>
      <c r="D356" s="128" t="s">
        <v>177</v>
      </c>
      <c r="E356" s="128" t="s">
        <v>1344</v>
      </c>
      <c r="F356" s="128" t="s">
        <v>1344</v>
      </c>
    </row>
    <row r="357" spans="2:6" ht="13">
      <c r="B357" s="126">
        <v>441</v>
      </c>
      <c r="D357" s="128" t="s">
        <v>178</v>
      </c>
      <c r="E357" s="128" t="s">
        <v>1345</v>
      </c>
      <c r="F357" s="128" t="s">
        <v>1345</v>
      </c>
    </row>
    <row r="358" spans="2:6" ht="13">
      <c r="B358" s="126">
        <v>442</v>
      </c>
      <c r="D358" s="128" t="s">
        <v>485</v>
      </c>
      <c r="E358" s="128" t="s">
        <v>1346</v>
      </c>
      <c r="F358" s="128" t="s">
        <v>1346</v>
      </c>
    </row>
    <row r="359" spans="2:6" ht="13">
      <c r="B359" s="126">
        <v>443</v>
      </c>
      <c r="D359" s="128" t="s">
        <v>478</v>
      </c>
      <c r="E359" s="128" t="s">
        <v>1347</v>
      </c>
      <c r="F359" s="128" t="s">
        <v>1347</v>
      </c>
    </row>
    <row r="360" spans="2:6" ht="13">
      <c r="B360" s="126">
        <v>444</v>
      </c>
      <c r="D360" s="128" t="s">
        <v>377</v>
      </c>
      <c r="E360" s="128" t="s">
        <v>377</v>
      </c>
      <c r="F360" s="128" t="s">
        <v>377</v>
      </c>
    </row>
    <row r="361" spans="2:6" ht="26">
      <c r="B361" s="126">
        <v>445</v>
      </c>
      <c r="C361" s="127" t="s">
        <v>500</v>
      </c>
      <c r="D361" s="128" t="s">
        <v>528</v>
      </c>
      <c r="E361" s="128" t="s">
        <v>1309</v>
      </c>
      <c r="F361" s="128" t="s">
        <v>1309</v>
      </c>
    </row>
    <row r="362" spans="2:6" ht="15">
      <c r="B362" s="126">
        <v>446</v>
      </c>
      <c r="D362" s="128" t="s">
        <v>554</v>
      </c>
      <c r="E362" s="128" t="s">
        <v>1019</v>
      </c>
      <c r="F362" s="128" t="s">
        <v>1019</v>
      </c>
    </row>
    <row r="363" spans="2:6" ht="15">
      <c r="B363" s="126">
        <v>447</v>
      </c>
      <c r="C363" s="127" t="s">
        <v>451</v>
      </c>
      <c r="D363" s="128" t="s">
        <v>456</v>
      </c>
      <c r="E363" s="128" t="s">
        <v>1020</v>
      </c>
      <c r="F363" s="128" t="s">
        <v>1020</v>
      </c>
    </row>
    <row r="364" spans="2:6" ht="15">
      <c r="B364" s="126">
        <v>448</v>
      </c>
      <c r="D364" s="128" t="s">
        <v>179</v>
      </c>
      <c r="E364" s="128" t="s">
        <v>1021</v>
      </c>
      <c r="F364" s="128" t="s">
        <v>1021</v>
      </c>
    </row>
    <row r="365" spans="2:6" ht="30">
      <c r="B365" s="126">
        <v>449</v>
      </c>
      <c r="D365" s="128" t="s">
        <v>180</v>
      </c>
      <c r="E365" s="128" t="s">
        <v>1022</v>
      </c>
      <c r="F365" s="128" t="s">
        <v>1022</v>
      </c>
    </row>
    <row r="366" spans="2:6" ht="15">
      <c r="B366" s="126">
        <v>450</v>
      </c>
      <c r="D366" s="128" t="s">
        <v>181</v>
      </c>
      <c r="E366" s="128" t="s">
        <v>1023</v>
      </c>
      <c r="F366" s="128" t="s">
        <v>1023</v>
      </c>
    </row>
    <row r="367" spans="2:6" ht="15">
      <c r="B367" s="126">
        <v>451</v>
      </c>
      <c r="D367" s="128" t="s">
        <v>559</v>
      </c>
      <c r="E367" s="128" t="s">
        <v>1024</v>
      </c>
      <c r="F367" s="128" t="s">
        <v>1024</v>
      </c>
    </row>
    <row r="368" spans="2:6" ht="30">
      <c r="B368" s="126">
        <v>452</v>
      </c>
      <c r="D368" s="128" t="s">
        <v>182</v>
      </c>
      <c r="E368" s="128" t="s">
        <v>1025</v>
      </c>
      <c r="F368" s="128" t="s">
        <v>1025</v>
      </c>
    </row>
    <row r="369" spans="2:6" ht="15">
      <c r="B369" s="126">
        <v>453</v>
      </c>
      <c r="D369" s="129" t="s">
        <v>429</v>
      </c>
      <c r="E369" s="128" t="s">
        <v>834</v>
      </c>
      <c r="F369" s="128" t="s">
        <v>834</v>
      </c>
    </row>
    <row r="370" spans="2:6" ht="15">
      <c r="B370" s="126">
        <v>454</v>
      </c>
      <c r="D370" s="128" t="s">
        <v>378</v>
      </c>
      <c r="E370" s="128" t="s">
        <v>1026</v>
      </c>
      <c r="F370" s="128" t="s">
        <v>1026</v>
      </c>
    </row>
    <row r="371" spans="2:6" ht="15">
      <c r="B371" s="126">
        <v>455</v>
      </c>
      <c r="D371" s="128" t="s">
        <v>183</v>
      </c>
      <c r="E371" s="128" t="s">
        <v>1027</v>
      </c>
      <c r="F371" s="128" t="s">
        <v>1027</v>
      </c>
    </row>
    <row r="372" spans="2:6" ht="15">
      <c r="B372" s="126">
        <v>456</v>
      </c>
      <c r="D372" s="128" t="s">
        <v>379</v>
      </c>
      <c r="E372" s="128" t="s">
        <v>1028</v>
      </c>
      <c r="F372" s="128" t="s">
        <v>1028</v>
      </c>
    </row>
    <row r="373" spans="2:6" ht="15">
      <c r="B373" s="126">
        <v>457</v>
      </c>
      <c r="D373" s="128" t="s">
        <v>184</v>
      </c>
      <c r="E373" s="128" t="s">
        <v>1029</v>
      </c>
      <c r="F373" s="128" t="s">
        <v>1029</v>
      </c>
    </row>
    <row r="374" spans="2:6" ht="15">
      <c r="B374" s="126">
        <v>458</v>
      </c>
      <c r="D374" s="128" t="s">
        <v>185</v>
      </c>
      <c r="E374" s="128" t="s">
        <v>1030</v>
      </c>
      <c r="F374" s="128" t="s">
        <v>1030</v>
      </c>
    </row>
    <row r="375" spans="2:6" ht="15">
      <c r="B375" s="126">
        <v>459</v>
      </c>
      <c r="C375" s="127" t="s">
        <v>500</v>
      </c>
      <c r="D375" s="128" t="s">
        <v>520</v>
      </c>
      <c r="E375" s="128" t="s">
        <v>1031</v>
      </c>
      <c r="F375" s="128" t="s">
        <v>1031</v>
      </c>
    </row>
    <row r="376" spans="2:6" ht="15">
      <c r="B376" s="126">
        <v>460</v>
      </c>
      <c r="D376" s="128" t="s">
        <v>186</v>
      </c>
      <c r="E376" s="128" t="s">
        <v>1031</v>
      </c>
      <c r="F376" s="128" t="s">
        <v>1031</v>
      </c>
    </row>
    <row r="377" spans="2:6" ht="15">
      <c r="B377" s="126">
        <v>461</v>
      </c>
      <c r="D377" s="128" t="s">
        <v>187</v>
      </c>
      <c r="E377" s="128" t="s">
        <v>1032</v>
      </c>
      <c r="F377" s="128" t="s">
        <v>1032</v>
      </c>
    </row>
    <row r="378" spans="2:6" ht="15">
      <c r="B378" s="126">
        <v>462</v>
      </c>
      <c r="D378" s="128" t="s">
        <v>577</v>
      </c>
      <c r="E378" s="128" t="s">
        <v>1033</v>
      </c>
      <c r="F378" s="128" t="s">
        <v>1033</v>
      </c>
    </row>
    <row r="379" spans="2:6" ht="15">
      <c r="B379" s="126">
        <v>463</v>
      </c>
      <c r="D379" s="128" t="s">
        <v>188</v>
      </c>
      <c r="E379" s="128" t="s">
        <v>1034</v>
      </c>
      <c r="F379" s="128" t="s">
        <v>1034</v>
      </c>
    </row>
    <row r="380" spans="2:6" ht="13">
      <c r="B380" s="126">
        <v>464</v>
      </c>
      <c r="D380" s="128" t="s">
        <v>189</v>
      </c>
      <c r="F380" s="128"/>
    </row>
    <row r="381" spans="2:6" ht="15">
      <c r="B381" s="126">
        <v>465</v>
      </c>
      <c r="D381" s="128" t="s">
        <v>380</v>
      </c>
      <c r="E381" s="128" t="s">
        <v>1035</v>
      </c>
      <c r="F381" s="128" t="s">
        <v>1035</v>
      </c>
    </row>
    <row r="382" spans="2:6" ht="26">
      <c r="B382" s="126">
        <v>466</v>
      </c>
      <c r="D382" s="128" t="s">
        <v>567</v>
      </c>
      <c r="E382" s="128" t="s">
        <v>1036</v>
      </c>
      <c r="F382" s="128" t="s">
        <v>1036</v>
      </c>
    </row>
    <row r="383" spans="2:6" ht="26">
      <c r="B383" s="126">
        <v>467</v>
      </c>
      <c r="D383" s="128" t="s">
        <v>190</v>
      </c>
      <c r="E383" s="128" t="s">
        <v>1037</v>
      </c>
      <c r="F383" s="128" t="s">
        <v>1037</v>
      </c>
    </row>
    <row r="384" spans="2:6" ht="15">
      <c r="B384" s="126">
        <v>468</v>
      </c>
      <c r="D384" s="128" t="s">
        <v>191</v>
      </c>
      <c r="E384" s="128" t="s">
        <v>1038</v>
      </c>
      <c r="F384" s="128" t="s">
        <v>1038</v>
      </c>
    </row>
    <row r="385" spans="2:6" ht="15">
      <c r="B385" s="126">
        <v>469</v>
      </c>
      <c r="D385" s="128" t="s">
        <v>192</v>
      </c>
      <c r="E385" s="128" t="s">
        <v>1039</v>
      </c>
      <c r="F385" s="128" t="s">
        <v>1039</v>
      </c>
    </row>
    <row r="386" spans="2:6" ht="15">
      <c r="B386" s="126">
        <v>470</v>
      </c>
      <c r="C386" s="127" t="s">
        <v>500</v>
      </c>
      <c r="D386" s="128" t="s">
        <v>513</v>
      </c>
      <c r="E386" s="128" t="s">
        <v>1040</v>
      </c>
      <c r="F386" s="128" t="s">
        <v>1040</v>
      </c>
    </row>
    <row r="387" spans="2:6" ht="15">
      <c r="B387" s="126">
        <v>471</v>
      </c>
      <c r="C387" s="127" t="s">
        <v>500</v>
      </c>
      <c r="D387" s="128" t="s">
        <v>517</v>
      </c>
      <c r="E387" s="128" t="s">
        <v>1041</v>
      </c>
      <c r="F387" s="128" t="s">
        <v>1041</v>
      </c>
    </row>
    <row r="388" spans="2:6" ht="15">
      <c r="B388" s="126">
        <v>472</v>
      </c>
      <c r="D388" s="128" t="s">
        <v>193</v>
      </c>
      <c r="E388" s="128" t="s">
        <v>1042</v>
      </c>
      <c r="F388" s="128" t="s">
        <v>1042</v>
      </c>
    </row>
    <row r="389" spans="2:6" ht="15">
      <c r="B389" s="126">
        <v>473</v>
      </c>
      <c r="C389" s="127" t="s">
        <v>500</v>
      </c>
      <c r="D389" s="128" t="s">
        <v>509</v>
      </c>
      <c r="E389" s="128" t="s">
        <v>1043</v>
      </c>
      <c r="F389" s="128" t="s">
        <v>1043</v>
      </c>
    </row>
    <row r="390" spans="2:6" ht="26">
      <c r="B390" s="126">
        <v>474</v>
      </c>
      <c r="C390" s="127" t="s">
        <v>500</v>
      </c>
      <c r="D390" s="128" t="s">
        <v>511</v>
      </c>
      <c r="E390" s="128" t="s">
        <v>1310</v>
      </c>
      <c r="F390" s="128" t="s">
        <v>1310</v>
      </c>
    </row>
    <row r="391" spans="2:6" ht="13">
      <c r="B391" s="126">
        <v>475</v>
      </c>
      <c r="C391" s="127" t="s">
        <v>500</v>
      </c>
      <c r="D391" s="128" t="s">
        <v>512</v>
      </c>
      <c r="E391" s="128" t="s">
        <v>1311</v>
      </c>
      <c r="F391" s="128" t="s">
        <v>1311</v>
      </c>
    </row>
    <row r="392" spans="2:6" ht="15">
      <c r="B392" s="126">
        <v>476</v>
      </c>
      <c r="D392" s="128" t="s">
        <v>194</v>
      </c>
      <c r="E392" s="128" t="s">
        <v>1044</v>
      </c>
      <c r="F392" s="128" t="s">
        <v>1044</v>
      </c>
    </row>
    <row r="393" spans="2:6" ht="15">
      <c r="B393" s="126">
        <v>477</v>
      </c>
      <c r="D393" s="128" t="s">
        <v>195</v>
      </c>
      <c r="E393" s="128" t="s">
        <v>1045</v>
      </c>
      <c r="F393" s="128" t="s">
        <v>1045</v>
      </c>
    </row>
    <row r="394" spans="2:6" ht="45">
      <c r="B394" s="126">
        <v>478</v>
      </c>
      <c r="C394" s="127" t="s">
        <v>500</v>
      </c>
      <c r="D394" s="128" t="s">
        <v>530</v>
      </c>
      <c r="E394" s="128" t="s">
        <v>1046</v>
      </c>
      <c r="F394" s="128" t="s">
        <v>1046</v>
      </c>
    </row>
    <row r="395" spans="2:6" ht="15">
      <c r="B395" s="126">
        <v>479</v>
      </c>
      <c r="D395" s="128" t="s">
        <v>196</v>
      </c>
      <c r="E395" s="128" t="s">
        <v>1047</v>
      </c>
      <c r="F395" s="128" t="s">
        <v>1047</v>
      </c>
    </row>
    <row r="396" spans="2:6" ht="15">
      <c r="B396" s="126">
        <v>480</v>
      </c>
      <c r="D396" s="128" t="s">
        <v>1240</v>
      </c>
      <c r="E396" s="128" t="s">
        <v>1048</v>
      </c>
      <c r="F396" s="128" t="s">
        <v>1048</v>
      </c>
    </row>
    <row r="397" spans="2:6" ht="15">
      <c r="B397" s="126">
        <v>481</v>
      </c>
      <c r="D397" s="128" t="s">
        <v>197</v>
      </c>
      <c r="E397" s="128" t="s">
        <v>1049</v>
      </c>
      <c r="F397" s="128" t="s">
        <v>1049</v>
      </c>
    </row>
    <row r="398" spans="2:6" ht="15">
      <c r="B398" s="126">
        <v>482</v>
      </c>
      <c r="D398" s="128" t="s">
        <v>198</v>
      </c>
      <c r="E398" s="128" t="s">
        <v>1050</v>
      </c>
      <c r="F398" s="128" t="s">
        <v>1050</v>
      </c>
    </row>
    <row r="399" spans="2:6" ht="15">
      <c r="B399" s="126">
        <v>483</v>
      </c>
      <c r="D399" s="128" t="s">
        <v>199</v>
      </c>
      <c r="E399" s="128" t="s">
        <v>1051</v>
      </c>
      <c r="F399" s="128" t="s">
        <v>1051</v>
      </c>
    </row>
    <row r="400" spans="2:6" ht="15">
      <c r="B400" s="126">
        <v>484</v>
      </c>
      <c r="D400" s="128" t="s">
        <v>200</v>
      </c>
      <c r="E400" s="128" t="s">
        <v>1052</v>
      </c>
      <c r="F400" s="128" t="s">
        <v>1052</v>
      </c>
    </row>
    <row r="401" spans="2:6" ht="30">
      <c r="B401" s="126">
        <v>485</v>
      </c>
      <c r="D401" s="128" t="s">
        <v>201</v>
      </c>
      <c r="E401" s="128" t="s">
        <v>1053</v>
      </c>
      <c r="F401" s="128" t="s">
        <v>1053</v>
      </c>
    </row>
    <row r="402" spans="2:6" ht="15">
      <c r="B402" s="126">
        <v>486</v>
      </c>
      <c r="D402" s="128" t="s">
        <v>580</v>
      </c>
      <c r="E402" s="128" t="s">
        <v>1054</v>
      </c>
      <c r="F402" s="128" t="s">
        <v>1054</v>
      </c>
    </row>
    <row r="403" spans="2:6" ht="15">
      <c r="B403" s="126">
        <v>487</v>
      </c>
      <c r="D403" s="128" t="s">
        <v>578</v>
      </c>
      <c r="E403" s="128" t="s">
        <v>1055</v>
      </c>
      <c r="F403" s="128" t="s">
        <v>1055</v>
      </c>
    </row>
    <row r="404" spans="2:6" ht="15">
      <c r="B404" s="126">
        <v>488</v>
      </c>
      <c r="D404" s="128" t="s">
        <v>579</v>
      </c>
      <c r="E404" s="128" t="s">
        <v>1056</v>
      </c>
      <c r="F404" s="128" t="s">
        <v>1056</v>
      </c>
    </row>
    <row r="405" spans="2:6" ht="15">
      <c r="B405" s="126">
        <v>489</v>
      </c>
      <c r="D405" s="128" t="s">
        <v>202</v>
      </c>
      <c r="E405" s="128" t="s">
        <v>1057</v>
      </c>
      <c r="F405" s="128" t="s">
        <v>1057</v>
      </c>
    </row>
    <row r="406" spans="2:6" ht="15">
      <c r="B406" s="126">
        <v>490</v>
      </c>
      <c r="C406" s="127" t="s">
        <v>451</v>
      </c>
      <c r="D406" s="128" t="s">
        <v>455</v>
      </c>
      <c r="E406" s="128" t="s">
        <v>1058</v>
      </c>
      <c r="F406" s="128" t="s">
        <v>1058</v>
      </c>
    </row>
    <row r="407" spans="2:6" ht="15">
      <c r="B407" s="126">
        <v>491</v>
      </c>
      <c r="D407" s="128" t="s">
        <v>203</v>
      </c>
      <c r="E407" s="128" t="s">
        <v>1059</v>
      </c>
      <c r="F407" s="128" t="s">
        <v>1059</v>
      </c>
    </row>
    <row r="408" spans="2:6" ht="15">
      <c r="B408" s="126">
        <v>492</v>
      </c>
      <c r="C408" s="127" t="s">
        <v>469</v>
      </c>
      <c r="D408" s="128" t="s">
        <v>467</v>
      </c>
      <c r="E408" s="128" t="s">
        <v>1060</v>
      </c>
      <c r="F408" s="128" t="s">
        <v>1060</v>
      </c>
    </row>
    <row r="409" spans="2:6" ht="15">
      <c r="B409" s="126">
        <v>493</v>
      </c>
      <c r="C409" s="127" t="s">
        <v>469</v>
      </c>
      <c r="D409" s="128" t="s">
        <v>466</v>
      </c>
      <c r="E409" s="128" t="s">
        <v>1061</v>
      </c>
      <c r="F409" s="128" t="s">
        <v>1061</v>
      </c>
    </row>
    <row r="410" spans="2:6" ht="15">
      <c r="B410" s="126">
        <v>494</v>
      </c>
      <c r="D410" s="128" t="s">
        <v>204</v>
      </c>
      <c r="E410" s="128" t="s">
        <v>1062</v>
      </c>
      <c r="F410" s="128" t="s">
        <v>1062</v>
      </c>
    </row>
    <row r="411" spans="2:6" ht="15">
      <c r="B411" s="126">
        <v>495</v>
      </c>
      <c r="D411" s="128" t="s">
        <v>205</v>
      </c>
      <c r="E411" s="128" t="s">
        <v>1063</v>
      </c>
      <c r="F411" s="128" t="s">
        <v>1063</v>
      </c>
    </row>
    <row r="412" spans="2:6" ht="15">
      <c r="B412" s="126">
        <v>496</v>
      </c>
      <c r="C412" s="127" t="s">
        <v>500</v>
      </c>
      <c r="D412" s="128" t="s">
        <v>606</v>
      </c>
      <c r="E412" s="128" t="s">
        <v>1064</v>
      </c>
      <c r="F412" s="128" t="s">
        <v>1064</v>
      </c>
    </row>
    <row r="413" spans="2:6" ht="15">
      <c r="B413" s="126">
        <v>497</v>
      </c>
      <c r="D413" s="128" t="s">
        <v>206</v>
      </c>
      <c r="E413" s="128" t="s">
        <v>1065</v>
      </c>
      <c r="F413" s="128" t="s">
        <v>1065</v>
      </c>
    </row>
    <row r="414" spans="2:6" ht="45">
      <c r="B414" s="126">
        <v>498</v>
      </c>
      <c r="D414" s="128" t="s">
        <v>207</v>
      </c>
      <c r="E414" s="128" t="s">
        <v>1066</v>
      </c>
      <c r="F414" s="128" t="s">
        <v>1066</v>
      </c>
    </row>
    <row r="415" spans="2:6" ht="15">
      <c r="B415" s="126">
        <v>499</v>
      </c>
      <c r="D415" s="128" t="s">
        <v>208</v>
      </c>
      <c r="E415" s="128" t="s">
        <v>1067</v>
      </c>
      <c r="F415" s="128" t="s">
        <v>1067</v>
      </c>
    </row>
    <row r="416" spans="2:6" ht="26">
      <c r="B416" s="126">
        <v>500</v>
      </c>
      <c r="D416" s="128" t="s">
        <v>209</v>
      </c>
      <c r="E416" s="128" t="s">
        <v>1312</v>
      </c>
      <c r="F416" s="128" t="s">
        <v>1312</v>
      </c>
    </row>
    <row r="417" spans="2:6" ht="13">
      <c r="B417" s="126">
        <v>501</v>
      </c>
      <c r="D417" s="128" t="s">
        <v>210</v>
      </c>
      <c r="E417" s="128" t="s">
        <v>1313</v>
      </c>
      <c r="F417" s="128" t="s">
        <v>1313</v>
      </c>
    </row>
    <row r="418" spans="2:6" ht="26">
      <c r="B418" s="126">
        <v>502</v>
      </c>
      <c r="D418" s="128" t="s">
        <v>211</v>
      </c>
      <c r="E418" s="128" t="s">
        <v>1068</v>
      </c>
      <c r="F418" s="128" t="s">
        <v>1068</v>
      </c>
    </row>
    <row r="419" spans="2:6" ht="26">
      <c r="B419" s="126">
        <v>503</v>
      </c>
      <c r="D419" s="128" t="s">
        <v>212</v>
      </c>
      <c r="E419" s="128" t="s">
        <v>1069</v>
      </c>
      <c r="F419" s="128" t="s">
        <v>1069</v>
      </c>
    </row>
    <row r="420" spans="2:6" ht="26">
      <c r="B420" s="126">
        <v>504</v>
      </c>
      <c r="D420" s="128" t="s">
        <v>213</v>
      </c>
      <c r="E420" s="128" t="s">
        <v>1070</v>
      </c>
      <c r="F420" s="128" t="s">
        <v>1070</v>
      </c>
    </row>
    <row r="421" spans="2:6" ht="26">
      <c r="B421" s="126">
        <v>505</v>
      </c>
      <c r="D421" s="128" t="s">
        <v>214</v>
      </c>
      <c r="E421" s="128" t="s">
        <v>1071</v>
      </c>
      <c r="F421" s="128" t="s">
        <v>1071</v>
      </c>
    </row>
    <row r="422" spans="2:6" ht="26">
      <c r="B422" s="126">
        <v>506</v>
      </c>
      <c r="D422" s="128" t="s">
        <v>215</v>
      </c>
      <c r="E422" s="128" t="s">
        <v>1072</v>
      </c>
      <c r="F422" s="128" t="s">
        <v>1072</v>
      </c>
    </row>
    <row r="423" spans="2:6" ht="26">
      <c r="B423" s="126">
        <v>507</v>
      </c>
      <c r="D423" s="128" t="s">
        <v>216</v>
      </c>
      <c r="E423" s="128" t="s">
        <v>1073</v>
      </c>
      <c r="F423" s="128" t="s">
        <v>1073</v>
      </c>
    </row>
    <row r="424" spans="2:6" ht="26">
      <c r="B424" s="126">
        <v>508</v>
      </c>
      <c r="D424" s="128" t="s">
        <v>217</v>
      </c>
      <c r="E424" s="128" t="s">
        <v>1074</v>
      </c>
      <c r="F424" s="128" t="s">
        <v>1074</v>
      </c>
    </row>
    <row r="425" spans="2:6" ht="26">
      <c r="B425" s="126">
        <v>509</v>
      </c>
      <c r="D425" s="128" t="s">
        <v>218</v>
      </c>
      <c r="E425" s="128" t="s">
        <v>1075</v>
      </c>
      <c r="F425" s="128" t="s">
        <v>1075</v>
      </c>
    </row>
    <row r="426" spans="2:6" ht="26">
      <c r="B426" s="126">
        <v>510</v>
      </c>
      <c r="D426" s="128" t="s">
        <v>219</v>
      </c>
      <c r="E426" s="128" t="s">
        <v>1314</v>
      </c>
      <c r="F426" s="128" t="s">
        <v>1314</v>
      </c>
    </row>
    <row r="427" spans="2:6" ht="26">
      <c r="B427" s="126">
        <v>511</v>
      </c>
      <c r="D427" s="128" t="s">
        <v>220</v>
      </c>
      <c r="E427" s="128" t="s">
        <v>1076</v>
      </c>
      <c r="F427" s="128" t="s">
        <v>1076</v>
      </c>
    </row>
    <row r="428" spans="2:6" ht="26">
      <c r="B428" s="126">
        <v>512</v>
      </c>
      <c r="D428" s="128" t="s">
        <v>221</v>
      </c>
      <c r="E428" s="128" t="s">
        <v>1077</v>
      </c>
      <c r="F428" s="128" t="s">
        <v>1077</v>
      </c>
    </row>
    <row r="429" spans="2:6" ht="26">
      <c r="B429" s="126">
        <v>513</v>
      </c>
      <c r="D429" s="128" t="s">
        <v>222</v>
      </c>
      <c r="E429" s="128" t="s">
        <v>1078</v>
      </c>
      <c r="F429" s="128" t="s">
        <v>1078</v>
      </c>
    </row>
    <row r="430" spans="2:6" ht="26">
      <c r="B430" s="126">
        <v>514</v>
      </c>
      <c r="D430" s="128" t="s">
        <v>223</v>
      </c>
      <c r="E430" s="128" t="s">
        <v>1079</v>
      </c>
      <c r="F430" s="128" t="s">
        <v>1079</v>
      </c>
    </row>
    <row r="431" spans="2:6" ht="26">
      <c r="B431" s="126">
        <v>515</v>
      </c>
      <c r="D431" s="128" t="s">
        <v>224</v>
      </c>
      <c r="E431" s="128" t="s">
        <v>1080</v>
      </c>
      <c r="F431" s="128" t="s">
        <v>1080</v>
      </c>
    </row>
    <row r="432" spans="2:6" ht="26">
      <c r="B432" s="126">
        <v>516</v>
      </c>
      <c r="D432" s="128" t="s">
        <v>225</v>
      </c>
      <c r="E432" s="128" t="s">
        <v>1081</v>
      </c>
      <c r="F432" s="128" t="s">
        <v>1081</v>
      </c>
    </row>
    <row r="433" spans="1:27" ht="26">
      <c r="B433" s="126">
        <v>517</v>
      </c>
      <c r="D433" s="128" t="s">
        <v>226</v>
      </c>
      <c r="E433" s="128" t="s">
        <v>1082</v>
      </c>
      <c r="F433" s="128" t="s">
        <v>1082</v>
      </c>
    </row>
    <row r="434" spans="1:27" ht="26">
      <c r="B434" s="126">
        <v>518</v>
      </c>
      <c r="D434" s="128" t="s">
        <v>227</v>
      </c>
      <c r="E434" s="128" t="s">
        <v>1083</v>
      </c>
      <c r="F434" s="128" t="s">
        <v>1083</v>
      </c>
    </row>
    <row r="435" spans="1:27" ht="26">
      <c r="B435" s="126">
        <v>519</v>
      </c>
      <c r="D435" s="128" t="s">
        <v>228</v>
      </c>
      <c r="E435" s="128" t="s">
        <v>1084</v>
      </c>
      <c r="F435" s="128" t="s">
        <v>1084</v>
      </c>
    </row>
    <row r="436" spans="1:27" ht="26">
      <c r="B436" s="126">
        <v>520</v>
      </c>
      <c r="D436" s="128" t="s">
        <v>1270</v>
      </c>
      <c r="E436" s="128" t="s">
        <v>1263</v>
      </c>
      <c r="F436" s="128" t="s">
        <v>1263</v>
      </c>
    </row>
    <row r="437" spans="1:27" ht="26">
      <c r="B437" s="126">
        <v>521</v>
      </c>
      <c r="D437" s="128" t="s">
        <v>381</v>
      </c>
      <c r="E437" s="128" t="s">
        <v>1085</v>
      </c>
      <c r="F437" s="128" t="s">
        <v>1085</v>
      </c>
    </row>
    <row r="438" spans="1:27" ht="26">
      <c r="B438" s="126">
        <v>522</v>
      </c>
      <c r="D438" s="128" t="s">
        <v>382</v>
      </c>
      <c r="E438" s="128" t="s">
        <v>1085</v>
      </c>
      <c r="F438" s="128" t="s">
        <v>1085</v>
      </c>
    </row>
    <row r="439" spans="1:27" ht="30">
      <c r="B439" s="126">
        <v>523</v>
      </c>
      <c r="D439" s="128" t="s">
        <v>229</v>
      </c>
      <c r="E439" s="128" t="s">
        <v>1086</v>
      </c>
      <c r="F439" s="128" t="s">
        <v>1086</v>
      </c>
    </row>
    <row r="440" spans="1:27" ht="26">
      <c r="B440" s="126">
        <v>524</v>
      </c>
      <c r="D440" s="128" t="s">
        <v>230</v>
      </c>
      <c r="E440" s="128" t="s">
        <v>1087</v>
      </c>
      <c r="F440" s="128" t="s">
        <v>1087</v>
      </c>
    </row>
    <row r="441" spans="1:27" ht="30">
      <c r="B441" s="126">
        <v>525</v>
      </c>
      <c r="D441" s="128" t="s">
        <v>231</v>
      </c>
      <c r="E441" s="128" t="s">
        <v>1088</v>
      </c>
      <c r="F441" s="128" t="s">
        <v>1088</v>
      </c>
    </row>
    <row r="442" spans="1:27" ht="26">
      <c r="B442" s="126">
        <v>526</v>
      </c>
      <c r="D442" s="128" t="s">
        <v>232</v>
      </c>
      <c r="E442" s="128" t="s">
        <v>1089</v>
      </c>
      <c r="F442" s="128" t="s">
        <v>1089</v>
      </c>
    </row>
    <row r="443" spans="1:27" ht="26">
      <c r="B443" s="126">
        <v>527</v>
      </c>
      <c r="D443" s="128" t="s">
        <v>383</v>
      </c>
      <c r="E443" s="128" t="s">
        <v>1090</v>
      </c>
      <c r="F443" s="128" t="s">
        <v>1090</v>
      </c>
    </row>
    <row r="444" spans="1:27" s="129" customFormat="1" ht="26">
      <c r="A444" s="125"/>
      <c r="B444" s="126">
        <v>528</v>
      </c>
      <c r="C444" s="127"/>
      <c r="D444" s="128" t="s">
        <v>384</v>
      </c>
      <c r="E444" s="128" t="s">
        <v>1091</v>
      </c>
      <c r="F444" s="128" t="s">
        <v>1091</v>
      </c>
      <c r="G444" s="125"/>
      <c r="H444" s="125"/>
      <c r="I444" s="125"/>
      <c r="J444" s="125"/>
      <c r="K444" s="125"/>
      <c r="L444" s="125"/>
      <c r="M444" s="125"/>
      <c r="N444" s="125"/>
      <c r="O444" s="125"/>
      <c r="P444" s="125"/>
      <c r="Q444" s="125"/>
      <c r="R444" s="125"/>
      <c r="S444" s="125"/>
      <c r="T444" s="125"/>
      <c r="U444" s="125"/>
      <c r="V444" s="125"/>
      <c r="W444" s="125"/>
      <c r="X444" s="125"/>
      <c r="Y444" s="125"/>
      <c r="Z444" s="125"/>
      <c r="AA444" s="125"/>
    </row>
    <row r="445" spans="1:27" s="129" customFormat="1" ht="15">
      <c r="A445" s="125"/>
      <c r="B445" s="126">
        <v>529</v>
      </c>
      <c r="C445" s="127"/>
      <c r="D445" s="128" t="s">
        <v>233</v>
      </c>
      <c r="E445" s="128" t="s">
        <v>1092</v>
      </c>
      <c r="F445" s="128" t="s">
        <v>1092</v>
      </c>
      <c r="G445" s="125"/>
      <c r="H445" s="125"/>
      <c r="I445" s="125"/>
      <c r="J445" s="125"/>
      <c r="K445" s="125"/>
      <c r="L445" s="125"/>
      <c r="M445" s="125"/>
      <c r="N445" s="125"/>
      <c r="O445" s="125"/>
      <c r="P445" s="125"/>
      <c r="Q445" s="125"/>
      <c r="R445" s="125"/>
      <c r="S445" s="125"/>
      <c r="T445" s="125"/>
      <c r="U445" s="125"/>
      <c r="V445" s="125"/>
      <c r="W445" s="125"/>
      <c r="X445" s="125"/>
      <c r="Y445" s="125"/>
      <c r="Z445" s="125"/>
      <c r="AA445" s="125"/>
    </row>
    <row r="446" spans="1:27" s="130" customFormat="1" ht="30">
      <c r="A446" s="125"/>
      <c r="B446" s="126">
        <v>530</v>
      </c>
      <c r="C446" s="127"/>
      <c r="D446" s="128" t="s">
        <v>234</v>
      </c>
      <c r="E446" s="128" t="s">
        <v>1093</v>
      </c>
      <c r="F446" s="128" t="s">
        <v>1093</v>
      </c>
      <c r="G446" s="125"/>
      <c r="H446" s="125"/>
      <c r="I446" s="125"/>
      <c r="J446" s="125"/>
      <c r="K446" s="125"/>
      <c r="L446" s="125"/>
      <c r="M446" s="125"/>
      <c r="N446" s="125"/>
      <c r="O446" s="125"/>
      <c r="P446" s="125"/>
      <c r="Q446" s="125"/>
      <c r="R446" s="125"/>
      <c r="S446" s="125"/>
      <c r="T446" s="125"/>
      <c r="U446" s="125"/>
      <c r="V446" s="125"/>
      <c r="W446" s="125"/>
      <c r="X446" s="125"/>
      <c r="Y446" s="125"/>
      <c r="Z446" s="125"/>
      <c r="AA446" s="125"/>
    </row>
    <row r="447" spans="1:27" s="130" customFormat="1" ht="15">
      <c r="A447" s="125"/>
      <c r="B447" s="126">
        <v>531</v>
      </c>
      <c r="C447" s="127"/>
      <c r="D447" s="128" t="s">
        <v>235</v>
      </c>
      <c r="E447" s="128" t="s">
        <v>1094</v>
      </c>
      <c r="F447" s="128" t="s">
        <v>1094</v>
      </c>
      <c r="G447" s="125"/>
      <c r="H447" s="125"/>
      <c r="I447" s="125"/>
      <c r="J447" s="125"/>
      <c r="K447" s="125"/>
      <c r="L447" s="125"/>
      <c r="M447" s="125"/>
      <c r="N447" s="125"/>
      <c r="O447" s="125"/>
      <c r="P447" s="125"/>
      <c r="Q447" s="125"/>
      <c r="R447" s="125"/>
      <c r="S447" s="125"/>
      <c r="T447" s="125"/>
      <c r="U447" s="125"/>
      <c r="V447" s="125"/>
      <c r="W447" s="125"/>
      <c r="X447" s="125"/>
      <c r="Y447" s="125"/>
      <c r="Z447" s="125"/>
      <c r="AA447" s="125"/>
    </row>
    <row r="448" spans="1:27" s="130" customFormat="1" ht="45">
      <c r="A448" s="125"/>
      <c r="B448" s="126">
        <v>532</v>
      </c>
      <c r="C448" s="127"/>
      <c r="D448" s="128" t="s">
        <v>236</v>
      </c>
      <c r="E448" s="128" t="s">
        <v>1095</v>
      </c>
      <c r="F448" s="128" t="s">
        <v>1095</v>
      </c>
      <c r="G448" s="125"/>
      <c r="H448" s="125"/>
      <c r="I448" s="125"/>
      <c r="J448" s="125"/>
      <c r="K448" s="125"/>
      <c r="L448" s="125"/>
      <c r="M448" s="125"/>
      <c r="N448" s="125"/>
      <c r="O448" s="125"/>
      <c r="P448" s="125"/>
      <c r="Q448" s="125"/>
      <c r="R448" s="125"/>
      <c r="S448" s="125"/>
      <c r="T448" s="125"/>
      <c r="U448" s="125"/>
      <c r="V448" s="125"/>
      <c r="W448" s="125"/>
      <c r="X448" s="125"/>
      <c r="Y448" s="125"/>
      <c r="Z448" s="125"/>
      <c r="AA448" s="125"/>
    </row>
    <row r="449" spans="1:27" s="130" customFormat="1" ht="15">
      <c r="A449" s="125"/>
      <c r="B449" s="126">
        <v>533</v>
      </c>
      <c r="C449" s="127"/>
      <c r="D449" s="128" t="s">
        <v>237</v>
      </c>
      <c r="E449" s="128" t="s">
        <v>1096</v>
      </c>
      <c r="F449" s="128" t="s">
        <v>1096</v>
      </c>
      <c r="G449" s="125"/>
      <c r="H449" s="125"/>
      <c r="I449" s="125"/>
      <c r="J449" s="125"/>
      <c r="K449" s="125"/>
      <c r="L449" s="125"/>
      <c r="M449" s="125"/>
      <c r="N449" s="125"/>
      <c r="O449" s="125"/>
      <c r="P449" s="125"/>
      <c r="Q449" s="125"/>
      <c r="R449" s="125"/>
      <c r="S449" s="125"/>
      <c r="T449" s="125"/>
      <c r="U449" s="125"/>
      <c r="V449" s="125"/>
      <c r="W449" s="125"/>
      <c r="X449" s="125"/>
      <c r="Y449" s="125"/>
      <c r="Z449" s="125"/>
      <c r="AA449" s="125"/>
    </row>
    <row r="450" spans="1:27" s="130" customFormat="1" ht="26">
      <c r="A450" s="125"/>
      <c r="B450" s="126">
        <v>534</v>
      </c>
      <c r="C450" s="127"/>
      <c r="D450" s="128" t="s">
        <v>238</v>
      </c>
      <c r="E450" s="128" t="s">
        <v>1097</v>
      </c>
      <c r="F450" s="128" t="s">
        <v>1097</v>
      </c>
      <c r="G450" s="125"/>
      <c r="H450" s="125"/>
      <c r="I450" s="125"/>
      <c r="J450" s="125"/>
      <c r="K450" s="125"/>
      <c r="L450" s="125"/>
      <c r="M450" s="125"/>
      <c r="N450" s="125"/>
      <c r="O450" s="125"/>
      <c r="P450" s="125"/>
      <c r="Q450" s="125"/>
      <c r="R450" s="125"/>
      <c r="S450" s="125"/>
      <c r="T450" s="125"/>
      <c r="U450" s="125"/>
      <c r="V450" s="125"/>
      <c r="W450" s="125"/>
      <c r="X450" s="125"/>
      <c r="Y450" s="125"/>
      <c r="Z450" s="125"/>
      <c r="AA450" s="125"/>
    </row>
    <row r="451" spans="1:27" s="130" customFormat="1" ht="30">
      <c r="A451" s="125"/>
      <c r="B451" s="126">
        <v>535</v>
      </c>
      <c r="C451" s="127"/>
      <c r="D451" s="128" t="s">
        <v>239</v>
      </c>
      <c r="E451" s="128" t="s">
        <v>1098</v>
      </c>
      <c r="F451" s="128" t="s">
        <v>1098</v>
      </c>
      <c r="G451" s="125"/>
      <c r="H451" s="125"/>
      <c r="I451" s="125"/>
      <c r="J451" s="125"/>
      <c r="K451" s="125"/>
      <c r="L451" s="125"/>
      <c r="M451" s="125"/>
      <c r="N451" s="125"/>
      <c r="O451" s="125"/>
      <c r="P451" s="125"/>
      <c r="Q451" s="125"/>
      <c r="R451" s="125"/>
      <c r="S451" s="125"/>
      <c r="T451" s="125"/>
      <c r="U451" s="125"/>
      <c r="V451" s="125"/>
      <c r="W451" s="125"/>
      <c r="X451" s="125"/>
      <c r="Y451" s="125"/>
      <c r="Z451" s="125"/>
      <c r="AA451" s="125"/>
    </row>
    <row r="452" spans="1:27" s="130" customFormat="1" ht="30">
      <c r="A452" s="125"/>
      <c r="B452" s="126">
        <v>536</v>
      </c>
      <c r="C452" s="127"/>
      <c r="D452" s="128" t="s">
        <v>240</v>
      </c>
      <c r="E452" s="128" t="s">
        <v>1099</v>
      </c>
      <c r="F452" s="128" t="s">
        <v>1099</v>
      </c>
      <c r="G452" s="125"/>
      <c r="H452" s="125"/>
      <c r="I452" s="125"/>
      <c r="J452" s="125"/>
      <c r="K452" s="125"/>
      <c r="L452" s="125"/>
      <c r="M452" s="125"/>
      <c r="N452" s="125"/>
      <c r="O452" s="125"/>
      <c r="P452" s="125"/>
      <c r="Q452" s="125"/>
      <c r="R452" s="125"/>
      <c r="S452" s="125"/>
      <c r="T452" s="125"/>
      <c r="U452" s="125"/>
      <c r="V452" s="125"/>
      <c r="W452" s="125"/>
      <c r="X452" s="125"/>
      <c r="Y452" s="125"/>
      <c r="Z452" s="125"/>
      <c r="AA452" s="125"/>
    </row>
    <row r="453" spans="1:27" s="130" customFormat="1" ht="15">
      <c r="A453" s="125"/>
      <c r="B453" s="126">
        <v>537</v>
      </c>
      <c r="C453" s="127"/>
      <c r="D453" s="128" t="s">
        <v>241</v>
      </c>
      <c r="E453" s="128" t="s">
        <v>1100</v>
      </c>
      <c r="F453" s="128" t="s">
        <v>1100</v>
      </c>
      <c r="G453" s="125"/>
      <c r="H453" s="125"/>
      <c r="I453" s="125"/>
      <c r="J453" s="125"/>
      <c r="K453" s="125"/>
      <c r="L453" s="125"/>
      <c r="M453" s="125"/>
      <c r="N453" s="125"/>
      <c r="O453" s="125"/>
      <c r="P453" s="125"/>
      <c r="Q453" s="125"/>
      <c r="R453" s="125"/>
      <c r="S453" s="125"/>
      <c r="T453" s="125"/>
      <c r="U453" s="125"/>
      <c r="V453" s="125"/>
      <c r="W453" s="125"/>
      <c r="X453" s="125"/>
      <c r="Y453" s="125"/>
      <c r="Z453" s="125"/>
      <c r="AA453" s="125"/>
    </row>
    <row r="454" spans="1:27" s="130" customFormat="1" ht="15">
      <c r="A454" s="125"/>
      <c r="B454" s="126">
        <v>538</v>
      </c>
      <c r="C454" s="127"/>
      <c r="D454" s="128" t="s">
        <v>242</v>
      </c>
      <c r="E454" s="128" t="s">
        <v>1101</v>
      </c>
      <c r="F454" s="128" t="s">
        <v>1101</v>
      </c>
      <c r="G454" s="125"/>
      <c r="H454" s="125"/>
      <c r="I454" s="125"/>
      <c r="J454" s="125"/>
      <c r="K454" s="125"/>
      <c r="L454" s="125"/>
      <c r="M454" s="125"/>
      <c r="N454" s="125"/>
      <c r="O454" s="125"/>
      <c r="P454" s="125"/>
      <c r="Q454" s="125"/>
      <c r="R454" s="125"/>
      <c r="S454" s="125"/>
      <c r="T454" s="125"/>
      <c r="U454" s="125"/>
      <c r="V454" s="125"/>
      <c r="W454" s="125"/>
      <c r="X454" s="125"/>
      <c r="Y454" s="125"/>
      <c r="Z454" s="125"/>
      <c r="AA454" s="125"/>
    </row>
    <row r="455" spans="1:27" s="130" customFormat="1" ht="26">
      <c r="A455" s="125"/>
      <c r="B455" s="126">
        <v>539</v>
      </c>
      <c r="C455" s="127"/>
      <c r="D455" s="128" t="s">
        <v>243</v>
      </c>
      <c r="E455" s="128" t="s">
        <v>1315</v>
      </c>
      <c r="F455" s="128" t="s">
        <v>1315</v>
      </c>
      <c r="G455" s="125"/>
      <c r="H455" s="125"/>
      <c r="I455" s="125"/>
      <c r="J455" s="125"/>
      <c r="K455" s="125"/>
      <c r="L455" s="125"/>
      <c r="M455" s="125"/>
      <c r="N455" s="125"/>
      <c r="O455" s="125"/>
      <c r="P455" s="125"/>
      <c r="Q455" s="125"/>
      <c r="R455" s="125"/>
      <c r="S455" s="125"/>
      <c r="T455" s="125"/>
      <c r="U455" s="125"/>
      <c r="V455" s="125"/>
      <c r="W455" s="125"/>
      <c r="X455" s="125"/>
      <c r="Y455" s="125"/>
      <c r="Z455" s="125"/>
      <c r="AA455" s="125"/>
    </row>
    <row r="456" spans="1:27" s="130" customFormat="1" ht="15">
      <c r="A456" s="125"/>
      <c r="B456" s="126">
        <v>540</v>
      </c>
      <c r="C456" s="127"/>
      <c r="D456" s="128" t="s">
        <v>244</v>
      </c>
      <c r="E456" s="128" t="s">
        <v>1102</v>
      </c>
      <c r="F456" s="128" t="s">
        <v>1102</v>
      </c>
      <c r="G456" s="125"/>
      <c r="H456" s="125"/>
      <c r="I456" s="125"/>
      <c r="J456" s="125"/>
      <c r="K456" s="125"/>
      <c r="L456" s="125"/>
      <c r="M456" s="125"/>
      <c r="N456" s="125"/>
      <c r="O456" s="125"/>
      <c r="P456" s="125"/>
      <c r="Q456" s="125"/>
      <c r="R456" s="125"/>
      <c r="S456" s="125"/>
      <c r="T456" s="125"/>
      <c r="U456" s="125"/>
      <c r="V456" s="125"/>
      <c r="W456" s="125"/>
      <c r="X456" s="125"/>
      <c r="Y456" s="125"/>
      <c r="Z456" s="125"/>
      <c r="AA456" s="125"/>
    </row>
    <row r="457" spans="1:27" ht="15">
      <c r="B457" s="126">
        <v>541</v>
      </c>
      <c r="D457" s="128" t="s">
        <v>245</v>
      </c>
      <c r="E457" s="128" t="s">
        <v>1103</v>
      </c>
      <c r="F457" s="128" t="s">
        <v>1103</v>
      </c>
    </row>
    <row r="458" spans="1:27" ht="15">
      <c r="B458" s="126">
        <v>542</v>
      </c>
      <c r="D458" s="128" t="s">
        <v>246</v>
      </c>
      <c r="E458" s="128" t="s">
        <v>1104</v>
      </c>
      <c r="F458" s="128" t="s">
        <v>1104</v>
      </c>
    </row>
    <row r="459" spans="1:27" ht="26">
      <c r="B459" s="126">
        <v>543</v>
      </c>
      <c r="D459" s="128" t="s">
        <v>385</v>
      </c>
      <c r="E459" s="128" t="s">
        <v>1105</v>
      </c>
      <c r="F459" s="128" t="s">
        <v>1105</v>
      </c>
    </row>
    <row r="460" spans="1:27" ht="52">
      <c r="A460" s="129"/>
      <c r="B460" s="126">
        <v>544</v>
      </c>
      <c r="C460" s="135" t="s">
        <v>417</v>
      </c>
      <c r="D460" s="129" t="s">
        <v>430</v>
      </c>
      <c r="E460" s="129" t="s">
        <v>1106</v>
      </c>
      <c r="F460" s="129" t="s">
        <v>1106</v>
      </c>
    </row>
    <row r="461" spans="1:27" ht="45">
      <c r="B461" s="126">
        <v>545</v>
      </c>
      <c r="D461" s="128" t="s">
        <v>247</v>
      </c>
      <c r="E461" s="128" t="s">
        <v>1107</v>
      </c>
      <c r="F461" s="128" t="s">
        <v>1107</v>
      </c>
    </row>
    <row r="462" spans="1:27" ht="15">
      <c r="B462" s="126">
        <v>546</v>
      </c>
      <c r="D462" s="128" t="s">
        <v>248</v>
      </c>
      <c r="E462" s="128" t="s">
        <v>1108</v>
      </c>
      <c r="F462" s="128" t="s">
        <v>1108</v>
      </c>
    </row>
    <row r="463" spans="1:27" ht="15">
      <c r="B463" s="126">
        <v>547</v>
      </c>
      <c r="D463" s="128" t="s">
        <v>249</v>
      </c>
      <c r="E463" s="128" t="s">
        <v>1109</v>
      </c>
      <c r="F463" s="128" t="s">
        <v>1109</v>
      </c>
    </row>
    <row r="464" spans="1:27" ht="15">
      <c r="B464" s="126">
        <v>548</v>
      </c>
      <c r="D464" s="128" t="s">
        <v>250</v>
      </c>
      <c r="E464" s="128" t="s">
        <v>1110</v>
      </c>
      <c r="F464" s="128" t="s">
        <v>1110</v>
      </c>
    </row>
    <row r="465" spans="2:6" ht="26">
      <c r="B465" s="126">
        <v>549</v>
      </c>
      <c r="D465" s="128" t="s">
        <v>464</v>
      </c>
      <c r="E465" s="128" t="s">
        <v>1111</v>
      </c>
      <c r="F465" s="128" t="s">
        <v>1111</v>
      </c>
    </row>
    <row r="466" spans="2:6" ht="15">
      <c r="B466" s="126">
        <v>550</v>
      </c>
      <c r="D466" s="128" t="s">
        <v>251</v>
      </c>
      <c r="E466" s="128" t="s">
        <v>1112</v>
      </c>
      <c r="F466" s="128" t="s">
        <v>1112</v>
      </c>
    </row>
    <row r="467" spans="2:6" ht="15">
      <c r="B467" s="126">
        <v>551</v>
      </c>
      <c r="D467" s="128" t="s">
        <v>252</v>
      </c>
      <c r="E467" s="128" t="s">
        <v>1113</v>
      </c>
      <c r="F467" s="128" t="s">
        <v>1113</v>
      </c>
    </row>
    <row r="468" spans="2:6" ht="15">
      <c r="B468" s="126">
        <v>552</v>
      </c>
      <c r="D468" s="128" t="s">
        <v>253</v>
      </c>
      <c r="E468" s="128" t="s">
        <v>1114</v>
      </c>
      <c r="F468" s="128" t="s">
        <v>1114</v>
      </c>
    </row>
    <row r="469" spans="2:6" ht="26">
      <c r="B469" s="126">
        <v>553</v>
      </c>
      <c r="D469" s="128" t="s">
        <v>560</v>
      </c>
      <c r="E469" s="128" t="s">
        <v>1115</v>
      </c>
      <c r="F469" s="128" t="s">
        <v>1115</v>
      </c>
    </row>
    <row r="470" spans="2:6" ht="15">
      <c r="B470" s="126">
        <v>554</v>
      </c>
      <c r="D470" s="128" t="s">
        <v>561</v>
      </c>
      <c r="E470" s="128" t="s">
        <v>1116</v>
      </c>
      <c r="F470" s="128" t="s">
        <v>1116</v>
      </c>
    </row>
    <row r="471" spans="2:6" ht="15">
      <c r="B471" s="126">
        <v>555</v>
      </c>
      <c r="D471" s="128" t="s">
        <v>254</v>
      </c>
      <c r="E471" s="128" t="s">
        <v>1117</v>
      </c>
      <c r="F471" s="128" t="s">
        <v>1117</v>
      </c>
    </row>
    <row r="472" spans="2:6" ht="15">
      <c r="B472" s="126">
        <v>556</v>
      </c>
      <c r="D472" s="128" t="s">
        <v>386</v>
      </c>
      <c r="E472" s="128" t="s">
        <v>1118</v>
      </c>
      <c r="F472" s="128" t="s">
        <v>1118</v>
      </c>
    </row>
    <row r="473" spans="2:6" ht="26">
      <c r="B473" s="126">
        <v>557</v>
      </c>
      <c r="D473" s="128" t="s">
        <v>255</v>
      </c>
      <c r="E473" s="128" t="s">
        <v>1119</v>
      </c>
      <c r="F473" s="128" t="s">
        <v>1119</v>
      </c>
    </row>
    <row r="474" spans="2:6" ht="26">
      <c r="B474" s="126">
        <v>558</v>
      </c>
      <c r="D474" s="128" t="s">
        <v>387</v>
      </c>
      <c r="E474" s="128" t="s">
        <v>1120</v>
      </c>
      <c r="F474" s="128" t="s">
        <v>1120</v>
      </c>
    </row>
    <row r="475" spans="2:6" ht="30">
      <c r="B475" s="126">
        <v>559</v>
      </c>
      <c r="D475" s="128" t="s">
        <v>256</v>
      </c>
      <c r="E475" s="128" t="s">
        <v>1121</v>
      </c>
      <c r="F475" s="128" t="s">
        <v>1121</v>
      </c>
    </row>
    <row r="476" spans="2:6" ht="15">
      <c r="B476" s="126">
        <v>560</v>
      </c>
      <c r="D476" s="128" t="s">
        <v>257</v>
      </c>
      <c r="E476" s="128" t="s">
        <v>1122</v>
      </c>
      <c r="F476" s="128" t="s">
        <v>1122</v>
      </c>
    </row>
    <row r="477" spans="2:6" ht="15">
      <c r="B477" s="126">
        <v>561</v>
      </c>
      <c r="C477" s="127" t="s">
        <v>469</v>
      </c>
      <c r="D477" s="128" t="s">
        <v>468</v>
      </c>
      <c r="E477" s="128" t="s">
        <v>1123</v>
      </c>
      <c r="F477" s="128" t="s">
        <v>1123</v>
      </c>
    </row>
    <row r="478" spans="2:6" ht="30">
      <c r="B478" s="126">
        <v>562</v>
      </c>
      <c r="C478" s="127" t="s">
        <v>469</v>
      </c>
      <c r="D478" s="128" t="s">
        <v>465</v>
      </c>
      <c r="E478" s="128" t="s">
        <v>1124</v>
      </c>
      <c r="F478" s="128" t="s">
        <v>1124</v>
      </c>
    </row>
    <row r="479" spans="2:6" ht="13">
      <c r="B479" s="126">
        <v>563</v>
      </c>
      <c r="D479" s="128" t="s">
        <v>1271</v>
      </c>
      <c r="E479" s="128" t="s">
        <v>1264</v>
      </c>
      <c r="F479" s="128" t="s">
        <v>1264</v>
      </c>
    </row>
    <row r="480" spans="2:6" ht="15">
      <c r="B480" s="126">
        <v>564</v>
      </c>
      <c r="D480" s="128" t="s">
        <v>258</v>
      </c>
      <c r="E480" s="128" t="s">
        <v>1125</v>
      </c>
      <c r="F480" s="128" t="s">
        <v>1125</v>
      </c>
    </row>
    <row r="481" spans="2:6" ht="39">
      <c r="B481" s="126">
        <v>565</v>
      </c>
      <c r="D481" s="128" t="s">
        <v>322</v>
      </c>
      <c r="E481" s="128" t="s">
        <v>1126</v>
      </c>
      <c r="F481" s="128" t="s">
        <v>1126</v>
      </c>
    </row>
    <row r="482" spans="2:6" ht="15">
      <c r="B482" s="126">
        <v>566</v>
      </c>
      <c r="D482" s="128" t="s">
        <v>259</v>
      </c>
      <c r="E482" s="128" t="s">
        <v>1127</v>
      </c>
      <c r="F482" s="128" t="s">
        <v>1127</v>
      </c>
    </row>
    <row r="483" spans="2:6" ht="15">
      <c r="B483" s="126">
        <v>567</v>
      </c>
      <c r="D483" s="128" t="s">
        <v>260</v>
      </c>
      <c r="E483" s="128" t="s">
        <v>1128</v>
      </c>
      <c r="F483" s="128" t="s">
        <v>1128</v>
      </c>
    </row>
    <row r="484" spans="2:6" ht="15">
      <c r="B484" s="126">
        <v>568</v>
      </c>
      <c r="D484" s="128" t="s">
        <v>261</v>
      </c>
      <c r="E484" s="128" t="s">
        <v>1129</v>
      </c>
      <c r="F484" s="128" t="s">
        <v>1129</v>
      </c>
    </row>
    <row r="485" spans="2:6" ht="15">
      <c r="B485" s="126">
        <v>569</v>
      </c>
      <c r="D485" s="128" t="s">
        <v>262</v>
      </c>
      <c r="E485" s="128" t="s">
        <v>1130</v>
      </c>
      <c r="F485" s="128" t="s">
        <v>1130</v>
      </c>
    </row>
    <row r="486" spans="2:6" ht="15">
      <c r="B486" s="126">
        <v>570</v>
      </c>
      <c r="D486" s="128" t="s">
        <v>263</v>
      </c>
      <c r="E486" s="128" t="s">
        <v>1131</v>
      </c>
      <c r="F486" s="128" t="s">
        <v>1131</v>
      </c>
    </row>
    <row r="487" spans="2:6" ht="39">
      <c r="B487" s="126">
        <v>571</v>
      </c>
      <c r="D487" s="128" t="s">
        <v>264</v>
      </c>
      <c r="E487" s="128" t="s">
        <v>1316</v>
      </c>
      <c r="F487" s="128" t="s">
        <v>1316</v>
      </c>
    </row>
    <row r="488" spans="2:6" ht="15">
      <c r="B488" s="126">
        <v>572</v>
      </c>
      <c r="D488" s="128" t="s">
        <v>265</v>
      </c>
      <c r="E488" s="128" t="s">
        <v>1132</v>
      </c>
      <c r="F488" s="128" t="s">
        <v>1132</v>
      </c>
    </row>
    <row r="489" spans="2:6" ht="15">
      <c r="B489" s="126">
        <v>573</v>
      </c>
      <c r="D489" s="128" t="s">
        <v>266</v>
      </c>
      <c r="E489" s="128" t="s">
        <v>1133</v>
      </c>
      <c r="F489" s="128" t="s">
        <v>1133</v>
      </c>
    </row>
    <row r="490" spans="2:6" ht="15">
      <c r="B490" s="126">
        <v>574</v>
      </c>
      <c r="D490" s="128" t="s">
        <v>267</v>
      </c>
      <c r="E490" s="128" t="s">
        <v>1134</v>
      </c>
      <c r="F490" s="128" t="s">
        <v>1134</v>
      </c>
    </row>
    <row r="491" spans="2:6" ht="30">
      <c r="B491" s="126">
        <v>575</v>
      </c>
      <c r="D491" s="128" t="s">
        <v>388</v>
      </c>
      <c r="E491" s="128" t="s">
        <v>1135</v>
      </c>
      <c r="F491" s="128" t="s">
        <v>1135</v>
      </c>
    </row>
    <row r="492" spans="2:6" ht="15">
      <c r="B492" s="126">
        <v>576</v>
      </c>
      <c r="D492" s="128" t="s">
        <v>268</v>
      </c>
      <c r="E492" s="128" t="s">
        <v>1136</v>
      </c>
      <c r="F492" s="128" t="s">
        <v>1136</v>
      </c>
    </row>
    <row r="493" spans="2:6" ht="15">
      <c r="B493" s="126">
        <v>577</v>
      </c>
      <c r="D493" s="128" t="s">
        <v>269</v>
      </c>
      <c r="E493" s="128" t="s">
        <v>1137</v>
      </c>
      <c r="F493" s="128" t="s">
        <v>1137</v>
      </c>
    </row>
    <row r="494" spans="2:6" ht="15">
      <c r="B494" s="126">
        <v>578</v>
      </c>
      <c r="D494" s="128" t="s">
        <v>565</v>
      </c>
      <c r="E494" s="128" t="s">
        <v>1138</v>
      </c>
      <c r="F494" s="128" t="s">
        <v>1138</v>
      </c>
    </row>
    <row r="495" spans="2:6" ht="15">
      <c r="B495" s="126">
        <v>579</v>
      </c>
      <c r="D495" s="128" t="s">
        <v>564</v>
      </c>
      <c r="E495" s="128" t="s">
        <v>1139</v>
      </c>
      <c r="F495" s="128" t="s">
        <v>1139</v>
      </c>
    </row>
    <row r="496" spans="2:6" ht="15">
      <c r="B496" s="126">
        <v>580</v>
      </c>
      <c r="D496" s="128" t="s">
        <v>270</v>
      </c>
      <c r="E496" s="128" t="s">
        <v>1140</v>
      </c>
      <c r="F496" s="128" t="s">
        <v>1140</v>
      </c>
    </row>
    <row r="497" spans="1:6" ht="15">
      <c r="B497" s="126">
        <v>581</v>
      </c>
      <c r="D497" s="128" t="s">
        <v>389</v>
      </c>
      <c r="E497" s="128" t="s">
        <v>1141</v>
      </c>
      <c r="F497" s="128" t="s">
        <v>1141</v>
      </c>
    </row>
    <row r="498" spans="1:6" ht="45">
      <c r="B498" s="126">
        <v>582</v>
      </c>
      <c r="D498" s="128" t="s">
        <v>390</v>
      </c>
      <c r="E498" s="128" t="s">
        <v>1142</v>
      </c>
      <c r="F498" s="128" t="s">
        <v>1142</v>
      </c>
    </row>
    <row r="499" spans="1:6" ht="15">
      <c r="B499" s="126">
        <v>583</v>
      </c>
      <c r="D499" s="128" t="s">
        <v>271</v>
      </c>
      <c r="E499" s="128" t="s">
        <v>1143</v>
      </c>
      <c r="F499" s="128" t="s">
        <v>1143</v>
      </c>
    </row>
    <row r="500" spans="1:6" ht="15">
      <c r="B500" s="126">
        <v>584</v>
      </c>
      <c r="D500" s="128" t="s">
        <v>272</v>
      </c>
      <c r="E500" s="128" t="s">
        <v>1144</v>
      </c>
      <c r="F500" s="128" t="s">
        <v>1144</v>
      </c>
    </row>
    <row r="501" spans="1:6" ht="14">
      <c r="B501" s="126">
        <v>585</v>
      </c>
      <c r="C501" s="127" t="s">
        <v>451</v>
      </c>
      <c r="D501" s="125" t="s">
        <v>446</v>
      </c>
      <c r="E501" s="133" t="s">
        <v>1145</v>
      </c>
      <c r="F501" s="133" t="s">
        <v>1145</v>
      </c>
    </row>
    <row r="502" spans="1:6" ht="14">
      <c r="B502" s="126">
        <v>586</v>
      </c>
      <c r="C502" s="127" t="s">
        <v>451</v>
      </c>
      <c r="D502" s="128" t="s">
        <v>444</v>
      </c>
      <c r="E502" s="133" t="s">
        <v>1146</v>
      </c>
      <c r="F502" s="133" t="s">
        <v>1146</v>
      </c>
    </row>
    <row r="503" spans="1:6" ht="15">
      <c r="B503" s="126">
        <v>587</v>
      </c>
      <c r="D503" s="128" t="s">
        <v>273</v>
      </c>
      <c r="E503" s="128" t="s">
        <v>1147</v>
      </c>
      <c r="F503" s="128" t="s">
        <v>1147</v>
      </c>
    </row>
    <row r="504" spans="1:6" ht="39">
      <c r="B504" s="126">
        <v>588</v>
      </c>
      <c r="D504" s="128" t="s">
        <v>274</v>
      </c>
      <c r="E504" s="128" t="s">
        <v>1265</v>
      </c>
      <c r="F504" s="128" t="s">
        <v>1265</v>
      </c>
    </row>
    <row r="505" spans="1:6" ht="15">
      <c r="B505" s="126">
        <v>589</v>
      </c>
      <c r="D505" s="128" t="s">
        <v>275</v>
      </c>
      <c r="E505" s="128" t="s">
        <v>1148</v>
      </c>
      <c r="F505" s="128" t="s">
        <v>1148</v>
      </c>
    </row>
    <row r="506" spans="1:6" ht="15">
      <c r="A506" s="130"/>
      <c r="B506" s="126">
        <v>590</v>
      </c>
      <c r="C506" s="131" t="s">
        <v>399</v>
      </c>
      <c r="D506" s="129" t="s">
        <v>405</v>
      </c>
      <c r="E506" s="129" t="s">
        <v>1149</v>
      </c>
      <c r="F506" s="129" t="s">
        <v>1149</v>
      </c>
    </row>
    <row r="507" spans="1:6" ht="15">
      <c r="A507" s="130"/>
      <c r="B507" s="126">
        <v>591</v>
      </c>
      <c r="C507" s="131" t="s">
        <v>399</v>
      </c>
      <c r="D507" s="129" t="s">
        <v>431</v>
      </c>
      <c r="E507" s="129" t="s">
        <v>1150</v>
      </c>
      <c r="F507" s="129" t="s">
        <v>1150</v>
      </c>
    </row>
    <row r="508" spans="1:6" ht="15">
      <c r="B508" s="126">
        <v>592</v>
      </c>
      <c r="D508" s="128" t="s">
        <v>276</v>
      </c>
      <c r="E508" s="129" t="s">
        <v>1151</v>
      </c>
      <c r="F508" s="129" t="s">
        <v>1151</v>
      </c>
    </row>
    <row r="509" spans="1:6" ht="15">
      <c r="B509" s="126">
        <v>593</v>
      </c>
      <c r="D509" s="128" t="s">
        <v>277</v>
      </c>
      <c r="E509" s="128" t="s">
        <v>1152</v>
      </c>
      <c r="F509" s="128" t="s">
        <v>1152</v>
      </c>
    </row>
    <row r="510" spans="1:6" ht="15">
      <c r="B510" s="126">
        <v>594</v>
      </c>
      <c r="D510" s="128" t="s">
        <v>278</v>
      </c>
      <c r="E510" s="128" t="s">
        <v>1153</v>
      </c>
      <c r="F510" s="128" t="s">
        <v>1153</v>
      </c>
    </row>
    <row r="511" spans="1:6" ht="26">
      <c r="B511" s="126">
        <v>595</v>
      </c>
      <c r="D511" s="128" t="s">
        <v>279</v>
      </c>
      <c r="E511" s="128" t="s">
        <v>1317</v>
      </c>
      <c r="F511" s="128" t="s">
        <v>1317</v>
      </c>
    </row>
    <row r="512" spans="1:6" ht="15">
      <c r="B512" s="126">
        <v>596</v>
      </c>
      <c r="D512" s="128" t="s">
        <v>280</v>
      </c>
      <c r="E512" s="128" t="s">
        <v>1154</v>
      </c>
      <c r="F512" s="128" t="s">
        <v>1154</v>
      </c>
    </row>
    <row r="513" spans="2:6" ht="39">
      <c r="B513" s="126">
        <v>597</v>
      </c>
      <c r="D513" s="128" t="s">
        <v>281</v>
      </c>
      <c r="E513" s="128" t="s">
        <v>1155</v>
      </c>
      <c r="F513" s="128" t="s">
        <v>1155</v>
      </c>
    </row>
    <row r="514" spans="2:6" ht="15">
      <c r="B514" s="126">
        <v>598</v>
      </c>
      <c r="D514" s="128" t="s">
        <v>282</v>
      </c>
      <c r="E514" s="128" t="s">
        <v>1156</v>
      </c>
      <c r="F514" s="128" t="s">
        <v>1156</v>
      </c>
    </row>
    <row r="515" spans="2:6" ht="15">
      <c r="B515" s="126">
        <v>599</v>
      </c>
      <c r="D515" s="128" t="s">
        <v>283</v>
      </c>
      <c r="E515" s="128" t="s">
        <v>1157</v>
      </c>
      <c r="F515" s="128" t="s">
        <v>1157</v>
      </c>
    </row>
    <row r="516" spans="2:6" ht="15">
      <c r="B516" s="126">
        <v>600</v>
      </c>
      <c r="D516" s="128" t="s">
        <v>284</v>
      </c>
      <c r="E516" s="128" t="s">
        <v>1158</v>
      </c>
      <c r="F516" s="128" t="s">
        <v>1158</v>
      </c>
    </row>
    <row r="517" spans="2:6" ht="15">
      <c r="B517" s="126">
        <v>601</v>
      </c>
      <c r="D517" s="128" t="s">
        <v>285</v>
      </c>
      <c r="E517" s="128" t="s">
        <v>1159</v>
      </c>
      <c r="F517" s="128" t="s">
        <v>1159</v>
      </c>
    </row>
    <row r="518" spans="2:6" ht="15">
      <c r="B518" s="126">
        <v>602</v>
      </c>
      <c r="D518" s="128" t="s">
        <v>286</v>
      </c>
      <c r="E518" s="128" t="s">
        <v>1160</v>
      </c>
      <c r="F518" s="128" t="s">
        <v>1160</v>
      </c>
    </row>
    <row r="519" spans="2:6" ht="15">
      <c r="B519" s="126">
        <v>603</v>
      </c>
      <c r="D519" s="128" t="s">
        <v>287</v>
      </c>
      <c r="E519" s="128" t="s">
        <v>1161</v>
      </c>
      <c r="F519" s="128" t="s">
        <v>1161</v>
      </c>
    </row>
    <row r="520" spans="2:6" ht="13">
      <c r="B520" s="126">
        <v>604</v>
      </c>
      <c r="D520" s="128" t="s">
        <v>288</v>
      </c>
      <c r="E520" s="128" t="s">
        <v>288</v>
      </c>
      <c r="F520" s="128" t="s">
        <v>288</v>
      </c>
    </row>
    <row r="521" spans="2:6" ht="15">
      <c r="B521" s="126">
        <v>605</v>
      </c>
      <c r="D521" s="128" t="s">
        <v>391</v>
      </c>
      <c r="E521" s="128" t="s">
        <v>1162</v>
      </c>
      <c r="F521" s="128" t="s">
        <v>1162</v>
      </c>
    </row>
    <row r="522" spans="2:6" ht="30">
      <c r="B522" s="126">
        <v>606</v>
      </c>
      <c r="D522" s="128" t="s">
        <v>289</v>
      </c>
      <c r="E522" s="128" t="s">
        <v>1163</v>
      </c>
      <c r="F522" s="128" t="s">
        <v>1163</v>
      </c>
    </row>
    <row r="523" spans="2:6" ht="13">
      <c r="B523" s="126">
        <v>607</v>
      </c>
      <c r="D523" s="128" t="s">
        <v>290</v>
      </c>
      <c r="E523" s="128" t="s">
        <v>290</v>
      </c>
      <c r="F523" s="128" t="s">
        <v>290</v>
      </c>
    </row>
    <row r="524" spans="2:6" ht="15">
      <c r="B524" s="126">
        <v>608</v>
      </c>
      <c r="D524" s="128" t="s">
        <v>552</v>
      </c>
      <c r="E524" s="128" t="s">
        <v>1164</v>
      </c>
      <c r="F524" s="128" t="s">
        <v>1164</v>
      </c>
    </row>
    <row r="525" spans="2:6" ht="15">
      <c r="B525" s="126">
        <v>609</v>
      </c>
      <c r="D525" s="128" t="s">
        <v>551</v>
      </c>
      <c r="E525" s="128" t="s">
        <v>1165</v>
      </c>
      <c r="F525" s="128" t="s">
        <v>1165</v>
      </c>
    </row>
    <row r="526" spans="2:6" ht="13">
      <c r="B526" s="126">
        <v>610</v>
      </c>
      <c r="D526" s="128" t="s">
        <v>392</v>
      </c>
      <c r="F526" s="128"/>
    </row>
    <row r="527" spans="2:6" ht="15">
      <c r="B527" s="126">
        <v>611</v>
      </c>
      <c r="D527" s="128" t="s">
        <v>291</v>
      </c>
      <c r="E527" s="128" t="s">
        <v>1166</v>
      </c>
      <c r="F527" s="128" t="s">
        <v>1166</v>
      </c>
    </row>
    <row r="528" spans="2:6" ht="15">
      <c r="B528" s="126">
        <v>612</v>
      </c>
      <c r="C528" s="127" t="s">
        <v>469</v>
      </c>
      <c r="D528" s="128" t="s">
        <v>471</v>
      </c>
      <c r="E528" s="128" t="s">
        <v>1167</v>
      </c>
      <c r="F528" s="128" t="s">
        <v>1167</v>
      </c>
    </row>
    <row r="529" spans="2:6" ht="15">
      <c r="B529" s="126">
        <v>613</v>
      </c>
      <c r="D529" s="128" t="s">
        <v>393</v>
      </c>
      <c r="E529" s="128" t="s">
        <v>1168</v>
      </c>
      <c r="F529" s="128" t="s">
        <v>1168</v>
      </c>
    </row>
    <row r="530" spans="2:6" ht="15">
      <c r="B530" s="126">
        <v>614</v>
      </c>
      <c r="D530" s="128" t="s">
        <v>394</v>
      </c>
      <c r="E530" s="128" t="s">
        <v>1169</v>
      </c>
      <c r="F530" s="128" t="s">
        <v>1169</v>
      </c>
    </row>
    <row r="531" spans="2:6" ht="15">
      <c r="B531" s="126">
        <v>615</v>
      </c>
      <c r="D531" s="128" t="s">
        <v>395</v>
      </c>
      <c r="E531" s="128" t="s">
        <v>1168</v>
      </c>
      <c r="F531" s="128" t="s">
        <v>1168</v>
      </c>
    </row>
    <row r="532" spans="2:6" ht="13">
      <c r="B532" s="126">
        <v>616</v>
      </c>
      <c r="D532" s="128" t="s">
        <v>1272</v>
      </c>
      <c r="E532" s="128" t="s">
        <v>1266</v>
      </c>
      <c r="F532" s="128" t="s">
        <v>1266</v>
      </c>
    </row>
    <row r="533" spans="2:6" ht="13">
      <c r="B533" s="126">
        <v>617</v>
      </c>
      <c r="D533" s="128" t="s">
        <v>1273</v>
      </c>
      <c r="E533" s="128" t="s">
        <v>1267</v>
      </c>
      <c r="F533" s="128" t="s">
        <v>1267</v>
      </c>
    </row>
    <row r="534" spans="2:6" ht="13">
      <c r="B534" s="126">
        <v>618</v>
      </c>
      <c r="D534" s="128" t="s">
        <v>1274</v>
      </c>
      <c r="E534" s="128" t="s">
        <v>1268</v>
      </c>
      <c r="F534" s="128" t="s">
        <v>1268</v>
      </c>
    </row>
    <row r="535" spans="2:6" ht="15">
      <c r="B535" s="126">
        <v>619</v>
      </c>
      <c r="D535" s="128" t="s">
        <v>571</v>
      </c>
      <c r="E535" s="128" t="s">
        <v>1170</v>
      </c>
      <c r="F535" s="128" t="s">
        <v>1170</v>
      </c>
    </row>
    <row r="536" spans="2:6" ht="15">
      <c r="B536" s="126">
        <v>620</v>
      </c>
      <c r="D536" s="128" t="s">
        <v>570</v>
      </c>
      <c r="E536" s="128" t="s">
        <v>1171</v>
      </c>
      <c r="F536" s="128" t="s">
        <v>1171</v>
      </c>
    </row>
    <row r="537" spans="2:6" ht="26">
      <c r="B537" s="126">
        <v>621</v>
      </c>
      <c r="C537" s="127" t="s">
        <v>500</v>
      </c>
      <c r="D537" s="128" t="s">
        <v>510</v>
      </c>
      <c r="E537" s="128" t="s">
        <v>1318</v>
      </c>
      <c r="F537" s="128" t="s">
        <v>1318</v>
      </c>
    </row>
    <row r="538" spans="2:6" ht="39">
      <c r="B538" s="126">
        <v>622</v>
      </c>
      <c r="C538" s="127" t="s">
        <v>500</v>
      </c>
      <c r="D538" s="128" t="s">
        <v>525</v>
      </c>
      <c r="E538" s="128" t="s">
        <v>1319</v>
      </c>
      <c r="F538" s="128" t="s">
        <v>1319</v>
      </c>
    </row>
    <row r="539" spans="2:6" ht="15">
      <c r="B539" s="126">
        <v>623</v>
      </c>
      <c r="D539" s="128" t="s">
        <v>292</v>
      </c>
      <c r="E539" s="128" t="s">
        <v>1172</v>
      </c>
      <c r="F539" s="128" t="s">
        <v>1172</v>
      </c>
    </row>
    <row r="540" spans="2:6" ht="15">
      <c r="B540" s="126">
        <v>624</v>
      </c>
      <c r="D540" s="128" t="s">
        <v>553</v>
      </c>
      <c r="E540" s="128" t="s">
        <v>1173</v>
      </c>
      <c r="F540" s="128" t="s">
        <v>1173</v>
      </c>
    </row>
    <row r="541" spans="2:6" ht="13">
      <c r="B541" s="126">
        <v>625</v>
      </c>
      <c r="D541" s="128" t="s">
        <v>496</v>
      </c>
      <c r="E541" s="128" t="s">
        <v>496</v>
      </c>
      <c r="F541" s="128" t="s">
        <v>496</v>
      </c>
    </row>
    <row r="542" spans="2:6" ht="13">
      <c r="B542" s="126">
        <v>626</v>
      </c>
      <c r="D542" s="128" t="s">
        <v>293</v>
      </c>
      <c r="F542" s="128"/>
    </row>
    <row r="543" spans="2:6" ht="13">
      <c r="B543" s="126">
        <v>627</v>
      </c>
      <c r="D543" s="128" t="s">
        <v>294</v>
      </c>
      <c r="F543" s="128"/>
    </row>
    <row r="544" spans="2:6" ht="13">
      <c r="B544" s="126">
        <v>628</v>
      </c>
      <c r="D544" s="128" t="s">
        <v>494</v>
      </c>
      <c r="E544" s="128" t="s">
        <v>495</v>
      </c>
      <c r="F544" s="128" t="s">
        <v>495</v>
      </c>
    </row>
    <row r="545" spans="1:6" ht="15">
      <c r="B545" s="126">
        <v>629</v>
      </c>
      <c r="D545" s="128" t="s">
        <v>295</v>
      </c>
      <c r="E545" s="128" t="s">
        <v>1174</v>
      </c>
      <c r="F545" s="128" t="s">
        <v>1174</v>
      </c>
    </row>
    <row r="546" spans="1:6" ht="15">
      <c r="B546" s="126">
        <v>630</v>
      </c>
      <c r="D546" s="128" t="s">
        <v>396</v>
      </c>
      <c r="E546" s="128" t="s">
        <v>1175</v>
      </c>
      <c r="F546" s="128" t="s">
        <v>1175</v>
      </c>
    </row>
    <row r="547" spans="1:6" ht="15">
      <c r="B547" s="126">
        <v>631</v>
      </c>
      <c r="D547" s="128" t="s">
        <v>296</v>
      </c>
      <c r="E547" s="128" t="s">
        <v>1176</v>
      </c>
      <c r="F547" s="128" t="s">
        <v>1176</v>
      </c>
    </row>
    <row r="548" spans="1:6" ht="15">
      <c r="B548" s="126">
        <v>632</v>
      </c>
      <c r="D548" s="128" t="s">
        <v>325</v>
      </c>
      <c r="E548" s="128" t="s">
        <v>1177</v>
      </c>
      <c r="F548" s="128" t="s">
        <v>1177</v>
      </c>
    </row>
    <row r="549" spans="1:6" ht="15">
      <c r="B549" s="126">
        <v>633</v>
      </c>
      <c r="D549" s="128" t="s">
        <v>297</v>
      </c>
      <c r="E549" s="128" t="s">
        <v>1436</v>
      </c>
      <c r="F549" s="128" t="s">
        <v>1436</v>
      </c>
    </row>
    <row r="550" spans="1:6" ht="30">
      <c r="A550" s="129"/>
      <c r="B550" s="126">
        <v>634</v>
      </c>
      <c r="C550" s="129"/>
      <c r="D550" s="129" t="s">
        <v>432</v>
      </c>
      <c r="E550" s="129" t="s">
        <v>1178</v>
      </c>
      <c r="F550" s="129" t="s">
        <v>1178</v>
      </c>
    </row>
    <row r="551" spans="1:6" ht="15">
      <c r="B551" s="126">
        <v>635</v>
      </c>
      <c r="C551" s="127" t="s">
        <v>500</v>
      </c>
      <c r="D551" s="128" t="s">
        <v>507</v>
      </c>
      <c r="E551" s="128" t="s">
        <v>1179</v>
      </c>
      <c r="F551" s="128" t="s">
        <v>1179</v>
      </c>
    </row>
    <row r="552" spans="1:6" ht="15">
      <c r="B552" s="126">
        <v>636</v>
      </c>
      <c r="C552" s="127" t="s">
        <v>500</v>
      </c>
      <c r="D552" s="128" t="s">
        <v>595</v>
      </c>
      <c r="E552" s="128" t="s">
        <v>1180</v>
      </c>
      <c r="F552" s="128" t="s">
        <v>1180</v>
      </c>
    </row>
    <row r="553" spans="1:6" ht="13">
      <c r="B553" s="126">
        <v>637</v>
      </c>
      <c r="D553" s="128" t="s">
        <v>298</v>
      </c>
      <c r="E553" s="128" t="s">
        <v>298</v>
      </c>
      <c r="F553" s="128" t="s">
        <v>298</v>
      </c>
    </row>
    <row r="554" spans="1:6" ht="15">
      <c r="B554" s="126">
        <v>638</v>
      </c>
      <c r="D554" s="128" t="s">
        <v>299</v>
      </c>
      <c r="E554" s="128" t="s">
        <v>1181</v>
      </c>
      <c r="F554" s="128" t="s">
        <v>1181</v>
      </c>
    </row>
    <row r="555" spans="1:6" ht="15">
      <c r="B555" s="126">
        <v>639</v>
      </c>
      <c r="D555" s="128" t="s">
        <v>300</v>
      </c>
      <c r="E555" s="128" t="s">
        <v>1182</v>
      </c>
      <c r="F555" s="128" t="s">
        <v>1182</v>
      </c>
    </row>
    <row r="556" spans="1:6" ht="15">
      <c r="B556" s="126">
        <v>640</v>
      </c>
      <c r="D556" s="128" t="s">
        <v>397</v>
      </c>
      <c r="E556" s="128" t="s">
        <v>1183</v>
      </c>
      <c r="F556" s="128" t="s">
        <v>1183</v>
      </c>
    </row>
    <row r="557" spans="1:6" ht="26">
      <c r="B557" s="126">
        <v>641</v>
      </c>
      <c r="C557" s="127" t="s">
        <v>500</v>
      </c>
      <c r="D557" s="128" t="s">
        <v>526</v>
      </c>
      <c r="E557" s="128" t="s">
        <v>1184</v>
      </c>
      <c r="F557" s="128" t="s">
        <v>1184</v>
      </c>
    </row>
    <row r="558" spans="1:6" ht="15">
      <c r="B558" s="126">
        <v>642</v>
      </c>
      <c r="D558" s="128" t="s">
        <v>301</v>
      </c>
      <c r="E558" s="128" t="s">
        <v>1185</v>
      </c>
      <c r="F558" s="128" t="s">
        <v>1185</v>
      </c>
    </row>
    <row r="559" spans="1:6" ht="45">
      <c r="B559" s="126">
        <v>643</v>
      </c>
      <c r="C559" s="127" t="s">
        <v>500</v>
      </c>
      <c r="D559" s="128" t="s">
        <v>533</v>
      </c>
      <c r="E559" s="128" t="s">
        <v>1186</v>
      </c>
      <c r="F559" s="128" t="s">
        <v>1186</v>
      </c>
    </row>
    <row r="560" spans="1:6" ht="15">
      <c r="B560" s="126">
        <v>644</v>
      </c>
      <c r="D560" s="128" t="s">
        <v>302</v>
      </c>
      <c r="E560" s="128" t="s">
        <v>1187</v>
      </c>
      <c r="F560" s="128" t="s">
        <v>1187</v>
      </c>
    </row>
    <row r="561" spans="2:27" ht="15">
      <c r="B561" s="126">
        <v>645</v>
      </c>
      <c r="D561" s="128" t="s">
        <v>303</v>
      </c>
      <c r="E561" s="128" t="s">
        <v>1188</v>
      </c>
      <c r="F561" s="128" t="s">
        <v>1188</v>
      </c>
    </row>
    <row r="562" spans="2:27" ht="15">
      <c r="B562" s="126">
        <v>646</v>
      </c>
      <c r="D562" s="128" t="s">
        <v>398</v>
      </c>
      <c r="E562" s="128" t="s">
        <v>1189</v>
      </c>
      <c r="F562" s="128" t="s">
        <v>1189</v>
      </c>
    </row>
    <row r="563" spans="2:27" ht="30">
      <c r="B563" s="126">
        <v>647</v>
      </c>
      <c r="D563" s="128" t="s">
        <v>304</v>
      </c>
      <c r="E563" s="128" t="s">
        <v>1190</v>
      </c>
      <c r="F563" s="128" t="s">
        <v>1190</v>
      </c>
    </row>
    <row r="564" spans="2:27" ht="15">
      <c r="B564" s="126">
        <v>648</v>
      </c>
      <c r="D564" s="128" t="s">
        <v>305</v>
      </c>
      <c r="E564" s="128" t="s">
        <v>1188</v>
      </c>
      <c r="F564" s="128" t="s">
        <v>1188</v>
      </c>
    </row>
    <row r="565" spans="2:27" ht="15">
      <c r="B565" s="126">
        <v>649</v>
      </c>
      <c r="D565" s="128" t="s">
        <v>306</v>
      </c>
      <c r="E565" s="128" t="s">
        <v>1191</v>
      </c>
      <c r="F565" s="128" t="s">
        <v>1191</v>
      </c>
    </row>
    <row r="566" spans="2:27" ht="15">
      <c r="B566" s="126">
        <v>650</v>
      </c>
      <c r="D566" s="128" t="s">
        <v>307</v>
      </c>
      <c r="E566" s="128" t="s">
        <v>1192</v>
      </c>
      <c r="F566" s="128" t="s">
        <v>1192</v>
      </c>
    </row>
    <row r="567" spans="2:27" ht="15">
      <c r="B567" s="126">
        <v>651</v>
      </c>
      <c r="D567" s="128" t="s">
        <v>308</v>
      </c>
      <c r="E567" s="128" t="s">
        <v>1193</v>
      </c>
      <c r="F567" s="128" t="s">
        <v>1193</v>
      </c>
    </row>
    <row r="568" spans="2:27" ht="15">
      <c r="B568" s="126">
        <v>652</v>
      </c>
      <c r="D568" s="128" t="s">
        <v>309</v>
      </c>
      <c r="E568" s="128" t="s">
        <v>1194</v>
      </c>
      <c r="F568" s="128" t="s">
        <v>1194</v>
      </c>
      <c r="H568" s="129"/>
      <c r="I568" s="129"/>
      <c r="J568" s="129"/>
      <c r="K568" s="129"/>
      <c r="L568" s="129"/>
      <c r="M568" s="129"/>
      <c r="N568" s="129"/>
      <c r="O568" s="129"/>
      <c r="P568" s="129"/>
      <c r="Q568" s="129"/>
      <c r="R568" s="129"/>
      <c r="S568" s="129"/>
      <c r="T568" s="129"/>
      <c r="U568" s="129"/>
      <c r="V568" s="129"/>
      <c r="W568" s="129"/>
      <c r="X568" s="129"/>
      <c r="Y568" s="129"/>
      <c r="Z568" s="129"/>
      <c r="AA568" s="129"/>
    </row>
    <row r="569" spans="2:27" ht="26">
      <c r="B569" s="126">
        <v>653</v>
      </c>
      <c r="D569" s="128" t="s">
        <v>310</v>
      </c>
      <c r="E569" s="128" t="s">
        <v>1195</v>
      </c>
      <c r="F569" s="128" t="s">
        <v>1195</v>
      </c>
      <c r="H569" s="129"/>
      <c r="I569" s="129"/>
      <c r="J569" s="129"/>
      <c r="K569" s="129"/>
      <c r="L569" s="129"/>
      <c r="M569" s="129"/>
      <c r="N569" s="129"/>
      <c r="O569" s="129"/>
      <c r="P569" s="129"/>
      <c r="Q569" s="129"/>
      <c r="R569" s="129"/>
      <c r="S569" s="129"/>
      <c r="T569" s="129"/>
      <c r="U569" s="129"/>
      <c r="V569" s="129"/>
      <c r="W569" s="129"/>
      <c r="X569" s="129"/>
      <c r="Y569" s="129"/>
      <c r="Z569" s="129"/>
      <c r="AA569" s="129"/>
    </row>
    <row r="570" spans="2:27" ht="15">
      <c r="B570" s="126">
        <v>654</v>
      </c>
      <c r="D570" s="128" t="s">
        <v>311</v>
      </c>
      <c r="E570" s="128" t="s">
        <v>1187</v>
      </c>
      <c r="F570" s="128" t="s">
        <v>1187</v>
      </c>
      <c r="H570" s="130"/>
      <c r="I570" s="130"/>
      <c r="J570" s="130"/>
      <c r="K570" s="130"/>
      <c r="L570" s="130"/>
      <c r="M570" s="130"/>
      <c r="N570" s="130"/>
      <c r="O570" s="130"/>
      <c r="P570" s="130"/>
      <c r="Q570" s="130"/>
      <c r="R570" s="130"/>
      <c r="S570" s="130"/>
      <c r="T570" s="130"/>
      <c r="U570" s="130"/>
      <c r="V570" s="130"/>
      <c r="W570" s="130"/>
      <c r="X570" s="130"/>
      <c r="Y570" s="130"/>
      <c r="Z570" s="130"/>
      <c r="AA570" s="130"/>
    </row>
    <row r="571" spans="2:27" ht="13">
      <c r="B571" s="126">
        <v>655</v>
      </c>
      <c r="C571" s="127" t="s">
        <v>500</v>
      </c>
      <c r="D571" s="128" t="s">
        <v>527</v>
      </c>
      <c r="E571" s="128" t="s">
        <v>1320</v>
      </c>
      <c r="F571" s="128" t="s">
        <v>1320</v>
      </c>
    </row>
    <row r="572" spans="2:27" ht="30">
      <c r="B572" s="126">
        <v>656</v>
      </c>
      <c r="D572" s="128" t="s">
        <v>312</v>
      </c>
      <c r="E572" s="128" t="s">
        <v>1196</v>
      </c>
      <c r="F572" s="128" t="s">
        <v>1196</v>
      </c>
      <c r="H572" s="130"/>
      <c r="I572" s="130"/>
      <c r="J572" s="130"/>
      <c r="K572" s="130"/>
      <c r="L572" s="130"/>
      <c r="M572" s="130"/>
      <c r="N572" s="130"/>
      <c r="O572" s="130"/>
      <c r="P572" s="130"/>
      <c r="Q572" s="130"/>
      <c r="R572" s="130"/>
      <c r="S572" s="130"/>
      <c r="T572" s="130"/>
      <c r="U572" s="130"/>
      <c r="V572" s="130"/>
      <c r="W572" s="130"/>
      <c r="X572" s="130"/>
      <c r="Y572" s="130"/>
      <c r="Z572" s="130"/>
      <c r="AA572" s="130"/>
    </row>
    <row r="573" spans="2:27" ht="45">
      <c r="B573" s="126">
        <v>657</v>
      </c>
      <c r="D573" s="128" t="s">
        <v>313</v>
      </c>
      <c r="E573" s="128" t="s">
        <v>1197</v>
      </c>
      <c r="F573" s="128" t="s">
        <v>1197</v>
      </c>
      <c r="H573" s="130"/>
      <c r="I573" s="130"/>
      <c r="J573" s="130"/>
      <c r="K573" s="130"/>
      <c r="L573" s="130"/>
      <c r="M573" s="130"/>
      <c r="N573" s="130"/>
      <c r="O573" s="130"/>
      <c r="P573" s="130"/>
      <c r="Q573" s="130"/>
      <c r="R573" s="130"/>
      <c r="S573" s="130"/>
      <c r="T573" s="130"/>
      <c r="U573" s="130"/>
      <c r="V573" s="130"/>
      <c r="W573" s="130"/>
      <c r="X573" s="130"/>
      <c r="Y573" s="130"/>
      <c r="Z573" s="130"/>
      <c r="AA573" s="130"/>
    </row>
    <row r="574" spans="2:27" ht="15">
      <c r="B574" s="126">
        <v>658</v>
      </c>
      <c r="D574" s="128" t="s">
        <v>314</v>
      </c>
      <c r="E574" s="128" t="s">
        <v>1198</v>
      </c>
      <c r="F574" s="128" t="s">
        <v>1198</v>
      </c>
      <c r="H574" s="130"/>
      <c r="I574" s="130"/>
      <c r="J574" s="130"/>
      <c r="K574" s="130"/>
      <c r="L574" s="130"/>
      <c r="M574" s="130"/>
      <c r="N574" s="130"/>
      <c r="O574" s="130"/>
      <c r="P574" s="130"/>
      <c r="Q574" s="130"/>
      <c r="R574" s="130"/>
      <c r="S574" s="130"/>
      <c r="T574" s="130"/>
      <c r="U574" s="130"/>
      <c r="V574" s="130"/>
      <c r="W574" s="130"/>
      <c r="X574" s="130"/>
      <c r="Y574" s="130"/>
      <c r="Z574" s="130"/>
      <c r="AA574" s="130"/>
    </row>
    <row r="575" spans="2:27" ht="45">
      <c r="B575" s="126">
        <v>659</v>
      </c>
      <c r="D575" s="128" t="s">
        <v>315</v>
      </c>
      <c r="E575" s="128" t="s">
        <v>1199</v>
      </c>
      <c r="F575" s="128" t="s">
        <v>1199</v>
      </c>
      <c r="H575" s="130"/>
      <c r="I575" s="130"/>
      <c r="J575" s="130"/>
      <c r="K575" s="130"/>
      <c r="L575" s="130"/>
      <c r="M575" s="130"/>
      <c r="N575" s="130"/>
      <c r="O575" s="130"/>
      <c r="P575" s="130"/>
      <c r="Q575" s="130"/>
      <c r="R575" s="130"/>
      <c r="S575" s="130"/>
      <c r="T575" s="130"/>
      <c r="U575" s="130"/>
      <c r="V575" s="130"/>
      <c r="W575" s="130"/>
      <c r="X575" s="130"/>
      <c r="Y575" s="130"/>
      <c r="Z575" s="130"/>
      <c r="AA575" s="130"/>
    </row>
    <row r="576" spans="2:27" ht="15">
      <c r="B576" s="126">
        <v>660</v>
      </c>
      <c r="D576" s="128" t="s">
        <v>316</v>
      </c>
      <c r="E576" s="128" t="s">
        <v>1200</v>
      </c>
      <c r="F576" s="128" t="s">
        <v>1200</v>
      </c>
      <c r="H576" s="130"/>
      <c r="I576" s="130"/>
      <c r="J576" s="130"/>
      <c r="K576" s="130"/>
      <c r="L576" s="130"/>
      <c r="M576" s="130"/>
      <c r="N576" s="130"/>
      <c r="O576" s="130"/>
      <c r="P576" s="130"/>
      <c r="Q576" s="130"/>
      <c r="R576" s="130"/>
      <c r="S576" s="130"/>
      <c r="T576" s="130"/>
      <c r="U576" s="130"/>
      <c r="V576" s="130"/>
      <c r="W576" s="130"/>
      <c r="X576" s="130"/>
      <c r="Y576" s="130"/>
      <c r="Z576" s="130"/>
      <c r="AA576" s="130"/>
    </row>
    <row r="577" spans="2:27" ht="15">
      <c r="B577" s="126">
        <v>661</v>
      </c>
      <c r="D577" s="128" t="s">
        <v>317</v>
      </c>
      <c r="E577" s="128" t="s">
        <v>1201</v>
      </c>
      <c r="F577" s="128" t="s">
        <v>1201</v>
      </c>
      <c r="H577" s="130"/>
      <c r="I577" s="130"/>
      <c r="J577" s="130"/>
      <c r="K577" s="130"/>
      <c r="L577" s="130"/>
      <c r="M577" s="130"/>
      <c r="N577" s="130"/>
      <c r="O577" s="130"/>
      <c r="P577" s="130"/>
      <c r="Q577" s="130"/>
      <c r="R577" s="130"/>
      <c r="S577" s="130"/>
      <c r="T577" s="130"/>
      <c r="U577" s="130"/>
      <c r="V577" s="130"/>
      <c r="W577" s="130"/>
      <c r="X577" s="130"/>
      <c r="Y577" s="130"/>
      <c r="Z577" s="130"/>
      <c r="AA577" s="130"/>
    </row>
    <row r="578" spans="2:27" ht="15">
      <c r="B578" s="126">
        <v>662</v>
      </c>
      <c r="D578" s="128" t="s">
        <v>318</v>
      </c>
      <c r="E578" s="128" t="s">
        <v>1202</v>
      </c>
      <c r="F578" s="128" t="s">
        <v>1202</v>
      </c>
      <c r="H578" s="130"/>
      <c r="I578" s="130"/>
      <c r="J578" s="130"/>
      <c r="K578" s="130"/>
      <c r="L578" s="130"/>
      <c r="M578" s="130"/>
      <c r="N578" s="130"/>
      <c r="O578" s="130"/>
      <c r="P578" s="130"/>
      <c r="Q578" s="130"/>
      <c r="R578" s="130"/>
      <c r="S578" s="130"/>
      <c r="T578" s="130"/>
      <c r="U578" s="130"/>
      <c r="V578" s="130"/>
      <c r="W578" s="130"/>
      <c r="X578" s="130"/>
      <c r="Y578" s="130"/>
      <c r="Z578" s="130"/>
      <c r="AA578" s="130"/>
    </row>
    <row r="579" spans="2:27" ht="15">
      <c r="B579" s="126">
        <v>663</v>
      </c>
      <c r="D579" s="128" t="s">
        <v>319</v>
      </c>
      <c r="E579" s="128" t="s">
        <v>1203</v>
      </c>
      <c r="F579" s="128" t="s">
        <v>1203</v>
      </c>
      <c r="H579" s="130"/>
      <c r="I579" s="130"/>
      <c r="J579" s="130"/>
      <c r="K579" s="130"/>
      <c r="L579" s="130"/>
      <c r="M579" s="130"/>
      <c r="N579" s="130"/>
      <c r="O579" s="130"/>
      <c r="P579" s="130"/>
      <c r="Q579" s="130"/>
      <c r="R579" s="130"/>
      <c r="S579" s="130"/>
      <c r="T579" s="130"/>
      <c r="U579" s="130"/>
      <c r="V579" s="130"/>
      <c r="W579" s="130"/>
      <c r="X579" s="130"/>
      <c r="Y579" s="130"/>
      <c r="Z579" s="130"/>
      <c r="AA579" s="130"/>
    </row>
    <row r="580" spans="2:27" ht="15">
      <c r="B580" s="126">
        <v>664</v>
      </c>
      <c r="D580" s="128" t="s">
        <v>320</v>
      </c>
      <c r="E580" s="128" t="s">
        <v>1204</v>
      </c>
      <c r="F580" s="128" t="s">
        <v>1204</v>
      </c>
      <c r="H580" s="130"/>
      <c r="I580" s="130"/>
      <c r="J580" s="130"/>
      <c r="K580" s="130"/>
      <c r="L580" s="130"/>
      <c r="M580" s="130"/>
      <c r="N580" s="130"/>
      <c r="O580" s="130"/>
      <c r="P580" s="130"/>
      <c r="Q580" s="130"/>
      <c r="R580" s="130"/>
      <c r="S580" s="130"/>
      <c r="T580" s="130"/>
      <c r="U580" s="130"/>
      <c r="V580" s="130"/>
      <c r="W580" s="130"/>
      <c r="X580" s="130"/>
      <c r="Y580" s="130"/>
      <c r="Z580" s="130"/>
      <c r="AA580" s="130"/>
    </row>
    <row r="581" spans="2:27" ht="15">
      <c r="B581" s="126">
        <v>665</v>
      </c>
      <c r="D581" s="128" t="s">
        <v>321</v>
      </c>
      <c r="E581" s="128" t="s">
        <v>1205</v>
      </c>
      <c r="F581" s="128" t="s">
        <v>1205</v>
      </c>
      <c r="H581" s="130"/>
      <c r="I581" s="130"/>
      <c r="J581" s="130"/>
      <c r="K581" s="130"/>
      <c r="L581" s="130"/>
      <c r="M581" s="130"/>
      <c r="N581" s="130"/>
      <c r="O581" s="130"/>
      <c r="P581" s="130"/>
      <c r="Q581" s="130"/>
      <c r="R581" s="130"/>
      <c r="S581" s="130"/>
      <c r="T581" s="130"/>
      <c r="U581" s="130"/>
      <c r="V581" s="130"/>
      <c r="W581" s="130"/>
      <c r="X581" s="130"/>
      <c r="Y581" s="130"/>
      <c r="Z581" s="130"/>
      <c r="AA581" s="130"/>
    </row>
    <row r="582" spans="2:27" ht="15">
      <c r="B582" s="126">
        <v>666</v>
      </c>
      <c r="D582" s="128" t="s">
        <v>603</v>
      </c>
      <c r="E582" s="128" t="s">
        <v>1206</v>
      </c>
      <c r="F582" s="128" t="s">
        <v>1206</v>
      </c>
    </row>
    <row r="583" spans="2:27" ht="15">
      <c r="B583" s="126">
        <v>667</v>
      </c>
      <c r="D583" s="128" t="s">
        <v>604</v>
      </c>
      <c r="E583" s="128" t="s">
        <v>1207</v>
      </c>
      <c r="F583" s="128" t="s">
        <v>1207</v>
      </c>
    </row>
    <row r="584" spans="2:27" ht="15">
      <c r="B584" s="126">
        <v>668</v>
      </c>
      <c r="D584" s="128" t="s">
        <v>596</v>
      </c>
      <c r="E584" s="128" t="s">
        <v>1208</v>
      </c>
      <c r="F584" s="128" t="s">
        <v>1208</v>
      </c>
    </row>
    <row r="585" spans="2:27" ht="15">
      <c r="B585" s="126">
        <v>669</v>
      </c>
      <c r="D585" s="128" t="s">
        <v>602</v>
      </c>
      <c r="E585" s="128" t="s">
        <v>1209</v>
      </c>
      <c r="F585" s="128" t="s">
        <v>1209</v>
      </c>
    </row>
    <row r="586" spans="2:27" ht="15">
      <c r="B586" s="126">
        <v>670</v>
      </c>
      <c r="D586" s="128" t="s">
        <v>599</v>
      </c>
      <c r="E586" s="128" t="s">
        <v>1210</v>
      </c>
      <c r="F586" s="128" t="s">
        <v>1210</v>
      </c>
    </row>
    <row r="587" spans="2:27" ht="15">
      <c r="B587" s="126">
        <v>671</v>
      </c>
      <c r="D587" s="128" t="s">
        <v>600</v>
      </c>
      <c r="E587" s="128" t="s">
        <v>1211</v>
      </c>
      <c r="F587" s="128" t="s">
        <v>1211</v>
      </c>
    </row>
    <row r="588" spans="2:27" ht="15">
      <c r="B588" s="126">
        <v>672</v>
      </c>
      <c r="D588" s="128" t="s">
        <v>601</v>
      </c>
      <c r="E588" s="128" t="s">
        <v>1212</v>
      </c>
      <c r="F588" s="128" t="s">
        <v>1212</v>
      </c>
    </row>
    <row r="589" spans="2:27" ht="15">
      <c r="B589" s="126">
        <v>673</v>
      </c>
      <c r="D589" s="128" t="s">
        <v>605</v>
      </c>
      <c r="E589" s="128" t="s">
        <v>1213</v>
      </c>
      <c r="F589" s="128" t="s">
        <v>1213</v>
      </c>
    </row>
    <row r="590" spans="2:27" ht="15">
      <c r="B590" s="126">
        <v>674</v>
      </c>
      <c r="D590" s="128" t="s">
        <v>689</v>
      </c>
      <c r="E590" s="128" t="s">
        <v>1214</v>
      </c>
      <c r="F590" s="128" t="s">
        <v>1214</v>
      </c>
    </row>
    <row r="591" spans="2:27" ht="15">
      <c r="B591" s="126">
        <v>675</v>
      </c>
      <c r="D591" s="128" t="s">
        <v>691</v>
      </c>
      <c r="E591" s="128" t="s">
        <v>1215</v>
      </c>
      <c r="F591" s="128" t="s">
        <v>1215</v>
      </c>
    </row>
    <row r="592" spans="2:27" ht="15">
      <c r="B592" s="126">
        <v>676</v>
      </c>
      <c r="D592" s="128" t="s">
        <v>692</v>
      </c>
      <c r="E592" s="128" t="s">
        <v>1216</v>
      </c>
      <c r="F592" s="128" t="s">
        <v>1216</v>
      </c>
    </row>
    <row r="593" spans="2:6" ht="15">
      <c r="B593" s="126">
        <v>677</v>
      </c>
      <c r="D593" s="128" t="s">
        <v>693</v>
      </c>
      <c r="E593" s="128" t="s">
        <v>1217</v>
      </c>
      <c r="F593" s="125" t="s">
        <v>1217</v>
      </c>
    </row>
    <row r="594" spans="2:6" ht="15">
      <c r="B594" s="126">
        <v>678</v>
      </c>
      <c r="D594" s="128" t="s">
        <v>694</v>
      </c>
      <c r="E594" s="128" t="s">
        <v>1218</v>
      </c>
      <c r="F594" s="128" t="s">
        <v>1218</v>
      </c>
    </row>
    <row r="595" spans="2:6" ht="15">
      <c r="B595" s="126">
        <v>679</v>
      </c>
      <c r="D595" s="128" t="s">
        <v>1219</v>
      </c>
      <c r="E595" s="128" t="s">
        <v>1220</v>
      </c>
      <c r="F595" s="128" t="s">
        <v>1220</v>
      </c>
    </row>
    <row r="596" spans="2:6" ht="15">
      <c r="B596" s="126">
        <v>680</v>
      </c>
      <c r="D596" s="128" t="s">
        <v>1221</v>
      </c>
      <c r="E596" s="143" t="s">
        <v>1223</v>
      </c>
      <c r="F596" s="143" t="s">
        <v>1223</v>
      </c>
    </row>
    <row r="597" spans="2:6" ht="15">
      <c r="B597" s="126">
        <v>681</v>
      </c>
      <c r="D597" s="128" t="s">
        <v>1222</v>
      </c>
      <c r="E597" s="143" t="s">
        <v>1224</v>
      </c>
      <c r="F597" s="143" t="s">
        <v>1224</v>
      </c>
    </row>
    <row r="598" spans="2:6" ht="15">
      <c r="B598" s="126">
        <v>682</v>
      </c>
      <c r="D598" s="128" t="s">
        <v>1234</v>
      </c>
      <c r="E598" s="145" t="s">
        <v>1235</v>
      </c>
      <c r="F598" s="145" t="s">
        <v>1235</v>
      </c>
    </row>
    <row r="599" spans="2:6" ht="15">
      <c r="B599" s="126">
        <v>683</v>
      </c>
      <c r="D599" s="128" t="s">
        <v>1236</v>
      </c>
      <c r="E599" s="145" t="s">
        <v>1238</v>
      </c>
      <c r="F599" s="145" t="s">
        <v>1238</v>
      </c>
    </row>
    <row r="600" spans="2:6" ht="13">
      <c r="B600" s="126">
        <v>684</v>
      </c>
      <c r="D600" s="128" t="s">
        <v>1300</v>
      </c>
      <c r="E600" s="128" t="s">
        <v>1237</v>
      </c>
      <c r="F600" s="128" t="s">
        <v>1237</v>
      </c>
    </row>
    <row r="601" spans="2:6" ht="15">
      <c r="B601" s="126">
        <v>685</v>
      </c>
      <c r="D601" s="128" t="s">
        <v>1241</v>
      </c>
      <c r="E601" s="144" t="s">
        <v>1242</v>
      </c>
      <c r="F601" s="144" t="s">
        <v>1242</v>
      </c>
    </row>
    <row r="602" spans="2:6" ht="15">
      <c r="B602" s="126">
        <v>686</v>
      </c>
      <c r="D602" s="128" t="s">
        <v>1245</v>
      </c>
      <c r="E602" s="160" t="s">
        <v>1246</v>
      </c>
      <c r="F602" s="160" t="s">
        <v>1246</v>
      </c>
    </row>
    <row r="603" spans="2:6" ht="15">
      <c r="B603" s="126">
        <v>687</v>
      </c>
      <c r="D603" s="128" t="s">
        <v>1257</v>
      </c>
      <c r="E603" s="143" t="s">
        <v>1259</v>
      </c>
      <c r="F603" s="143" t="s">
        <v>1259</v>
      </c>
    </row>
    <row r="604" spans="2:6" ht="15">
      <c r="B604" s="126">
        <v>688</v>
      </c>
      <c r="D604" s="128" t="s">
        <v>1275</v>
      </c>
      <c r="E604" s="170" t="s">
        <v>1276</v>
      </c>
      <c r="F604" s="170" t="s">
        <v>1276</v>
      </c>
    </row>
    <row r="605" spans="2:6" ht="39">
      <c r="B605" s="126">
        <v>689</v>
      </c>
      <c r="D605" s="128" t="s">
        <v>1303</v>
      </c>
      <c r="E605" s="190" t="s">
        <v>1304</v>
      </c>
      <c r="F605" s="190" t="s">
        <v>1304</v>
      </c>
    </row>
    <row r="606" spans="2:6" ht="15">
      <c r="B606" s="126">
        <v>690</v>
      </c>
      <c r="D606" s="128" t="s">
        <v>1373</v>
      </c>
      <c r="E606" s="144" t="s">
        <v>1349</v>
      </c>
      <c r="F606" s="144" t="s">
        <v>1349</v>
      </c>
    </row>
    <row r="607" spans="2:6" ht="15">
      <c r="B607" s="126">
        <v>691</v>
      </c>
      <c r="D607" s="128" t="s">
        <v>1374</v>
      </c>
      <c r="E607" s="144" t="s">
        <v>1350</v>
      </c>
      <c r="F607" s="144" t="s">
        <v>1350</v>
      </c>
    </row>
    <row r="608" spans="2:6" ht="15">
      <c r="B608" s="126">
        <v>692</v>
      </c>
      <c r="D608" s="128" t="s">
        <v>1375</v>
      </c>
      <c r="E608" s="144" t="s">
        <v>1351</v>
      </c>
      <c r="F608" s="144" t="s">
        <v>1351</v>
      </c>
    </row>
    <row r="609" spans="2:6" ht="15">
      <c r="B609" s="126">
        <v>693</v>
      </c>
      <c r="D609" s="128" t="s">
        <v>1367</v>
      </c>
      <c r="E609" s="144" t="s">
        <v>1385</v>
      </c>
      <c r="F609" s="144" t="s">
        <v>1385</v>
      </c>
    </row>
    <row r="610" spans="2:6" ht="15">
      <c r="B610" s="126">
        <v>694</v>
      </c>
      <c r="D610" s="128" t="s">
        <v>1391</v>
      </c>
      <c r="E610" s="197" t="s">
        <v>1389</v>
      </c>
      <c r="F610" s="197" t="s">
        <v>1389</v>
      </c>
    </row>
    <row r="611" spans="2:6" ht="30">
      <c r="B611" s="126">
        <v>695</v>
      </c>
      <c r="D611" s="128" t="s">
        <v>1390</v>
      </c>
      <c r="E611" s="196" t="s">
        <v>1388</v>
      </c>
      <c r="F611" s="196" t="s">
        <v>1388</v>
      </c>
    </row>
    <row r="612" spans="2:6" ht="15">
      <c r="B612" s="126">
        <v>696</v>
      </c>
      <c r="D612" s="128" t="s">
        <v>1393</v>
      </c>
      <c r="E612" s="143" t="s">
        <v>1394</v>
      </c>
      <c r="F612" s="143" t="s">
        <v>1394</v>
      </c>
    </row>
    <row r="613" spans="2:6" ht="15">
      <c r="B613" s="126">
        <v>697</v>
      </c>
      <c r="D613" s="128" t="s">
        <v>1395</v>
      </c>
      <c r="E613" s="143" t="s">
        <v>1396</v>
      </c>
      <c r="F613" s="143" t="s">
        <v>1396</v>
      </c>
    </row>
    <row r="614" spans="2:6" ht="15">
      <c r="B614" s="126">
        <v>698</v>
      </c>
      <c r="D614" s="128" t="s">
        <v>1397</v>
      </c>
      <c r="E614" s="143" t="s">
        <v>1398</v>
      </c>
      <c r="F614" s="143" t="s">
        <v>1398</v>
      </c>
    </row>
    <row r="615" spans="2:6" ht="15">
      <c r="B615" s="126">
        <v>699</v>
      </c>
      <c r="D615" s="128" t="s">
        <v>1399</v>
      </c>
      <c r="E615" s="190" t="s">
        <v>1400</v>
      </c>
      <c r="F615" s="190" t="s">
        <v>1400</v>
      </c>
    </row>
    <row r="616" spans="2:6" ht="14">
      <c r="B616" s="126">
        <v>700</v>
      </c>
      <c r="D616" s="128" t="s">
        <v>1408</v>
      </c>
      <c r="E616" s="190" t="s">
        <v>1404</v>
      </c>
      <c r="F616" s="190" t="s">
        <v>1404</v>
      </c>
    </row>
    <row r="617" spans="2:6" ht="14">
      <c r="B617" s="126">
        <v>701</v>
      </c>
      <c r="D617" s="128" t="s">
        <v>1413</v>
      </c>
      <c r="E617" s="190" t="s">
        <v>1405</v>
      </c>
      <c r="F617" s="190" t="s">
        <v>1405</v>
      </c>
    </row>
    <row r="618" spans="2:6" ht="15">
      <c r="B618" s="126">
        <v>702</v>
      </c>
      <c r="D618" s="128" t="s">
        <v>1409</v>
      </c>
      <c r="E618" s="144" t="s">
        <v>1406</v>
      </c>
      <c r="F618" s="144" t="s">
        <v>1406</v>
      </c>
    </row>
    <row r="619" spans="2:6" ht="15">
      <c r="B619" s="126">
        <v>703</v>
      </c>
      <c r="D619" s="128" t="s">
        <v>1410</v>
      </c>
      <c r="E619" s="144" t="s">
        <v>1412</v>
      </c>
      <c r="F619" s="144" t="s">
        <v>1412</v>
      </c>
    </row>
    <row r="620" spans="2:6" ht="15">
      <c r="B620" s="126">
        <v>704</v>
      </c>
      <c r="D620" s="128" t="s">
        <v>1411</v>
      </c>
      <c r="E620" s="144" t="s">
        <v>1407</v>
      </c>
      <c r="F620" s="144" t="s">
        <v>1407</v>
      </c>
    </row>
    <row r="621" spans="2:6" ht="15">
      <c r="B621" s="126">
        <v>705</v>
      </c>
      <c r="D621" s="128" t="s">
        <v>1422</v>
      </c>
      <c r="E621" s="143" t="s">
        <v>1423</v>
      </c>
      <c r="F621" s="143" t="s">
        <v>1423</v>
      </c>
    </row>
    <row r="622" spans="2:6" ht="15">
      <c r="B622" s="126">
        <v>706</v>
      </c>
      <c r="D622" s="128" t="s">
        <v>1430</v>
      </c>
      <c r="E622" s="143" t="s">
        <v>1431</v>
      </c>
      <c r="F622" s="143" t="s">
        <v>1431</v>
      </c>
    </row>
    <row r="623" spans="2:6" ht="13">
      <c r="B623" s="126">
        <v>707</v>
      </c>
      <c r="D623" s="128" t="s">
        <v>1424</v>
      </c>
      <c r="E623" s="128" t="s">
        <v>1427</v>
      </c>
      <c r="F623" s="128" t="s">
        <v>1427</v>
      </c>
    </row>
    <row r="624" spans="2:6" ht="13">
      <c r="B624" s="126">
        <v>708</v>
      </c>
      <c r="D624" s="128" t="s">
        <v>1425</v>
      </c>
      <c r="E624" s="128" t="s">
        <v>1428</v>
      </c>
      <c r="F624" s="128" t="s">
        <v>1428</v>
      </c>
    </row>
    <row r="625" spans="2:6" ht="15">
      <c r="B625" s="126">
        <v>709</v>
      </c>
      <c r="D625" s="128" t="s">
        <v>1426</v>
      </c>
      <c r="E625" s="144" t="s">
        <v>1435</v>
      </c>
      <c r="F625" s="128" t="s">
        <v>1429</v>
      </c>
    </row>
    <row r="626" spans="2:6" ht="15">
      <c r="B626" s="126">
        <v>710</v>
      </c>
      <c r="D626" s="128" t="s">
        <v>1501</v>
      </c>
      <c r="E626" s="143" t="s">
        <v>1502</v>
      </c>
      <c r="F626" s="143" t="s">
        <v>1502</v>
      </c>
    </row>
    <row r="627" spans="2:6" ht="30">
      <c r="B627" s="126">
        <v>711</v>
      </c>
      <c r="D627" s="128" t="s">
        <v>1506</v>
      </c>
      <c r="E627" s="190" t="s">
        <v>1505</v>
      </c>
      <c r="F627" s="190" t="s">
        <v>1505</v>
      </c>
    </row>
    <row r="628" spans="2:6" s="214" customFormat="1" ht="15">
      <c r="B628" s="126">
        <v>712</v>
      </c>
      <c r="C628" s="215" t="s">
        <v>500</v>
      </c>
      <c r="D628" s="216" t="s">
        <v>516</v>
      </c>
      <c r="E628" s="216" t="s">
        <v>1613</v>
      </c>
      <c r="F628" s="216" t="s">
        <v>1613</v>
      </c>
    </row>
  </sheetData>
  <sortState xmlns:xlrd2="http://schemas.microsoft.com/office/spreadsheetml/2017/richdata2" ref="A17:AA581">
    <sortCondition ref="D17:D581"/>
  </sortState>
  <phoneticPr fontId="1" type="noConversion"/>
  <hyperlinks>
    <hyperlink ref="E600" r:id="rId1" xr:uid="{00000000-0004-0000-0600-000000000000}"/>
    <hyperlink ref="F600" r:id="rId2" xr:uid="{00000000-0004-0000-0600-000001000000}"/>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19"/>
  <sheetViews>
    <sheetView zoomScale="85" zoomScaleNormal="85" workbookViewId="0">
      <pane ySplit="1" topLeftCell="A2" activePane="bottomLeft" state="frozen"/>
      <selection pane="bottomLeft" activeCell="C9" sqref="C9"/>
    </sheetView>
  </sheetViews>
  <sheetFormatPr baseColWidth="10" defaultColWidth="10" defaultRowHeight="14"/>
  <cols>
    <col min="1" max="1" width="6.1640625" style="68" customWidth="1"/>
    <col min="2" max="2" width="33.1640625" style="68" bestFit="1" customWidth="1"/>
    <col min="3" max="3" width="20.1640625" style="67" customWidth="1"/>
    <col min="4" max="4" width="23.1640625" style="67" customWidth="1"/>
    <col min="5" max="5" width="10" style="67" customWidth="1"/>
    <col min="6" max="6" width="15.1640625" style="67" customWidth="1"/>
    <col min="7" max="7" width="21.1640625" style="67" bestFit="1" customWidth="1"/>
    <col min="8" max="8" width="40.33203125" style="68" customWidth="1"/>
    <col min="9" max="9" width="23.6640625" style="68" bestFit="1" customWidth="1"/>
    <col min="10" max="10" width="9.5" style="68" bestFit="1" customWidth="1"/>
    <col min="11" max="11" width="22.5" style="68" bestFit="1" customWidth="1"/>
    <col min="12" max="12" width="60.6640625" style="68" bestFit="1" customWidth="1"/>
    <col min="13" max="13" width="25.1640625" style="68" bestFit="1" customWidth="1"/>
    <col min="14" max="14" width="4.6640625" style="68" bestFit="1" customWidth="1"/>
    <col min="15" max="15" width="23" style="68" bestFit="1" customWidth="1"/>
    <col min="16" max="16" width="8" style="68" bestFit="1" customWidth="1"/>
    <col min="17" max="17" width="28.33203125" style="68" bestFit="1" customWidth="1"/>
    <col min="18" max="18" width="6" style="68" bestFit="1" customWidth="1"/>
    <col min="19" max="19" width="27.6640625" style="68" bestFit="1" customWidth="1"/>
    <col min="20" max="20" width="4.6640625" style="68" bestFit="1" customWidth="1"/>
    <col min="21" max="21" width="24.33203125" style="68" bestFit="1" customWidth="1"/>
    <col min="22" max="22" width="4.1640625" style="68" bestFit="1" customWidth="1"/>
    <col min="23" max="23" width="28.83203125" style="68" bestFit="1" customWidth="1"/>
    <col min="24" max="24" width="8" style="68" bestFit="1" customWidth="1"/>
    <col min="25" max="25" width="22.6640625" style="68" bestFit="1" customWidth="1"/>
    <col min="26" max="26" width="4.83203125" style="68" bestFit="1" customWidth="1"/>
    <col min="27" max="27" width="24.33203125" style="68" customWidth="1"/>
    <col min="28" max="28" width="7.33203125" style="68" hidden="1" customWidth="1"/>
    <col min="29" max="29" width="19.6640625" style="68" bestFit="1" customWidth="1"/>
    <col min="30" max="30" width="4.1640625" style="68" bestFit="1" customWidth="1"/>
    <col min="31" max="31" width="15.33203125" style="68" bestFit="1" customWidth="1"/>
    <col min="32" max="32" width="39.6640625" style="68" bestFit="1" customWidth="1"/>
    <col min="33" max="33" width="35.6640625" style="68" bestFit="1" customWidth="1"/>
    <col min="34" max="34" width="4.83203125" style="68" bestFit="1" customWidth="1"/>
    <col min="35" max="35" width="24.1640625" style="68" bestFit="1" customWidth="1"/>
    <col min="36" max="36" width="8.6640625" style="68" bestFit="1" customWidth="1"/>
    <col min="37" max="37" width="26" style="68" bestFit="1" customWidth="1"/>
    <col min="38" max="38" width="4.6640625" style="68" bestFit="1" customWidth="1"/>
    <col min="39" max="39" width="35.6640625" style="68" bestFit="1" customWidth="1"/>
    <col min="40" max="40" width="33.33203125" style="68" bestFit="1" customWidth="1"/>
    <col min="41" max="41" width="22.6640625" style="68" bestFit="1" customWidth="1"/>
    <col min="42" max="42" width="5.1640625" style="68" bestFit="1" customWidth="1"/>
    <col min="43" max="43" width="16.6640625" style="68" bestFit="1" customWidth="1"/>
    <col min="44" max="44" width="93.33203125" style="68" bestFit="1" customWidth="1"/>
    <col min="45" max="45" width="21" style="68" bestFit="1" customWidth="1"/>
    <col min="46" max="46" width="5.5" style="68" bestFit="1" customWidth="1"/>
    <col min="47" max="47" width="14.83203125" style="68" bestFit="1" customWidth="1"/>
    <col min="48" max="48" width="28.6640625" style="68" bestFit="1" customWidth="1"/>
    <col min="49" max="49" width="22.6640625" style="68" bestFit="1" customWidth="1"/>
    <col min="50" max="50" width="4.83203125" style="68" bestFit="1" customWidth="1"/>
    <col min="51" max="51" width="15.6640625" style="68" bestFit="1" customWidth="1"/>
    <col min="52" max="53" width="13.1640625" style="68" bestFit="1" customWidth="1"/>
    <col min="54" max="55" width="14.83203125" style="68" bestFit="1" customWidth="1"/>
    <col min="56" max="57" width="22.6640625" style="68" bestFit="1" customWidth="1"/>
    <col min="58" max="59" width="15.6640625" style="68" bestFit="1" customWidth="1"/>
    <col min="60" max="61" width="13.1640625" style="68" bestFit="1" customWidth="1"/>
    <col min="62" max="63" width="14.83203125" style="68" bestFit="1" customWidth="1"/>
    <col min="64" max="65" width="22.6640625" style="68" bestFit="1" customWidth="1"/>
    <col min="66" max="66" width="10" style="68"/>
    <col min="67" max="67" width="33.664062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1" t="s">
        <v>608</v>
      </c>
      <c r="B2" s="121" t="s">
        <v>6</v>
      </c>
      <c r="C2" s="122" t="s">
        <v>7</v>
      </c>
      <c r="D2" s="122"/>
      <c r="E2" s="122"/>
      <c r="F2" s="122"/>
      <c r="G2" s="122"/>
      <c r="H2" s="122" t="s">
        <v>8</v>
      </c>
    </row>
    <row r="3" spans="1:8">
      <c r="A3" s="121" t="s">
        <v>608</v>
      </c>
      <c r="B3" s="121" t="s">
        <v>323</v>
      </c>
      <c r="C3" s="122" t="s">
        <v>7</v>
      </c>
      <c r="D3" s="122"/>
      <c r="E3" s="122"/>
      <c r="F3" s="122"/>
      <c r="G3" s="122"/>
      <c r="H3" s="122" t="s">
        <v>8</v>
      </c>
    </row>
    <row r="4" spans="1:8">
      <c r="A4" s="121" t="s">
        <v>608</v>
      </c>
      <c r="B4" s="121" t="s">
        <v>9</v>
      </c>
      <c r="C4" s="137" t="s">
        <v>324</v>
      </c>
      <c r="D4" s="122"/>
      <c r="E4" s="122"/>
      <c r="F4" s="122"/>
      <c r="G4" s="122"/>
      <c r="H4" s="122" t="s">
        <v>8</v>
      </c>
    </row>
    <row r="5" spans="1:8">
      <c r="A5" s="121" t="s">
        <v>608</v>
      </c>
      <c r="B5" s="121" t="s">
        <v>10</v>
      </c>
      <c r="C5" s="122" t="s">
        <v>11</v>
      </c>
      <c r="D5" s="122"/>
      <c r="E5" s="122"/>
      <c r="F5" s="122"/>
      <c r="G5" s="122"/>
      <c r="H5" s="122" t="s">
        <v>8</v>
      </c>
    </row>
    <row r="6" spans="1:8">
      <c r="A6" s="121" t="s">
        <v>608</v>
      </c>
      <c r="B6" s="121" t="s">
        <v>12</v>
      </c>
      <c r="C6" s="138" t="s">
        <v>1301</v>
      </c>
      <c r="D6" s="122"/>
      <c r="E6" s="122"/>
      <c r="F6" s="122"/>
      <c r="G6" s="122"/>
      <c r="H6" s="122" t="s">
        <v>8</v>
      </c>
    </row>
    <row r="7" spans="1:8">
      <c r="A7" s="121" t="s">
        <v>608</v>
      </c>
      <c r="B7" s="121" t="s">
        <v>13</v>
      </c>
      <c r="C7" s="121" t="s">
        <v>7</v>
      </c>
      <c r="D7" s="122"/>
      <c r="E7" s="122"/>
      <c r="F7" s="122"/>
      <c r="G7" s="122"/>
      <c r="H7" s="122" t="s">
        <v>8</v>
      </c>
    </row>
    <row r="8" spans="1:8">
      <c r="A8" s="140" t="s">
        <v>608</v>
      </c>
      <c r="B8" s="140" t="s">
        <v>14</v>
      </c>
      <c r="C8" s="141" t="s">
        <v>1386</v>
      </c>
      <c r="D8" s="142" t="s">
        <v>1226</v>
      </c>
      <c r="E8" s="142">
        <v>82</v>
      </c>
      <c r="F8" s="142"/>
      <c r="G8" s="140"/>
      <c r="H8" s="142" t="s">
        <v>698</v>
      </c>
    </row>
    <row r="9" spans="1:8">
      <c r="A9" s="121" t="s">
        <v>608</v>
      </c>
      <c r="B9" s="121" t="s">
        <v>15</v>
      </c>
      <c r="C9" s="139">
        <v>46119</v>
      </c>
      <c r="D9" s="122"/>
      <c r="E9" s="122"/>
      <c r="F9" s="122"/>
      <c r="G9" s="122"/>
      <c r="H9" s="122" t="s">
        <v>8</v>
      </c>
    </row>
    <row r="10" spans="1:8">
      <c r="A10" s="121" t="s">
        <v>608</v>
      </c>
      <c r="B10" s="121" t="s">
        <v>16</v>
      </c>
      <c r="C10" s="122" t="s">
        <v>17</v>
      </c>
      <c r="D10" s="122"/>
      <c r="E10" s="122"/>
      <c r="F10" s="122"/>
      <c r="G10" s="122"/>
      <c r="H10" s="122" t="s">
        <v>8</v>
      </c>
    </row>
    <row r="11" spans="1:8">
      <c r="A11" s="68" t="s">
        <v>737</v>
      </c>
      <c r="B11" s="68" t="s">
        <v>713</v>
      </c>
      <c r="C11" s="67">
        <v>1</v>
      </c>
      <c r="G11" s="70">
        <v>46254.700914351852</v>
      </c>
    </row>
    <row r="12" spans="1:8">
      <c r="A12" s="68" t="s">
        <v>737</v>
      </c>
      <c r="B12" s="68" t="s">
        <v>712</v>
      </c>
      <c r="C12" s="67">
        <v>1</v>
      </c>
    </row>
    <row r="13" spans="1:8">
      <c r="A13" s="68" t="s">
        <v>737</v>
      </c>
      <c r="B13" s="68" t="s">
        <v>650</v>
      </c>
      <c r="C13" s="67">
        <v>1</v>
      </c>
      <c r="G13" s="70">
        <v>46254.700914351852</v>
      </c>
    </row>
    <row r="14" spans="1:8">
      <c r="A14" s="68" t="s">
        <v>737</v>
      </c>
      <c r="B14" s="68" t="s">
        <v>651</v>
      </c>
      <c r="C14" s="67">
        <v>0</v>
      </c>
      <c r="G14" s="70">
        <v>46254.700914351852</v>
      </c>
    </row>
    <row r="15" spans="1:8">
      <c r="A15" s="68" t="s">
        <v>737</v>
      </c>
      <c r="B15" s="68" t="s">
        <v>649</v>
      </c>
      <c r="C15" s="67">
        <v>1</v>
      </c>
      <c r="G15" s="70">
        <v>46254.700914351852</v>
      </c>
    </row>
    <row r="16" spans="1:8">
      <c r="A16" s="68" t="s">
        <v>737</v>
      </c>
      <c r="B16" s="68" t="s">
        <v>700</v>
      </c>
      <c r="C16" s="67">
        <v>1</v>
      </c>
      <c r="G16" s="70">
        <v>46254.700914351852</v>
      </c>
    </row>
    <row r="17" spans="1:7">
      <c r="A17" s="68" t="s">
        <v>737</v>
      </c>
      <c r="B17" s="68" t="s">
        <v>707</v>
      </c>
      <c r="C17" s="67">
        <v>1</v>
      </c>
      <c r="G17" s="70">
        <v>46254.700914351852</v>
      </c>
    </row>
    <row r="18" spans="1:7">
      <c r="A18" s="68" t="s">
        <v>737</v>
      </c>
      <c r="B18" s="68" t="s">
        <v>708</v>
      </c>
      <c r="C18" s="67">
        <v>1</v>
      </c>
      <c r="G18" s="70">
        <v>46254.700914351852</v>
      </c>
    </row>
    <row r="19" spans="1:7">
      <c r="A19" s="68" t="s">
        <v>737</v>
      </c>
      <c r="B19" s="68" t="s">
        <v>706</v>
      </c>
      <c r="C19" s="69" t="s">
        <v>1503</v>
      </c>
      <c r="G19" s="70">
        <v>46254.700914351852</v>
      </c>
    </row>
    <row r="20" spans="1:7">
      <c r="A20" s="68" t="s">
        <v>737</v>
      </c>
      <c r="B20" s="68" t="s">
        <v>652</v>
      </c>
      <c r="C20" s="67">
        <v>0</v>
      </c>
      <c r="G20" s="70">
        <v>46254.700914351852</v>
      </c>
    </row>
    <row r="21" spans="1:7">
      <c r="A21" s="68" t="s">
        <v>737</v>
      </c>
      <c r="B21" s="68" t="s">
        <v>705</v>
      </c>
      <c r="C21" s="67">
        <v>0</v>
      </c>
      <c r="G21" s="70">
        <v>46254.700914351852</v>
      </c>
    </row>
    <row r="22" spans="1:7">
      <c r="A22" s="68" t="s">
        <v>737</v>
      </c>
      <c r="B22" s="68" t="s">
        <v>709</v>
      </c>
      <c r="C22" s="67">
        <v>1</v>
      </c>
      <c r="G22" s="70">
        <v>46254.700914351852</v>
      </c>
    </row>
    <row r="23" spans="1:7">
      <c r="A23" s="68" t="s">
        <v>737</v>
      </c>
      <c r="B23" s="68" t="s">
        <v>654</v>
      </c>
      <c r="C23" s="67">
        <v>1</v>
      </c>
      <c r="G23" s="70">
        <v>46254.700914351852</v>
      </c>
    </row>
    <row r="24" spans="1:7">
      <c r="A24" s="68" t="s">
        <v>737</v>
      </c>
      <c r="B24" s="68" t="s">
        <v>702</v>
      </c>
      <c r="C24" s="69">
        <v>46560</v>
      </c>
      <c r="G24" s="70">
        <v>46254.700914351852</v>
      </c>
    </row>
    <row r="25" spans="1:7">
      <c r="A25" s="68" t="s">
        <v>737</v>
      </c>
      <c r="B25" s="68" t="s">
        <v>699</v>
      </c>
      <c r="C25" s="67" t="s">
        <v>1620</v>
      </c>
      <c r="G25" s="70">
        <v>46254.700914351852</v>
      </c>
    </row>
    <row r="26" spans="1:7">
      <c r="A26" s="68" t="s">
        <v>737</v>
      </c>
      <c r="B26" s="68" t="s">
        <v>701</v>
      </c>
      <c r="C26" s="69">
        <v>46196</v>
      </c>
      <c r="G26" s="70">
        <v>46254.700914351852</v>
      </c>
    </row>
    <row r="27" spans="1:7">
      <c r="A27" s="68" t="s">
        <v>737</v>
      </c>
      <c r="B27" s="68" t="s">
        <v>703</v>
      </c>
      <c r="C27" s="67" t="s">
        <v>1227</v>
      </c>
      <c r="G27" s="70">
        <v>46254.666250000002</v>
      </c>
    </row>
    <row r="28" spans="1:7">
      <c r="A28" s="68" t="s">
        <v>737</v>
      </c>
      <c r="B28" s="68" t="s">
        <v>704</v>
      </c>
      <c r="C28" s="67">
        <v>0</v>
      </c>
      <c r="G28" s="70">
        <v>46254.700914351852</v>
      </c>
    </row>
    <row r="29" spans="1:7">
      <c r="A29" s="68" t="s">
        <v>737</v>
      </c>
      <c r="B29" s="68" t="s">
        <v>710</v>
      </c>
      <c r="C29" s="67">
        <v>20</v>
      </c>
      <c r="G29" s="70">
        <v>46254.700914351852</v>
      </c>
    </row>
    <row r="30" spans="1:7">
      <c r="A30" s="68" t="s">
        <v>737</v>
      </c>
      <c r="B30" s="68" t="s">
        <v>711</v>
      </c>
      <c r="C30" s="67">
        <v>10</v>
      </c>
      <c r="G30" s="70">
        <v>46254.700914351852</v>
      </c>
    </row>
    <row r="31" spans="1:7">
      <c r="A31" s="68" t="s">
        <v>1230</v>
      </c>
      <c r="B31" s="68" t="s">
        <v>1231</v>
      </c>
      <c r="C31" s="67">
        <v>-4135</v>
      </c>
      <c r="F31" s="70"/>
      <c r="G31" s="70">
        <v>46254.722615740742</v>
      </c>
    </row>
    <row r="32" spans="1:7">
      <c r="A32" s="68" t="s">
        <v>738</v>
      </c>
      <c r="B32" s="68" t="s">
        <v>720</v>
      </c>
      <c r="C32" s="67">
        <v>1</v>
      </c>
      <c r="G32" s="70">
        <v>46254.700914351852</v>
      </c>
    </row>
    <row r="33" spans="1:7">
      <c r="A33" s="68" t="s">
        <v>738</v>
      </c>
      <c r="B33" s="68" t="s">
        <v>723</v>
      </c>
      <c r="C33" s="67">
        <v>0</v>
      </c>
    </row>
    <row r="34" spans="1:7">
      <c r="A34" s="68" t="s">
        <v>738</v>
      </c>
      <c r="B34" s="68" t="s">
        <v>655</v>
      </c>
      <c r="C34" s="67">
        <v>1</v>
      </c>
      <c r="G34" s="70">
        <v>46254.700914351852</v>
      </c>
    </row>
    <row r="35" spans="1:7">
      <c r="A35" s="68" t="s">
        <v>738</v>
      </c>
      <c r="B35" s="68" t="s">
        <v>657</v>
      </c>
      <c r="C35" s="67">
        <v>1</v>
      </c>
      <c r="G35" s="70">
        <v>46254.700914351852</v>
      </c>
    </row>
    <row r="36" spans="1:7">
      <c r="A36" s="68" t="s">
        <v>738</v>
      </c>
      <c r="B36" s="68" t="s">
        <v>656</v>
      </c>
      <c r="C36" s="67">
        <v>1</v>
      </c>
      <c r="G36" s="70">
        <v>46254.700914351852</v>
      </c>
    </row>
    <row r="37" spans="1:7">
      <c r="A37" s="68" t="s">
        <v>738</v>
      </c>
      <c r="B37" s="68" t="s">
        <v>714</v>
      </c>
      <c r="C37" s="67">
        <v>0</v>
      </c>
      <c r="G37" s="70">
        <v>46254.700914351852</v>
      </c>
    </row>
    <row r="38" spans="1:7">
      <c r="A38" s="68" t="s">
        <v>738</v>
      </c>
      <c r="B38" s="68" t="s">
        <v>717</v>
      </c>
      <c r="C38" s="67">
        <v>1</v>
      </c>
      <c r="G38" s="70">
        <v>46254.700914351852</v>
      </c>
    </row>
    <row r="39" spans="1:7">
      <c r="A39" s="68" t="s">
        <v>738</v>
      </c>
      <c r="B39" s="68" t="s">
        <v>728</v>
      </c>
      <c r="C39" s="67">
        <v>2</v>
      </c>
      <c r="G39" s="70">
        <v>46254.700914351852</v>
      </c>
    </row>
    <row r="40" spans="1:7">
      <c r="A40" s="68" t="s">
        <v>738</v>
      </c>
      <c r="B40" s="68" t="s">
        <v>718</v>
      </c>
      <c r="C40" s="67">
        <v>0.7</v>
      </c>
    </row>
    <row r="41" spans="1:7">
      <c r="A41" s="68" t="s">
        <v>738</v>
      </c>
      <c r="B41" s="68" t="s">
        <v>727</v>
      </c>
      <c r="C41" s="67">
        <v>1</v>
      </c>
      <c r="G41" s="70">
        <v>46254.700914351852</v>
      </c>
    </row>
    <row r="42" spans="1:7">
      <c r="A42" s="68" t="s">
        <v>738</v>
      </c>
      <c r="B42" s="68" t="s">
        <v>721</v>
      </c>
      <c r="C42" s="67">
        <v>1</v>
      </c>
      <c r="G42" s="70">
        <v>46254.700914351852</v>
      </c>
    </row>
    <row r="43" spans="1:7">
      <c r="A43" s="68" t="s">
        <v>738</v>
      </c>
      <c r="B43" s="68" t="s">
        <v>731</v>
      </c>
      <c r="C43" s="67">
        <v>-4131</v>
      </c>
      <c r="G43" s="70">
        <v>46254.700914351852</v>
      </c>
    </row>
    <row r="44" spans="1:7">
      <c r="A44" s="68" t="s">
        <v>738</v>
      </c>
      <c r="B44" s="68" t="s">
        <v>722</v>
      </c>
      <c r="C44" s="67">
        <v>7</v>
      </c>
      <c r="G44" s="70">
        <v>46254.700914351852</v>
      </c>
    </row>
    <row r="45" spans="1:7">
      <c r="A45" s="68" t="s">
        <v>738</v>
      </c>
      <c r="B45" s="68" t="s">
        <v>724</v>
      </c>
      <c r="C45" s="67">
        <v>0</v>
      </c>
      <c r="G45" s="70">
        <v>46254.700914351852</v>
      </c>
    </row>
    <row r="46" spans="1:7">
      <c r="A46" s="68" t="s">
        <v>738</v>
      </c>
      <c r="B46" s="68" t="s">
        <v>725</v>
      </c>
      <c r="C46" s="67">
        <v>1</v>
      </c>
      <c r="G46" s="70">
        <v>46254.700914351852</v>
      </c>
    </row>
    <row r="47" spans="1:7">
      <c r="A47" s="68" t="s">
        <v>738</v>
      </c>
      <c r="B47" s="68" t="s">
        <v>726</v>
      </c>
      <c r="C47" s="67">
        <v>1</v>
      </c>
      <c r="G47" s="70">
        <v>46254.700914351852</v>
      </c>
    </row>
    <row r="48" spans="1:7">
      <c r="A48" s="68" t="s">
        <v>738</v>
      </c>
      <c r="B48" s="68" t="s">
        <v>715</v>
      </c>
      <c r="C48" s="67">
        <v>1</v>
      </c>
    </row>
    <row r="49" spans="1:7">
      <c r="A49" s="68" t="s">
        <v>738</v>
      </c>
      <c r="B49" s="68" t="s">
        <v>716</v>
      </c>
      <c r="C49" s="67">
        <v>0</v>
      </c>
    </row>
    <row r="50" spans="1:7">
      <c r="A50" s="68" t="s">
        <v>738</v>
      </c>
      <c r="B50" s="68" t="s">
        <v>719</v>
      </c>
      <c r="C50" s="67">
        <v>2</v>
      </c>
      <c r="G50" s="70">
        <v>46254.700914351852</v>
      </c>
    </row>
    <row r="51" spans="1:7">
      <c r="A51" s="68" t="s">
        <v>738</v>
      </c>
      <c r="B51" s="68" t="s">
        <v>730</v>
      </c>
      <c r="C51" s="67" t="s">
        <v>1249</v>
      </c>
      <c r="G51" s="70">
        <v>45811.505787037036</v>
      </c>
    </row>
    <row r="52" spans="1:7">
      <c r="A52" s="68" t="s">
        <v>738</v>
      </c>
      <c r="B52" s="68" t="s">
        <v>653</v>
      </c>
      <c r="C52" s="67">
        <v>100</v>
      </c>
      <c r="G52" s="70">
        <v>46254.700914351852</v>
      </c>
    </row>
    <row r="53" spans="1:7">
      <c r="A53" s="68" t="s">
        <v>738</v>
      </c>
      <c r="B53" s="68" t="s">
        <v>729</v>
      </c>
      <c r="C53" s="67">
        <v>9</v>
      </c>
    </row>
    <row r="54" spans="1:7">
      <c r="A54" s="68" t="s">
        <v>1243</v>
      </c>
      <c r="B54" s="68" t="s">
        <v>1244</v>
      </c>
      <c r="C54" s="67">
        <v>1</v>
      </c>
      <c r="F54" s="70">
        <v>45811.009814814817</v>
      </c>
      <c r="G54" s="70">
        <v>46254.700914351852</v>
      </c>
    </row>
    <row r="55" spans="1:7">
      <c r="A55" s="68" t="s">
        <v>739</v>
      </c>
      <c r="B55" s="68" t="s">
        <v>616</v>
      </c>
      <c r="C55" s="67">
        <v>1</v>
      </c>
      <c r="G55" s="70">
        <v>46254.700914351852</v>
      </c>
    </row>
    <row r="56" spans="1:7">
      <c r="A56" s="68" t="s">
        <v>739</v>
      </c>
      <c r="B56" s="68" t="s">
        <v>732</v>
      </c>
      <c r="C56" s="67" t="s">
        <v>1504</v>
      </c>
      <c r="G56" s="70">
        <v>46254.700914351852</v>
      </c>
    </row>
    <row r="57" spans="1:7">
      <c r="A57" s="68" t="s">
        <v>739</v>
      </c>
      <c r="B57" s="68" t="s">
        <v>615</v>
      </c>
      <c r="C57" s="67" t="s">
        <v>658</v>
      </c>
      <c r="G57" s="70">
        <v>46116.969467592593</v>
      </c>
    </row>
    <row r="58" spans="1:7">
      <c r="A58" s="68" t="s">
        <v>739</v>
      </c>
      <c r="B58" s="68" t="s">
        <v>614</v>
      </c>
      <c r="C58" s="67" t="s">
        <v>658</v>
      </c>
      <c r="G58" s="70">
        <v>46254.700914351852</v>
      </c>
    </row>
    <row r="59" spans="1:7">
      <c r="A59" s="68" t="s">
        <v>688</v>
      </c>
      <c r="B59" s="68" t="s">
        <v>735</v>
      </c>
      <c r="C59" s="67">
        <v>82</v>
      </c>
      <c r="G59" s="70">
        <v>46254.700914351852</v>
      </c>
    </row>
    <row r="60" spans="1:7">
      <c r="A60" s="68" t="s">
        <v>688</v>
      </c>
      <c r="B60" s="68" t="s">
        <v>734</v>
      </c>
      <c r="C60" s="67">
        <v>1</v>
      </c>
      <c r="G60" s="70">
        <v>46254.700914351852</v>
      </c>
    </row>
    <row r="61" spans="1:7">
      <c r="A61" s="68" t="s">
        <v>688</v>
      </c>
      <c r="B61" s="68" t="s">
        <v>733</v>
      </c>
      <c r="C61" s="67">
        <v>82</v>
      </c>
      <c r="G61" s="70">
        <v>46118.934374999997</v>
      </c>
    </row>
    <row r="62" spans="1:7">
      <c r="A62" s="68" t="s">
        <v>688</v>
      </c>
      <c r="B62" s="68" t="s">
        <v>736</v>
      </c>
      <c r="C62" s="67" t="s">
        <v>569</v>
      </c>
      <c r="G62" s="70">
        <v>46254.700914351852</v>
      </c>
    </row>
    <row r="63" spans="1:7">
      <c r="A63" s="68" t="s">
        <v>740</v>
      </c>
      <c r="B63" s="68" t="s">
        <v>643</v>
      </c>
      <c r="C63" s="67" t="b">
        <v>0</v>
      </c>
      <c r="G63" s="70">
        <v>46254.700914351852</v>
      </c>
    </row>
    <row r="64" spans="1:7">
      <c r="A64" s="68" t="s">
        <v>740</v>
      </c>
      <c r="B64" s="68" t="s">
        <v>644</v>
      </c>
      <c r="C64" s="67" t="b">
        <v>0</v>
      </c>
      <c r="G64" s="70">
        <v>46254.700914351852</v>
      </c>
    </row>
    <row r="65" spans="1:7">
      <c r="A65" s="68" t="s">
        <v>740</v>
      </c>
      <c r="B65" s="68" t="s">
        <v>645</v>
      </c>
      <c r="C65" s="67" t="b">
        <v>1</v>
      </c>
      <c r="G65" s="70">
        <v>46254.700914351852</v>
      </c>
    </row>
    <row r="66" spans="1:7">
      <c r="A66" s="68" t="s">
        <v>740</v>
      </c>
      <c r="B66" s="68" t="s">
        <v>627</v>
      </c>
      <c r="C66" s="67" t="b">
        <v>1</v>
      </c>
      <c r="G66" s="70">
        <v>46254.700914351852</v>
      </c>
    </row>
    <row r="67" spans="1:7">
      <c r="A67" s="68" t="s">
        <v>740</v>
      </c>
      <c r="B67" s="68" t="s">
        <v>628</v>
      </c>
      <c r="C67" s="67" t="b">
        <v>1</v>
      </c>
      <c r="G67" s="70">
        <v>46254.700914351852</v>
      </c>
    </row>
    <row r="68" spans="1:7">
      <c r="A68" s="68" t="s">
        <v>740</v>
      </c>
      <c r="B68" s="68" t="s">
        <v>629</v>
      </c>
      <c r="C68" s="67" t="b">
        <v>1</v>
      </c>
      <c r="G68" s="70">
        <v>46254.700914351852</v>
      </c>
    </row>
    <row r="69" spans="1:7">
      <c r="A69" s="68" t="s">
        <v>740</v>
      </c>
      <c r="B69" s="68" t="s">
        <v>630</v>
      </c>
      <c r="C69" s="67" t="b">
        <v>1</v>
      </c>
      <c r="G69" s="70">
        <v>46254.700914351852</v>
      </c>
    </row>
    <row r="70" spans="1:7">
      <c r="A70" s="68" t="s">
        <v>740</v>
      </c>
      <c r="B70" s="68" t="s">
        <v>631</v>
      </c>
      <c r="G70" s="70">
        <v>46254.700914351852</v>
      </c>
    </row>
    <row r="71" spans="1:7">
      <c r="A71" s="68" t="s">
        <v>740</v>
      </c>
      <c r="B71" s="68" t="s">
        <v>646</v>
      </c>
      <c r="C71" s="67" t="s">
        <v>668</v>
      </c>
      <c r="G71" s="70">
        <v>46254.700914351852</v>
      </c>
    </row>
    <row r="72" spans="1:7">
      <c r="A72" s="68" t="s">
        <v>740</v>
      </c>
      <c r="B72" s="68" t="s">
        <v>648</v>
      </c>
      <c r="C72" s="67" t="s">
        <v>670</v>
      </c>
      <c r="G72" s="70">
        <v>46254.700914351852</v>
      </c>
    </row>
    <row r="73" spans="1:7">
      <c r="A73" s="68" t="s">
        <v>740</v>
      </c>
      <c r="B73" s="68" t="s">
        <v>647</v>
      </c>
      <c r="C73" s="67" t="s">
        <v>669</v>
      </c>
      <c r="G73" s="70">
        <v>46254.700914351852</v>
      </c>
    </row>
    <row r="74" spans="1:7">
      <c r="A74" s="68" t="s">
        <v>740</v>
      </c>
      <c r="B74" s="68" t="s">
        <v>633</v>
      </c>
      <c r="C74" s="67" t="s">
        <v>665</v>
      </c>
      <c r="G74" s="70">
        <v>46254.700914351852</v>
      </c>
    </row>
    <row r="75" spans="1:7">
      <c r="A75" s="68" t="s">
        <v>740</v>
      </c>
      <c r="B75" s="68" t="s">
        <v>636</v>
      </c>
      <c r="C75" s="67" t="s">
        <v>667</v>
      </c>
      <c r="G75" s="70">
        <v>46254.700914351852</v>
      </c>
    </row>
    <row r="76" spans="1:7">
      <c r="A76" s="68" t="s">
        <v>740</v>
      </c>
      <c r="B76" s="68" t="s">
        <v>635</v>
      </c>
      <c r="C76" s="67" t="s">
        <v>666</v>
      </c>
      <c r="G76" s="70">
        <v>46254.700914351852</v>
      </c>
    </row>
    <row r="77" spans="1:7">
      <c r="A77" s="68" t="s">
        <v>740</v>
      </c>
      <c r="B77" s="68" t="s">
        <v>634</v>
      </c>
      <c r="C77" s="67" t="s">
        <v>1232</v>
      </c>
      <c r="G77" s="70">
        <v>46254.700914351852</v>
      </c>
    </row>
    <row r="78" spans="1:7">
      <c r="A78" s="68" t="s">
        <v>740</v>
      </c>
      <c r="B78" s="68" t="s">
        <v>632</v>
      </c>
      <c r="G78" s="70">
        <v>46254.700914351852</v>
      </c>
    </row>
    <row r="79" spans="1:7">
      <c r="A79" s="68" t="s">
        <v>740</v>
      </c>
      <c r="B79" s="68" t="s">
        <v>637</v>
      </c>
      <c r="C79" s="67" t="s">
        <v>1615</v>
      </c>
      <c r="G79" s="70">
        <v>46254.700914351852</v>
      </c>
    </row>
    <row r="80" spans="1:7">
      <c r="A80" s="68" t="s">
        <v>740</v>
      </c>
      <c r="B80" s="68" t="s">
        <v>642</v>
      </c>
      <c r="C80" s="67" t="s">
        <v>1617</v>
      </c>
      <c r="G80" s="70">
        <v>46254.700914351852</v>
      </c>
    </row>
    <row r="81" spans="1:7">
      <c r="A81" s="68" t="s">
        <v>740</v>
      </c>
      <c r="B81" s="68" t="s">
        <v>641</v>
      </c>
      <c r="C81" s="67" t="s">
        <v>1618</v>
      </c>
      <c r="G81" s="70">
        <v>46254.700914351852</v>
      </c>
    </row>
    <row r="82" spans="1:7">
      <c r="A82" s="68" t="s">
        <v>740</v>
      </c>
      <c r="B82" s="68" t="s">
        <v>622</v>
      </c>
      <c r="C82" s="67" t="s">
        <v>662</v>
      </c>
      <c r="G82" s="70">
        <v>46254.700914351852</v>
      </c>
    </row>
    <row r="83" spans="1:7">
      <c r="A83" s="68" t="s">
        <v>740</v>
      </c>
      <c r="B83" s="68" t="s">
        <v>626</v>
      </c>
      <c r="C83" s="67" t="s">
        <v>664</v>
      </c>
      <c r="G83" s="70">
        <v>46254.700914351852</v>
      </c>
    </row>
    <row r="84" spans="1:7">
      <c r="A84" s="68" t="s">
        <v>740</v>
      </c>
      <c r="B84" s="68" t="s">
        <v>625</v>
      </c>
      <c r="C84" s="67" t="s">
        <v>663</v>
      </c>
      <c r="G84" s="70">
        <v>46254.700914351852</v>
      </c>
    </row>
    <row r="85" spans="1:7">
      <c r="A85" s="68" t="s">
        <v>740</v>
      </c>
      <c r="B85" s="68" t="s">
        <v>624</v>
      </c>
      <c r="C85" s="67" t="s">
        <v>1239</v>
      </c>
      <c r="G85" s="70">
        <v>46254.700914351852</v>
      </c>
    </row>
    <row r="86" spans="1:7">
      <c r="A86" s="68" t="s">
        <v>740</v>
      </c>
      <c r="B86" s="68" t="s">
        <v>623</v>
      </c>
      <c r="G86" s="70">
        <v>46254.700914351852</v>
      </c>
    </row>
    <row r="87" spans="1:7">
      <c r="A87" s="68" t="s">
        <v>740</v>
      </c>
      <c r="B87" s="68" t="s">
        <v>638</v>
      </c>
      <c r="C87" s="67" t="s">
        <v>1616</v>
      </c>
      <c r="G87" s="70">
        <v>46254.700914351852</v>
      </c>
    </row>
    <row r="88" spans="1:7">
      <c r="A88" s="68" t="s">
        <v>740</v>
      </c>
      <c r="B88" s="68" t="s">
        <v>639</v>
      </c>
      <c r="C88" s="67" t="s">
        <v>1616</v>
      </c>
      <c r="G88" s="70">
        <v>46254.700914351852</v>
      </c>
    </row>
    <row r="89" spans="1:7">
      <c r="A89" s="68" t="s">
        <v>740</v>
      </c>
      <c r="B89" s="68" t="s">
        <v>640</v>
      </c>
      <c r="C89" s="67" t="s">
        <v>1616</v>
      </c>
      <c r="G89" s="70">
        <v>46254.700914351852</v>
      </c>
    </row>
    <row r="90" spans="1:7">
      <c r="A90" s="68" t="s">
        <v>740</v>
      </c>
      <c r="B90" s="68" t="s">
        <v>617</v>
      </c>
      <c r="C90" s="67" t="s">
        <v>659</v>
      </c>
      <c r="G90" s="70">
        <v>46254.700914351852</v>
      </c>
    </row>
    <row r="91" spans="1:7">
      <c r="A91" s="68" t="s">
        <v>740</v>
      </c>
      <c r="B91" s="68" t="s">
        <v>618</v>
      </c>
      <c r="C91" s="67" t="s">
        <v>660</v>
      </c>
      <c r="G91" s="70">
        <v>46254.700914351852</v>
      </c>
    </row>
    <row r="92" spans="1:7">
      <c r="A92" s="68" t="s">
        <v>740</v>
      </c>
      <c r="B92" s="68" t="s">
        <v>619</v>
      </c>
      <c r="C92" s="67" t="s">
        <v>661</v>
      </c>
      <c r="G92" s="70">
        <v>46254.700914351852</v>
      </c>
    </row>
    <row r="93" spans="1:7">
      <c r="A93" s="68" t="s">
        <v>740</v>
      </c>
      <c r="B93" s="68" t="s">
        <v>620</v>
      </c>
      <c r="C93" s="67" t="s">
        <v>1233</v>
      </c>
      <c r="G93" s="70">
        <v>46254.700914351852</v>
      </c>
    </row>
    <row r="94" spans="1:7">
      <c r="A94" s="68" t="s">
        <v>740</v>
      </c>
      <c r="B94" s="68" t="s">
        <v>621</v>
      </c>
      <c r="G94" s="70">
        <v>46254.700914351852</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46254.700914351852</v>
      </c>
    </row>
    <row r="112" spans="1:7">
      <c r="A112" s="68" t="s">
        <v>1243</v>
      </c>
      <c r="B112" s="68" t="s">
        <v>1250</v>
      </c>
      <c r="C112" s="67">
        <v>1</v>
      </c>
      <c r="F112" s="70">
        <v>45811.536481481482</v>
      </c>
      <c r="G112" s="70">
        <v>46254.700914351852</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1366</v>
      </c>
      <c r="C118" s="67">
        <v>1</v>
      </c>
      <c r="F118" s="70">
        <v>46096.867928240739</v>
      </c>
      <c r="G118" s="70">
        <v>46254.700914351852</v>
      </c>
    </row>
    <row r="119" spans="1:7">
      <c r="A119" s="68" t="s">
        <v>1230</v>
      </c>
      <c r="B119" s="68" t="s">
        <v>1401</v>
      </c>
      <c r="C119" s="67">
        <v>1</v>
      </c>
      <c r="F119" s="70">
        <v>46103.788634259261</v>
      </c>
      <c r="G119" s="70">
        <v>46254.700914351852</v>
      </c>
    </row>
  </sheetData>
  <sortState xmlns:xlrd2="http://schemas.microsoft.com/office/spreadsheetml/2017/richdata2" ref="A55:AB94">
    <sortCondition ref="A55:A94"/>
    <sortCondition ref="B55:B94"/>
  </sortState>
  <phoneticPr fontId="1" type="noConversion"/>
  <hyperlinks>
    <hyperlink ref="C6" r:id="rId1" xr:uid="{00000000-0004-0000-0700-000000000000}"/>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박지웅</cp:lastModifiedBy>
  <cp:lastPrinted>2022-06-05T11:24:31Z</cp:lastPrinted>
  <dcterms:created xsi:type="dcterms:W3CDTF">2018-02-18T09:45:14Z</dcterms:created>
  <dcterms:modified xsi:type="dcterms:W3CDTF">2026-08-21T00:53:44Z</dcterms:modified>
</cp:coreProperties>
</file>