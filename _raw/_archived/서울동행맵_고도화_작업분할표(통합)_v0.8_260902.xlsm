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xlganttTabId00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82109\Downloads\"/>
    </mc:Choice>
  </mc:AlternateContent>
  <xr:revisionPtr revIDLastSave="0" documentId="13_ncr:1_{1F098BEE-DA5A-474E-96A1-E3019E36880B}" xr6:coauthVersionLast="47" xr6:coauthVersionMax="47" xr10:uidLastSave="{00000000-0000-0000-0000-000000000000}"/>
  <bookViews>
    <workbookView xWindow="-120" yWindow="-120" windowWidth="29040" windowHeight="15720" tabRatio="636" activeTab="1" xr2:uid="{00000000-000D-0000-FFFF-FFFF00000000}"/>
  </bookViews>
  <sheets>
    <sheet name="Help" sheetId="1" r:id="rId1"/>
    <sheet name="Schedule" sheetId="2" r:id="rId2"/>
    <sheet name="Progress" sheetId="3" r:id="rId3"/>
    <sheet name="AnalysisReport" sheetId="4" r:id="rId4"/>
    <sheet name="Progress_Data" sheetId="5" r:id="rId5"/>
    <sheet name="Calendar" sheetId="6" r:id="rId6"/>
    <sheet name="TranslatedLanguages" sheetId="7" state="hidden" r:id="rId7"/>
    <sheet name="Settings" sheetId="8"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Schedule!$D$1:$CP$185</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Calendar!$B$5:$B$287</definedName>
    <definedName name="TOTAL_WORKLOAD">Progress!$B$6</definedName>
    <definedName name="UD_CAL1">Calendar!$E$5:$E$287</definedName>
    <definedName name="UD_CAL2">Calendar!$H$5:$H$287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5" i="2" l="1"/>
  <c r="CF5" i="2"/>
  <c r="AG6" i="2"/>
  <c r="AG7" i="2"/>
  <c r="AG8" i="2"/>
  <c r="AG9" i="2"/>
  <c r="AG10" i="2"/>
  <c r="AP11" i="2"/>
  <c r="CE11" i="2"/>
  <c r="AP12" i="2"/>
  <c r="AT13" i="2"/>
  <c r="AY14" i="2"/>
  <c r="BE15" i="2"/>
  <c r="BG16" i="2"/>
  <c r="BL17" i="2"/>
  <c r="BP18" i="2"/>
  <c r="BX19" i="2"/>
  <c r="BY20" i="2"/>
  <c r="CC21" i="2"/>
  <c r="CE22" i="2"/>
  <c r="CC23" i="2"/>
  <c r="CF23" i="2"/>
  <c r="CC24" i="2"/>
  <c r="CD25" i="2"/>
  <c r="CE26" i="2"/>
  <c r="AJ28" i="2"/>
  <c r="BK28" i="2"/>
  <c r="AO29" i="2"/>
  <c r="AP30" i="2"/>
  <c r="AP31" i="2"/>
  <c r="AP32" i="2"/>
  <c r="AQ33" i="2"/>
  <c r="AK34" i="2"/>
  <c r="BE34" i="2"/>
  <c r="AP35" i="2"/>
  <c r="AQ36" i="2"/>
  <c r="AQ37" i="2"/>
  <c r="AO38" i="2"/>
  <c r="AP39" i="2"/>
  <c r="AP40" i="2"/>
  <c r="AP41" i="2"/>
  <c r="AP42" i="2"/>
  <c r="AK43" i="2"/>
  <c r="AR44" i="2"/>
  <c r="AR45" i="2"/>
  <c r="BE45" i="2"/>
  <c r="AR46" i="2"/>
  <c r="BE46" i="2"/>
  <c r="AR47" i="2"/>
  <c r="BE47" i="2"/>
  <c r="AR48" i="2"/>
  <c r="BE48" i="2"/>
  <c r="AR49" i="2"/>
  <c r="BE49" i="2"/>
  <c r="AT50" i="2"/>
  <c r="BE50" i="2"/>
  <c r="BC51" i="2"/>
  <c r="AR52" i="2"/>
  <c r="AT53" i="2"/>
  <c r="BK53" i="2"/>
  <c r="AT54" i="2"/>
  <c r="BE54" i="2"/>
  <c r="AT55" i="2"/>
  <c r="AT56" i="2"/>
  <c r="BE56" i="2"/>
  <c r="AT57" i="2"/>
  <c r="BE57" i="2"/>
  <c r="AT58" i="2"/>
  <c r="BE58" i="2"/>
  <c r="AT59" i="2"/>
  <c r="AV60" i="2"/>
  <c r="AX61" i="2"/>
  <c r="AZ62" i="2"/>
  <c r="BB63" i="2"/>
  <c r="BD64" i="2"/>
  <c r="AU65" i="2"/>
  <c r="BE65" i="2"/>
  <c r="AT66" i="2"/>
  <c r="BE66" i="2"/>
  <c r="AT67" i="2"/>
  <c r="BE67" i="2"/>
  <c r="AT68" i="2"/>
  <c r="AV69" i="2"/>
  <c r="AX70" i="2"/>
  <c r="AY71" i="2"/>
  <c r="BB72" i="2"/>
  <c r="BD73" i="2"/>
  <c r="AU74" i="2"/>
  <c r="BE74" i="2"/>
  <c r="AT75" i="2"/>
  <c r="BE75" i="2"/>
  <c r="AT76" i="2"/>
  <c r="BE76" i="2"/>
  <c r="AT77" i="2"/>
  <c r="AV78" i="2"/>
  <c r="AY79" i="2"/>
  <c r="BA80" i="2"/>
  <c r="BD81" i="2"/>
  <c r="AU82" i="2"/>
  <c r="BE82" i="2"/>
  <c r="AT83" i="2"/>
  <c r="BE83" i="2"/>
  <c r="AT84" i="2"/>
  <c r="BE84" i="2"/>
  <c r="AT85" i="2"/>
  <c r="AW85" i="2"/>
  <c r="AW86" i="2"/>
  <c r="AZ86" i="2"/>
  <c r="AZ87" i="2"/>
  <c r="BC87" i="2"/>
  <c r="BC88" i="2"/>
  <c r="AU89" i="2"/>
  <c r="BE89" i="2"/>
  <c r="AT90" i="2"/>
  <c r="BE90" i="2"/>
  <c r="AT91" i="2"/>
  <c r="BE91" i="2"/>
  <c r="AT92" i="2"/>
  <c r="AV93" i="2"/>
  <c r="AY94" i="2"/>
  <c r="BA95" i="2"/>
  <c r="BB96" i="2"/>
  <c r="AU97" i="2"/>
  <c r="BE97" i="2"/>
  <c r="BC98" i="2"/>
  <c r="BC99" i="2"/>
  <c r="BC100" i="2"/>
  <c r="BD101" i="2"/>
  <c r="BE102" i="2"/>
  <c r="BC103" i="2"/>
  <c r="BG104" i="2"/>
  <c r="BK104" i="2"/>
  <c r="BG105" i="2"/>
  <c r="BH106" i="2"/>
  <c r="BK106" i="2"/>
  <c r="AT107" i="2"/>
  <c r="AT108" i="2"/>
  <c r="BI109" i="2"/>
  <c r="CB109" i="2"/>
  <c r="BI110" i="2"/>
  <c r="CB110" i="2"/>
  <c r="BI111" i="2"/>
  <c r="CB111" i="2"/>
  <c r="BI112" i="2"/>
  <c r="CB112" i="2"/>
  <c r="BI113" i="2"/>
  <c r="CB113" i="2"/>
  <c r="BI114" i="2"/>
  <c r="CB114" i="2"/>
  <c r="BI115" i="2"/>
  <c r="BS115" i="2"/>
  <c r="BS116" i="2"/>
  <c r="CB116" i="2"/>
  <c r="BJ117" i="2"/>
  <c r="CB117" i="2"/>
  <c r="BI118" i="2"/>
  <c r="CB118" i="2"/>
  <c r="BI119" i="2"/>
  <c r="CB119" i="2"/>
  <c r="BI120" i="2"/>
  <c r="BO120" i="2"/>
  <c r="BO121" i="2"/>
  <c r="BS121" i="2"/>
  <c r="BS122" i="2"/>
  <c r="BX122" i="2"/>
  <c r="BX123" i="2"/>
  <c r="CB123" i="2"/>
  <c r="BJ124" i="2"/>
  <c r="CB124" i="2"/>
  <c r="BI125" i="2"/>
  <c r="CB125" i="2"/>
  <c r="BI126" i="2"/>
  <c r="CB126" i="2"/>
  <c r="BI127" i="2"/>
  <c r="BS127" i="2"/>
  <c r="BS128" i="2"/>
  <c r="CB128" i="2"/>
  <c r="BJ129" i="2"/>
  <c r="CB129" i="2"/>
  <c r="BI130" i="2"/>
  <c r="CB130" i="2"/>
  <c r="BI131" i="2"/>
  <c r="CB131" i="2"/>
  <c r="BI132" i="2"/>
  <c r="BP132" i="2"/>
  <c r="BP133" i="2"/>
  <c r="BU133" i="2"/>
  <c r="BU134" i="2"/>
  <c r="BY134" i="2"/>
  <c r="BY135" i="2"/>
  <c r="BJ136" i="2"/>
  <c r="CB136" i="2"/>
  <c r="BI137" i="2"/>
  <c r="CB137" i="2"/>
  <c r="BI138" i="2"/>
  <c r="CB138" i="2"/>
  <c r="BI139" i="2"/>
  <c r="BN139" i="2"/>
  <c r="BN140" i="2"/>
  <c r="BR140" i="2"/>
  <c r="BR141" i="2"/>
  <c r="BW141" i="2"/>
  <c r="BW142" i="2"/>
  <c r="CA143" i="2"/>
  <c r="BI144" i="2"/>
  <c r="BS144" i="2"/>
  <c r="BJ145" i="2"/>
  <c r="CB145" i="2"/>
  <c r="BI146" i="2"/>
  <c r="CB146" i="2"/>
  <c r="BI147" i="2"/>
  <c r="CB147" i="2"/>
  <c r="BJ148" i="2"/>
  <c r="CB148" i="2"/>
  <c r="BI149" i="2"/>
  <c r="CB149" i="2"/>
  <c r="BI150" i="2"/>
  <c r="CB150" i="2"/>
  <c r="BI151" i="2"/>
  <c r="BN151" i="2"/>
  <c r="BN152" i="2"/>
  <c r="BS152" i="2"/>
  <c r="BS153" i="2"/>
  <c r="BX153" i="2"/>
  <c r="BX154" i="2"/>
  <c r="CB154" i="2"/>
  <c r="BJ155" i="2"/>
  <c r="CB155" i="2"/>
  <c r="AO159" i="2"/>
  <c r="BI159" i="2"/>
  <c r="AP160" i="2"/>
  <c r="AM161" i="2"/>
  <c r="AN162" i="2"/>
  <c r="AP163" i="2"/>
  <c r="AP164" i="2"/>
  <c r="AP165" i="2"/>
  <c r="BI165" i="2"/>
  <c r="AP166" i="2"/>
  <c r="AS166" i="2"/>
  <c r="AR167" i="2"/>
  <c r="AU167" i="2"/>
  <c r="AV168" i="2"/>
  <c r="AY169" i="2"/>
  <c r="AZ170" i="2"/>
  <c r="BC171" i="2"/>
  <c r="BF171" i="2"/>
  <c r="BD172" i="2"/>
  <c r="BG172" i="2"/>
  <c r="BE173" i="2"/>
  <c r="BI173" i="2"/>
  <c r="BA174" i="2"/>
  <c r="CE174" i="2"/>
  <c r="BA175" i="2"/>
  <c r="BE175" i="2"/>
  <c r="BA176" i="2"/>
  <c r="BE176" i="2"/>
  <c r="BF177" i="2"/>
  <c r="CE177" i="2"/>
  <c r="BF178" i="2"/>
  <c r="BK178" i="2"/>
  <c r="BF179" i="2"/>
  <c r="BF180" i="2"/>
  <c r="BJ181" i="2"/>
  <c r="CD182" i="2"/>
  <c r="CD183" i="2"/>
  <c r="CD184" i="2"/>
  <c r="CE185" i="2"/>
  <c r="I287" i="6" l="1"/>
  <c r="F287" i="6"/>
  <c r="C287" i="6"/>
  <c r="I286" i="6"/>
  <c r="F286" i="6"/>
  <c r="C286" i="6"/>
  <c r="I285" i="6"/>
  <c r="F285" i="6"/>
  <c r="C285" i="6"/>
  <c r="I284" i="6"/>
  <c r="F284" i="6"/>
  <c r="C284" i="6"/>
  <c r="I283" i="6"/>
  <c r="F283" i="6"/>
  <c r="C283" i="6"/>
  <c r="I282" i="6"/>
  <c r="F282" i="6"/>
  <c r="C282" i="6"/>
  <c r="I281" i="6"/>
  <c r="F281" i="6"/>
  <c r="C281" i="6"/>
  <c r="I280" i="6"/>
  <c r="F280" i="6"/>
  <c r="C280" i="6"/>
  <c r="I279" i="6"/>
  <c r="F279" i="6"/>
  <c r="C279" i="6"/>
  <c r="I278" i="6"/>
  <c r="F278" i="6"/>
  <c r="C278" i="6"/>
  <c r="I277" i="6"/>
  <c r="F277" i="6"/>
  <c r="C277" i="6"/>
  <c r="I276" i="6"/>
  <c r="F276" i="6"/>
  <c r="C276" i="6"/>
  <c r="I275" i="6"/>
  <c r="F275" i="6"/>
  <c r="C275" i="6"/>
  <c r="I274" i="6"/>
  <c r="F274" i="6"/>
  <c r="C274" i="6"/>
  <c r="I273" i="6"/>
  <c r="F273" i="6"/>
  <c r="C273" i="6"/>
  <c r="I272" i="6"/>
  <c r="F272" i="6"/>
  <c r="C272" i="6"/>
  <c r="I271" i="6"/>
  <c r="F271" i="6"/>
  <c r="C271" i="6"/>
  <c r="I270" i="6"/>
  <c r="F270" i="6"/>
  <c r="C270" i="6"/>
  <c r="I269" i="6"/>
  <c r="F269" i="6"/>
  <c r="C269" i="6"/>
  <c r="I268" i="6"/>
  <c r="F268" i="6"/>
  <c r="C268" i="6"/>
  <c r="I267" i="6"/>
  <c r="F267" i="6"/>
  <c r="C267" i="6"/>
  <c r="I266" i="6"/>
  <c r="F266" i="6"/>
  <c r="C266" i="6"/>
  <c r="I265" i="6"/>
  <c r="F265" i="6"/>
  <c r="C265" i="6"/>
  <c r="I264" i="6"/>
  <c r="F264" i="6"/>
  <c r="C264" i="6"/>
  <c r="I263" i="6"/>
  <c r="F263" i="6"/>
  <c r="C263" i="6"/>
  <c r="I262" i="6"/>
  <c r="F262" i="6"/>
  <c r="C262" i="6"/>
  <c r="I261" i="6"/>
  <c r="F261" i="6"/>
  <c r="C261" i="6"/>
  <c r="I260" i="6"/>
  <c r="F260" i="6"/>
  <c r="C260" i="6"/>
  <c r="I259" i="6"/>
  <c r="F259" i="6"/>
  <c r="C259" i="6"/>
  <c r="I258" i="6"/>
  <c r="F258" i="6"/>
  <c r="C258" i="6"/>
  <c r="I257" i="6"/>
  <c r="F257" i="6"/>
  <c r="C257" i="6"/>
  <c r="I256" i="6"/>
  <c r="F256" i="6"/>
  <c r="C256" i="6"/>
  <c r="I255" i="6"/>
  <c r="F255" i="6"/>
  <c r="C255" i="6"/>
  <c r="I254" i="6"/>
  <c r="F254" i="6"/>
  <c r="C254" i="6"/>
  <c r="I253" i="6"/>
  <c r="F253" i="6"/>
  <c r="C253" i="6"/>
  <c r="I252" i="6"/>
  <c r="F252" i="6"/>
  <c r="C252" i="6"/>
  <c r="I251" i="6"/>
  <c r="F251" i="6"/>
  <c r="C251" i="6"/>
  <c r="I250" i="6"/>
  <c r="F250" i="6"/>
  <c r="C250" i="6"/>
  <c r="I249" i="6"/>
  <c r="F249" i="6"/>
  <c r="C249" i="6"/>
  <c r="I248" i="6"/>
  <c r="F248" i="6"/>
  <c r="C248" i="6"/>
  <c r="I247" i="6"/>
  <c r="F247" i="6"/>
  <c r="C247" i="6"/>
  <c r="I246" i="6"/>
  <c r="F246" i="6"/>
  <c r="C246" i="6"/>
  <c r="I245" i="6"/>
  <c r="F245" i="6"/>
  <c r="C245" i="6"/>
  <c r="I244" i="6"/>
  <c r="F244" i="6"/>
  <c r="C244" i="6"/>
  <c r="I243" i="6"/>
  <c r="F243" i="6"/>
  <c r="C243" i="6"/>
  <c r="I242" i="6"/>
  <c r="F242" i="6"/>
  <c r="C242" i="6"/>
  <c r="I241" i="6"/>
  <c r="F241" i="6"/>
  <c r="C241" i="6"/>
  <c r="I240" i="6"/>
  <c r="F240" i="6"/>
  <c r="C240" i="6"/>
  <c r="I239" i="6"/>
  <c r="F239" i="6"/>
  <c r="C239" i="6"/>
  <c r="I238" i="6"/>
  <c r="F238" i="6"/>
  <c r="C238" i="6"/>
  <c r="I237" i="6"/>
  <c r="F237" i="6"/>
  <c r="C237" i="6"/>
  <c r="I236" i="6"/>
  <c r="F236" i="6"/>
  <c r="C236" i="6"/>
  <c r="I235" i="6"/>
  <c r="F235" i="6"/>
  <c r="C235" i="6"/>
  <c r="I234" i="6"/>
  <c r="F234" i="6"/>
  <c r="C234" i="6"/>
  <c r="I233" i="6"/>
  <c r="F233" i="6"/>
  <c r="C233" i="6"/>
  <c r="I232" i="6"/>
  <c r="F232" i="6"/>
  <c r="C232" i="6"/>
  <c r="I231" i="6"/>
  <c r="F231" i="6"/>
  <c r="C231" i="6"/>
  <c r="I230" i="6"/>
  <c r="F230" i="6"/>
  <c r="C230" i="6"/>
  <c r="I229" i="6"/>
  <c r="F229" i="6"/>
  <c r="C229" i="6"/>
  <c r="I228" i="6"/>
  <c r="F228" i="6"/>
  <c r="C228" i="6"/>
  <c r="I227" i="6"/>
  <c r="F227" i="6"/>
  <c r="C227" i="6"/>
  <c r="I226" i="6"/>
  <c r="F226" i="6"/>
  <c r="C226" i="6"/>
  <c r="I225" i="6"/>
  <c r="F225" i="6"/>
  <c r="C225" i="6"/>
  <c r="I224" i="6"/>
  <c r="F224" i="6"/>
  <c r="C224" i="6"/>
  <c r="I223" i="6"/>
  <c r="F223" i="6"/>
  <c r="C223" i="6"/>
  <c r="I222" i="6"/>
  <c r="F222" i="6"/>
  <c r="C222" i="6"/>
  <c r="I221" i="6"/>
  <c r="F221" i="6"/>
  <c r="C221" i="6"/>
  <c r="I220" i="6"/>
  <c r="F220" i="6"/>
  <c r="C220" i="6"/>
  <c r="I219" i="6"/>
  <c r="F219" i="6"/>
  <c r="C219" i="6"/>
  <c r="I218" i="6"/>
  <c r="F218" i="6"/>
  <c r="C218" i="6"/>
  <c r="I217" i="6"/>
  <c r="F217" i="6"/>
  <c r="C217" i="6"/>
  <c r="I216" i="6"/>
  <c r="F216" i="6"/>
  <c r="C216" i="6"/>
  <c r="I215" i="6"/>
  <c r="F215" i="6"/>
  <c r="C215" i="6"/>
  <c r="I214" i="6"/>
  <c r="F214" i="6"/>
  <c r="C214" i="6"/>
  <c r="I213" i="6"/>
  <c r="F213" i="6"/>
  <c r="C213" i="6"/>
  <c r="I212" i="6"/>
  <c r="F212" i="6"/>
  <c r="C212" i="6"/>
  <c r="I211" i="6"/>
  <c r="F211" i="6"/>
  <c r="C211" i="6"/>
  <c r="I210" i="6"/>
  <c r="F210" i="6"/>
  <c r="C210" i="6"/>
  <c r="I209" i="6"/>
  <c r="F209" i="6"/>
  <c r="C209" i="6"/>
  <c r="I208" i="6"/>
  <c r="F208" i="6"/>
  <c r="C208" i="6"/>
  <c r="I207" i="6"/>
  <c r="F207" i="6"/>
  <c r="C207" i="6"/>
  <c r="I206" i="6"/>
  <c r="F206" i="6"/>
  <c r="C206" i="6"/>
  <c r="I205" i="6"/>
  <c r="F205" i="6"/>
  <c r="C205" i="6"/>
  <c r="I204" i="6"/>
  <c r="F204" i="6"/>
  <c r="C204" i="6"/>
  <c r="I203" i="6"/>
  <c r="F203" i="6"/>
  <c r="C203" i="6"/>
  <c r="I202" i="6"/>
  <c r="F202" i="6"/>
  <c r="C202" i="6"/>
  <c r="I201" i="6"/>
  <c r="F201" i="6"/>
  <c r="C201" i="6"/>
  <c r="I200" i="6"/>
  <c r="F200" i="6"/>
  <c r="C200" i="6"/>
  <c r="I199" i="6"/>
  <c r="F199" i="6"/>
  <c r="C199" i="6"/>
  <c r="I198" i="6"/>
  <c r="F198" i="6"/>
  <c r="C198" i="6"/>
  <c r="I197" i="6"/>
  <c r="F197" i="6"/>
  <c r="C197" i="6"/>
  <c r="I196" i="6"/>
  <c r="F196" i="6"/>
  <c r="C196" i="6"/>
  <c r="I195" i="6"/>
  <c r="F195" i="6"/>
  <c r="C195" i="6"/>
  <c r="I194" i="6"/>
  <c r="F194" i="6"/>
  <c r="C194" i="6"/>
  <c r="I193" i="6"/>
  <c r="F193" i="6"/>
  <c r="C193" i="6"/>
  <c r="I192" i="6"/>
  <c r="F192" i="6"/>
  <c r="C192" i="6"/>
  <c r="I191" i="6"/>
  <c r="F191" i="6"/>
  <c r="C191" i="6"/>
  <c r="I190" i="6"/>
  <c r="F190" i="6"/>
  <c r="C190" i="6"/>
  <c r="I189" i="6"/>
  <c r="F189" i="6"/>
  <c r="C189" i="6"/>
  <c r="I188" i="6"/>
  <c r="F188" i="6"/>
  <c r="C188" i="6"/>
  <c r="I187" i="6"/>
  <c r="F187" i="6"/>
  <c r="C187" i="6"/>
  <c r="I186" i="6"/>
  <c r="F186" i="6"/>
  <c r="C186" i="6"/>
  <c r="I185" i="6"/>
  <c r="F185" i="6"/>
  <c r="C185" i="6"/>
  <c r="I184" i="6"/>
  <c r="F184" i="6"/>
  <c r="C184" i="6"/>
  <c r="I183" i="6"/>
  <c r="F183" i="6"/>
  <c r="C183" i="6"/>
  <c r="I182" i="6"/>
  <c r="F182" i="6"/>
  <c r="C182" i="6"/>
  <c r="I181" i="6"/>
  <c r="F181" i="6"/>
  <c r="C181" i="6"/>
  <c r="I180" i="6"/>
  <c r="F180" i="6"/>
  <c r="C180" i="6"/>
  <c r="I179" i="6"/>
  <c r="F179" i="6"/>
  <c r="C179" i="6"/>
  <c r="I178" i="6"/>
  <c r="F178" i="6"/>
  <c r="C178" i="6"/>
  <c r="I177" i="6"/>
  <c r="F177" i="6"/>
  <c r="C177" i="6"/>
  <c r="I176" i="6"/>
  <c r="F176" i="6"/>
  <c r="C176" i="6"/>
  <c r="I175" i="6"/>
  <c r="F175" i="6"/>
  <c r="C175" i="6"/>
  <c r="I174" i="6"/>
  <c r="F174" i="6"/>
  <c r="C174" i="6"/>
  <c r="I173" i="6"/>
  <c r="F173" i="6"/>
  <c r="C173" i="6"/>
  <c r="I172" i="6"/>
  <c r="F172" i="6"/>
  <c r="C172" i="6"/>
  <c r="I171" i="6"/>
  <c r="F171" i="6"/>
  <c r="C171" i="6"/>
  <c r="I170" i="6"/>
  <c r="F170" i="6"/>
  <c r="C170" i="6"/>
  <c r="I169" i="6"/>
  <c r="F169" i="6"/>
  <c r="C169" i="6"/>
  <c r="I168" i="6"/>
  <c r="F168" i="6"/>
  <c r="C168" i="6"/>
  <c r="I167" i="6"/>
  <c r="F167" i="6"/>
  <c r="C167" i="6"/>
  <c r="I166" i="6"/>
  <c r="F166" i="6"/>
  <c r="C166" i="6"/>
  <c r="I165" i="6"/>
  <c r="F165" i="6"/>
  <c r="C165" i="6"/>
  <c r="I164" i="6"/>
  <c r="F164" i="6"/>
  <c r="C164" i="6"/>
  <c r="I163" i="6"/>
  <c r="F163" i="6"/>
  <c r="C163" i="6"/>
  <c r="I162" i="6"/>
  <c r="F162" i="6"/>
  <c r="C162" i="6"/>
  <c r="I161" i="6"/>
  <c r="F161" i="6"/>
  <c r="C161" i="6"/>
  <c r="I160" i="6"/>
  <c r="F160" i="6"/>
  <c r="C160" i="6"/>
  <c r="I159" i="6"/>
  <c r="F159" i="6"/>
  <c r="C159" i="6"/>
  <c r="I158" i="6"/>
  <c r="F158" i="6"/>
  <c r="C158" i="6"/>
  <c r="I157" i="6"/>
  <c r="F157" i="6"/>
  <c r="C157" i="6"/>
  <c r="I156" i="6"/>
  <c r="F156" i="6"/>
  <c r="C156" i="6"/>
  <c r="I155" i="6"/>
  <c r="F155" i="6"/>
  <c r="C155" i="6"/>
  <c r="I154" i="6"/>
  <c r="F154" i="6"/>
  <c r="C154" i="6"/>
  <c r="I153" i="6"/>
  <c r="F153" i="6"/>
  <c r="C153" i="6"/>
  <c r="I152" i="6"/>
  <c r="F152" i="6"/>
  <c r="C152" i="6"/>
  <c r="I151" i="6"/>
  <c r="F151" i="6"/>
  <c r="C151" i="6"/>
  <c r="I150" i="6"/>
  <c r="F150" i="6"/>
  <c r="C150" i="6"/>
  <c r="I149" i="6"/>
  <c r="F149" i="6"/>
  <c r="C149" i="6"/>
  <c r="I148" i="6"/>
  <c r="F148" i="6"/>
  <c r="C148" i="6"/>
  <c r="I147" i="6"/>
  <c r="F147" i="6"/>
  <c r="C147" i="6"/>
  <c r="I146" i="6"/>
  <c r="F146" i="6"/>
  <c r="C146" i="6"/>
  <c r="I145" i="6"/>
  <c r="F145" i="6"/>
  <c r="C145" i="6"/>
  <c r="I144" i="6"/>
  <c r="F144" i="6"/>
  <c r="C144" i="6"/>
  <c r="I143" i="6"/>
  <c r="F143" i="6"/>
  <c r="C143" i="6"/>
  <c r="I142" i="6"/>
  <c r="F142" i="6"/>
  <c r="C142" i="6"/>
  <c r="I141" i="6"/>
  <c r="F141" i="6"/>
  <c r="C141" i="6"/>
  <c r="I140" i="6"/>
  <c r="F140" i="6"/>
  <c r="C140" i="6"/>
  <c r="I139" i="6"/>
  <c r="F139" i="6"/>
  <c r="C139" i="6"/>
  <c r="I138" i="6"/>
  <c r="F138" i="6"/>
  <c r="C138" i="6"/>
  <c r="I137" i="6"/>
  <c r="F137" i="6"/>
  <c r="C137" i="6"/>
  <c r="I136" i="6"/>
  <c r="F136" i="6"/>
  <c r="C136" i="6"/>
  <c r="I135" i="6"/>
  <c r="F135" i="6"/>
  <c r="C135" i="6"/>
  <c r="I134" i="6"/>
  <c r="F134" i="6"/>
  <c r="C134" i="6"/>
  <c r="I133" i="6"/>
  <c r="F133" i="6"/>
  <c r="C133" i="6"/>
  <c r="I132" i="6"/>
  <c r="F132" i="6"/>
  <c r="C132" i="6"/>
  <c r="I131" i="6"/>
  <c r="F131" i="6"/>
  <c r="C131" i="6"/>
  <c r="I130" i="6"/>
  <c r="F130" i="6"/>
  <c r="C130" i="6"/>
  <c r="I129" i="6"/>
  <c r="F129" i="6"/>
  <c r="C129" i="6"/>
  <c r="I128" i="6"/>
  <c r="F128" i="6"/>
  <c r="C128" i="6"/>
  <c r="I127" i="6"/>
  <c r="F127" i="6"/>
  <c r="C127" i="6"/>
  <c r="I126" i="6"/>
  <c r="F126" i="6"/>
  <c r="C126" i="6"/>
  <c r="I125" i="6"/>
  <c r="F125" i="6"/>
  <c r="C125" i="6"/>
  <c r="I124" i="6"/>
  <c r="F124" i="6"/>
  <c r="C124" i="6"/>
  <c r="I123" i="6"/>
  <c r="F123" i="6"/>
  <c r="C123" i="6"/>
  <c r="I122" i="6"/>
  <c r="F122" i="6"/>
  <c r="C122" i="6"/>
  <c r="I121" i="6"/>
  <c r="F121" i="6"/>
  <c r="C121" i="6"/>
  <c r="I120" i="6"/>
  <c r="F120" i="6"/>
  <c r="C120" i="6"/>
  <c r="I119" i="6"/>
  <c r="F119" i="6"/>
  <c r="C119" i="6"/>
  <c r="I118" i="6"/>
  <c r="F118" i="6"/>
  <c r="C118" i="6"/>
  <c r="I117" i="6"/>
  <c r="F117" i="6"/>
  <c r="C117" i="6"/>
  <c r="I116" i="6"/>
  <c r="F116" i="6"/>
  <c r="C116" i="6"/>
  <c r="I115" i="6"/>
  <c r="F115" i="6"/>
  <c r="C115" i="6"/>
  <c r="I114" i="6"/>
  <c r="F114" i="6"/>
  <c r="C114" i="6"/>
  <c r="I113" i="6"/>
  <c r="F113" i="6"/>
  <c r="C113" i="6"/>
  <c r="I112" i="6"/>
  <c r="F112" i="6"/>
  <c r="C112" i="6"/>
  <c r="I111" i="6"/>
  <c r="F111" i="6"/>
  <c r="C111" i="6"/>
  <c r="I110" i="6"/>
  <c r="F110" i="6"/>
  <c r="C110" i="6"/>
  <c r="I109" i="6"/>
  <c r="F109" i="6"/>
  <c r="C109" i="6"/>
  <c r="I108" i="6"/>
  <c r="F108" i="6"/>
  <c r="C108" i="6"/>
  <c r="I107" i="6"/>
  <c r="F107" i="6"/>
  <c r="C107" i="6"/>
  <c r="I106" i="6"/>
  <c r="F106" i="6"/>
  <c r="C106" i="6"/>
  <c r="I105" i="6"/>
  <c r="F105" i="6"/>
  <c r="C105" i="6"/>
  <c r="I104" i="6"/>
  <c r="F104" i="6"/>
  <c r="C104" i="6"/>
  <c r="I103" i="6"/>
  <c r="F103" i="6"/>
  <c r="C103" i="6"/>
  <c r="I102" i="6"/>
  <c r="F102" i="6"/>
  <c r="C102" i="6"/>
  <c r="I101" i="6"/>
  <c r="F101" i="6"/>
  <c r="C101" i="6"/>
  <c r="I100" i="6"/>
  <c r="F100" i="6"/>
  <c r="C100" i="6"/>
  <c r="I99" i="6"/>
  <c r="F99" i="6"/>
  <c r="C99" i="6"/>
  <c r="I98" i="6"/>
  <c r="F98" i="6"/>
  <c r="C98" i="6"/>
  <c r="I97" i="6"/>
  <c r="F97" i="6"/>
  <c r="C97" i="6"/>
  <c r="I96" i="6"/>
  <c r="F96" i="6"/>
  <c r="C96" i="6"/>
  <c r="I95" i="6"/>
  <c r="F95" i="6"/>
  <c r="C95" i="6"/>
  <c r="I94" i="6"/>
  <c r="F94" i="6"/>
  <c r="C94" i="6"/>
  <c r="I93" i="6"/>
  <c r="F93" i="6"/>
  <c r="C93" i="6"/>
  <c r="I92" i="6"/>
  <c r="F92" i="6"/>
  <c r="C92" i="6"/>
  <c r="I91" i="6"/>
  <c r="F91" i="6"/>
  <c r="C91" i="6"/>
  <c r="I90" i="6"/>
  <c r="F90" i="6"/>
  <c r="C90" i="6"/>
  <c r="I89" i="6"/>
  <c r="F89" i="6"/>
  <c r="C89" i="6"/>
  <c r="I88" i="6"/>
  <c r="F88" i="6"/>
  <c r="C88" i="6"/>
  <c r="I87" i="6"/>
  <c r="F87" i="6"/>
  <c r="C87" i="6"/>
  <c r="I86" i="6"/>
  <c r="F86" i="6"/>
  <c r="C86" i="6"/>
  <c r="I85" i="6"/>
  <c r="F85" i="6"/>
  <c r="C85" i="6"/>
  <c r="I84" i="6"/>
  <c r="F84" i="6"/>
  <c r="C84" i="6"/>
  <c r="I83" i="6"/>
  <c r="F83" i="6"/>
  <c r="C83" i="6"/>
  <c r="I82" i="6"/>
  <c r="F82" i="6"/>
  <c r="C82" i="6"/>
  <c r="I81" i="6"/>
  <c r="F81" i="6"/>
  <c r="C81" i="6"/>
  <c r="I80" i="6"/>
  <c r="F80" i="6"/>
  <c r="C80" i="6"/>
  <c r="I79" i="6"/>
  <c r="F79" i="6"/>
  <c r="C79" i="6"/>
  <c r="I78" i="6"/>
  <c r="F78" i="6"/>
  <c r="C78" i="6"/>
  <c r="I77" i="6"/>
  <c r="F77" i="6"/>
  <c r="C77" i="6"/>
  <c r="I76" i="6"/>
  <c r="F76" i="6"/>
  <c r="C76" i="6"/>
  <c r="I75" i="6"/>
  <c r="F75" i="6"/>
  <c r="C75" i="6"/>
  <c r="I74" i="6"/>
  <c r="F74" i="6"/>
  <c r="C74" i="6"/>
  <c r="I73" i="6"/>
  <c r="F73" i="6"/>
  <c r="C73" i="6"/>
  <c r="I72" i="6"/>
  <c r="F72" i="6"/>
  <c r="C72" i="6"/>
  <c r="I71" i="6"/>
  <c r="F71" i="6"/>
  <c r="C71" i="6"/>
  <c r="I70" i="6"/>
  <c r="F70" i="6"/>
  <c r="C70" i="6"/>
  <c r="I69" i="6"/>
  <c r="F69" i="6"/>
  <c r="C69" i="6"/>
  <c r="I68" i="6"/>
  <c r="F68" i="6"/>
  <c r="C68" i="6"/>
  <c r="I67" i="6"/>
  <c r="F67" i="6"/>
  <c r="C67" i="6"/>
  <c r="I66" i="6"/>
  <c r="F66" i="6"/>
  <c r="C66" i="6"/>
  <c r="I65" i="6"/>
  <c r="F65" i="6"/>
  <c r="C65" i="6"/>
  <c r="I64" i="6"/>
  <c r="F64" i="6"/>
  <c r="C64" i="6"/>
  <c r="I63" i="6"/>
  <c r="F63" i="6"/>
  <c r="C63" i="6"/>
  <c r="I62" i="6"/>
  <c r="F62" i="6"/>
  <c r="C62" i="6"/>
  <c r="I61" i="6"/>
  <c r="F61" i="6"/>
  <c r="C61" i="6"/>
  <c r="I60" i="6"/>
  <c r="F60" i="6"/>
  <c r="C60" i="6"/>
  <c r="I59" i="6"/>
  <c r="F59" i="6"/>
  <c r="C59" i="6"/>
  <c r="I58" i="6"/>
  <c r="F58" i="6"/>
  <c r="C58" i="6"/>
  <c r="I57" i="6"/>
  <c r="F57" i="6"/>
  <c r="C57" i="6"/>
  <c r="I56" i="6"/>
  <c r="F56" i="6"/>
  <c r="C56" i="6"/>
  <c r="I55" i="6"/>
  <c r="F55" i="6"/>
  <c r="C55" i="6"/>
  <c r="I54" i="6"/>
  <c r="F54" i="6"/>
  <c r="C54" i="6"/>
  <c r="I53" i="6"/>
  <c r="F53" i="6"/>
  <c r="C53" i="6"/>
  <c r="I52" i="6"/>
  <c r="F52" i="6"/>
  <c r="C52" i="6"/>
  <c r="I51" i="6"/>
  <c r="F51" i="6"/>
  <c r="C51" i="6"/>
  <c r="I50" i="6"/>
  <c r="F50" i="6"/>
  <c r="C50" i="6"/>
  <c r="I49" i="6"/>
  <c r="F49" i="6"/>
  <c r="C49" i="6"/>
  <c r="I48" i="6"/>
  <c r="F48" i="6"/>
  <c r="C48" i="6"/>
  <c r="I47" i="6"/>
  <c r="F47" i="6"/>
  <c r="C47" i="6"/>
  <c r="I46" i="6"/>
  <c r="F46" i="6"/>
  <c r="C46" i="6"/>
  <c r="I45" i="6"/>
  <c r="F45" i="6"/>
  <c r="C45" i="6"/>
  <c r="I44" i="6"/>
  <c r="F44" i="6"/>
  <c r="C44" i="6"/>
  <c r="I43" i="6"/>
  <c r="F43" i="6"/>
  <c r="C43" i="6"/>
  <c r="I42" i="6"/>
  <c r="F42" i="6"/>
  <c r="C42" i="6"/>
  <c r="I41" i="6"/>
  <c r="F41" i="6"/>
  <c r="C41" i="6"/>
  <c r="I40" i="6"/>
  <c r="F40" i="6"/>
  <c r="C40" i="6"/>
  <c r="I39" i="6"/>
  <c r="F39" i="6"/>
  <c r="C39" i="6"/>
  <c r="I38" i="6"/>
  <c r="F38" i="6"/>
  <c r="C38" i="6"/>
  <c r="I37" i="6"/>
  <c r="F37" i="6"/>
  <c r="C37" i="6"/>
  <c r="I36" i="6"/>
  <c r="F36" i="6"/>
  <c r="C36" i="6"/>
  <c r="I35" i="6"/>
  <c r="F35" i="6"/>
  <c r="C35" i="6"/>
  <c r="I34" i="6"/>
  <c r="F34" i="6"/>
  <c r="C34" i="6"/>
  <c r="I33" i="6"/>
  <c r="F33" i="6"/>
  <c r="C33" i="6"/>
  <c r="I32" i="6"/>
  <c r="F32" i="6"/>
  <c r="C32" i="6"/>
  <c r="I31" i="6"/>
  <c r="F31" i="6"/>
  <c r="C31" i="6"/>
  <c r="I30" i="6"/>
  <c r="F30" i="6"/>
  <c r="C30" i="6"/>
  <c r="I29" i="6"/>
  <c r="F29" i="6"/>
  <c r="C29" i="6"/>
  <c r="I28" i="6"/>
  <c r="F28" i="6"/>
  <c r="C28" i="6"/>
  <c r="I27" i="6"/>
  <c r="F27" i="6"/>
  <c r="C27" i="6"/>
  <c r="I26" i="6"/>
  <c r="F26" i="6"/>
  <c r="C26" i="6"/>
  <c r="I25" i="6"/>
  <c r="F25" i="6"/>
  <c r="C25" i="6"/>
  <c r="I24" i="6"/>
  <c r="F24" i="6"/>
  <c r="C24" i="6"/>
  <c r="I23" i="6"/>
  <c r="F23" i="6"/>
  <c r="C23" i="6"/>
  <c r="I22" i="6"/>
  <c r="F22" i="6"/>
  <c r="C22" i="6"/>
  <c r="I21" i="6"/>
  <c r="F21" i="6"/>
  <c r="C21" i="6"/>
  <c r="I20" i="6"/>
  <c r="F20" i="6"/>
  <c r="C20" i="6"/>
  <c r="I19" i="6"/>
  <c r="F19" i="6"/>
  <c r="C19" i="6"/>
  <c r="I18" i="6"/>
  <c r="F18" i="6"/>
  <c r="C18" i="6"/>
  <c r="I17" i="6"/>
  <c r="F17" i="6"/>
  <c r="C17" i="6"/>
  <c r="I16" i="6"/>
  <c r="F16" i="6"/>
  <c r="C16" i="6"/>
  <c r="I15" i="6"/>
  <c r="F15" i="6"/>
  <c r="C15" i="6"/>
  <c r="I14" i="6"/>
  <c r="F14" i="6"/>
  <c r="C14" i="6"/>
  <c r="I13" i="6"/>
  <c r="F13" i="6"/>
  <c r="C13" i="6"/>
  <c r="I12" i="6"/>
  <c r="F12" i="6"/>
  <c r="C12" i="6"/>
  <c r="I11" i="6"/>
  <c r="F11" i="6"/>
  <c r="C11" i="6"/>
  <c r="I10" i="6"/>
  <c r="F10" i="6"/>
  <c r="C10" i="6"/>
  <c r="I9" i="6"/>
  <c r="F9" i="6"/>
  <c r="C9" i="6"/>
  <c r="I8" i="6"/>
  <c r="F8" i="6"/>
  <c r="C8" i="6"/>
  <c r="I7" i="6"/>
  <c r="F7" i="6"/>
  <c r="C7" i="6"/>
  <c r="I6" i="6"/>
  <c r="F6" i="6"/>
  <c r="C6" i="6"/>
  <c r="I5" i="6"/>
  <c r="F5" i="6"/>
  <c r="C5" i="6"/>
  <c r="I22" i="4"/>
  <c r="I24" i="4" s="1"/>
  <c r="K24" i="4" s="1"/>
  <c r="H22" i="4"/>
  <c r="H24" i="4" s="1"/>
  <c r="G22" i="4"/>
  <c r="G24" i="4" s="1"/>
  <c r="L21" i="4"/>
  <c r="L20" i="4"/>
  <c r="L19" i="4"/>
  <c r="L18" i="4"/>
  <c r="L17" i="4"/>
  <c r="L16" i="4"/>
  <c r="L15" i="4"/>
  <c r="L14" i="4"/>
  <c r="L13" i="4"/>
  <c r="L12" i="4"/>
  <c r="L11" i="4"/>
  <c r="L10" i="4"/>
  <c r="L9" i="4"/>
  <c r="L8" i="4"/>
  <c r="L7" i="4"/>
  <c r="B24" i="3"/>
  <c r="AC1" i="2" a="1"/>
  <c r="D1" i="2" a="1"/>
  <c r="D1" i="2" l="1"/>
  <c r="AC1" i="2"/>
  <c r="J24" i="4"/>
  <c r="L24" i="4" s="1"/>
  <c r="J22" i="4"/>
  <c r="K22" i="4"/>
  <c r="L22" i="4" s="1"/>
</calcChain>
</file>

<file path=xl/sharedStrings.xml><?xml version="1.0" encoding="utf-8"?>
<sst xmlns="http://schemas.openxmlformats.org/spreadsheetml/2006/main" count="2966" uniqueCount="1827">
  <si>
    <t>https://xlworks.net/xlgantt-project-scheduler/</t>
  </si>
  <si>
    <t>W1</t>
  </si>
  <si>
    <t>W5</t>
  </si>
  <si>
    <t>W9</t>
  </si>
  <si>
    <t>W13</t>
  </si>
  <si>
    <t>W17</t>
  </si>
  <si>
    <t>W21</t>
  </si>
  <si>
    <t>W25</t>
  </si>
  <si>
    <t>W29</t>
  </si>
  <si>
    <t>W33</t>
  </si>
  <si>
    <t>W37</t>
  </si>
  <si>
    <t>W41</t>
  </si>
  <si>
    <t>W45</t>
  </si>
  <si>
    <t>W49</t>
  </si>
  <si>
    <t>W53</t>
  </si>
  <si>
    <t>WBS</t>
  </si>
  <si>
    <t>비고</t>
  </si>
  <si>
    <t>Calendar</t>
  </si>
  <si>
    <t>자원수</t>
  </si>
  <si>
    <t>담당</t>
  </si>
  <si>
    <t>산출물</t>
  </si>
  <si>
    <t>계획</t>
  </si>
  <si>
    <t>06/21
W26</t>
  </si>
  <si>
    <t>07/19
W30</t>
  </si>
  <si>
    <t>08/16
W34</t>
  </si>
  <si>
    <t>09/13
W38</t>
  </si>
  <si>
    <t>10/11
W42</t>
  </si>
  <si>
    <t>11/08
W46</t>
  </si>
  <si>
    <t>12/06
W50</t>
  </si>
  <si>
    <t>2027
W2</t>
  </si>
  <si>
    <t>01/31
W6</t>
  </si>
  <si>
    <t>02/28
W10</t>
  </si>
  <si>
    <t>03/28
W14</t>
  </si>
  <si>
    <t>04/25
W18</t>
  </si>
  <si>
    <t>05/23
W22</t>
  </si>
  <si>
    <t>06/20
W26</t>
  </si>
  <si>
    <t>G</t>
  </si>
  <si>
    <t>1</t>
  </si>
  <si>
    <t>프로젝트 관리</t>
  </si>
  <si>
    <t>1.1</t>
  </si>
  <si>
    <t>프로젝트 착수 및 계획수립</t>
  </si>
  <si>
    <t>1.1.1</t>
  </si>
  <si>
    <t>프로젝트,착수</t>
  </si>
  <si>
    <t>1.1.2</t>
  </si>
  <si>
    <t>프로젝트 범위정의</t>
  </si>
  <si>
    <t>1.1.2.1</t>
  </si>
  <si>
    <t>프로젝트 계획 수립</t>
  </si>
  <si>
    <t>1;6</t>
  </si>
  <si>
    <t>1.1.2.2</t>
  </si>
  <si>
    <t>착수보고(Kick off)</t>
  </si>
  <si>
    <t>1.2</t>
  </si>
  <si>
    <t>프로젝트 수행 및 통제</t>
  </si>
  <si>
    <t>1.2.1</t>
  </si>
  <si>
    <t>월간보고(2026.08)</t>
  </si>
  <si>
    <t>공통</t>
  </si>
  <si>
    <t>1.2.2</t>
  </si>
  <si>
    <t>월간보고(2026.09)</t>
  </si>
  <si>
    <t>1.2.3</t>
  </si>
  <si>
    <t>월간보고(2026.10)</t>
  </si>
  <si>
    <t>1.2.4</t>
  </si>
  <si>
    <t>중간보고</t>
  </si>
  <si>
    <t>1.2.5</t>
  </si>
  <si>
    <t>월간보고(2026.12)</t>
  </si>
  <si>
    <t>1.2.6</t>
  </si>
  <si>
    <t>월간보고(2027.01)</t>
  </si>
  <si>
    <t>1.2.7</t>
  </si>
  <si>
    <t>월간보고(2027.02)</t>
  </si>
  <si>
    <t>1.2.8</t>
  </si>
  <si>
    <t>월간보고(2027.03)</t>
  </si>
  <si>
    <t>1.2.9</t>
  </si>
  <si>
    <t>월간보고(2027.04)</t>
  </si>
  <si>
    <t>1.2.10</t>
  </si>
  <si>
    <t>월간보고(2027.05)</t>
  </si>
  <si>
    <t>1.2.11</t>
  </si>
  <si>
    <t>완료보고</t>
  </si>
  <si>
    <t>1.3</t>
  </si>
  <si>
    <t>프로젝트 종료</t>
  </si>
  <si>
    <t>1.3.1</t>
  </si>
  <si>
    <t>종료계획수립</t>
  </si>
  <si>
    <t>1.3.2</t>
  </si>
  <si>
    <t>시스템 인수인계</t>
  </si>
  <si>
    <t>1;16</t>
  </si>
  <si>
    <t>1.3.3</t>
  </si>
  <si>
    <t>검수 및 종료</t>
  </si>
  <si>
    <t>2</t>
  </si>
  <si>
    <t>1단계 시스템 개발</t>
  </si>
  <si>
    <t>2.1</t>
  </si>
  <si>
    <t>분석</t>
  </si>
  <si>
    <t>2.1.1</t>
  </si>
  <si>
    <t>요구사항정의/기획,디자인 컨펌</t>
  </si>
  <si>
    <t>2.1.2</t>
  </si>
  <si>
    <t>논리모델구축</t>
  </si>
  <si>
    <t>2.1.2.1</t>
  </si>
  <si>
    <t>현행 DB 수집/분석</t>
  </si>
  <si>
    <t>2.1.2.2</t>
  </si>
  <si>
    <t>데이터모델링</t>
  </si>
  <si>
    <t>2.2</t>
  </si>
  <si>
    <t>설계</t>
  </si>
  <si>
    <t>2.2.1</t>
  </si>
  <si>
    <t>UI 설계</t>
  </si>
  <si>
    <t>2.2.1.1</t>
  </si>
  <si>
    <t>동행맵 APP 설계</t>
  </si>
  <si>
    <t>2.2.1.1.1</t>
  </si>
  <si>
    <t>APP UI 설계</t>
  </si>
  <si>
    <t>2.2.1.1.2</t>
  </si>
  <si>
    <t>교통약자 도보 내비게이션 UI 설계</t>
  </si>
  <si>
    <t>2.2.1.1.3</t>
  </si>
  <si>
    <t>대중교통 정보 안내 UI 설계</t>
  </si>
  <si>
    <t>2.2.1.1.4</t>
  </si>
  <si>
    <t>지하철 실내 내비게이션 UI 설계</t>
  </si>
  <si>
    <t>2.2.1.2</t>
  </si>
  <si>
    <t>관리자페이지 UI 설계</t>
  </si>
  <si>
    <t>2.2.2</t>
  </si>
  <si>
    <t>시스템 설계</t>
  </si>
  <si>
    <t>2.2.2.1</t>
  </si>
  <si>
    <t>Architecture설계</t>
  </si>
  <si>
    <t>2.2.2.2</t>
  </si>
  <si>
    <t>데이터베이스설계</t>
  </si>
  <si>
    <t>2.2.3</t>
  </si>
  <si>
    <t>프로세스 설계</t>
  </si>
  <si>
    <t>2.2.3.1</t>
  </si>
  <si>
    <t>APP 기본 기능 설계</t>
  </si>
  <si>
    <t>2.2.3.2</t>
  </si>
  <si>
    <t>교통약자 도보 내비게이션 기능 설계</t>
  </si>
  <si>
    <t>2.2.3.3</t>
  </si>
  <si>
    <t>대중교통 정보 안내 UI 기능 설계</t>
  </si>
  <si>
    <t>2.2.3.4</t>
  </si>
  <si>
    <t>지하철 실내 내비게이션 기능 설계</t>
  </si>
  <si>
    <t>2.2.3.5</t>
  </si>
  <si>
    <t>관리자페이지 UI 기능 설계</t>
  </si>
  <si>
    <t>2.2.3.6</t>
  </si>
  <si>
    <t>버스 예약, 승차 및 하차 안내 기능 설계</t>
  </si>
  <si>
    <t>BMS 연계</t>
  </si>
  <si>
    <t>2.2.4</t>
  </si>
  <si>
    <t>테스트 설계</t>
  </si>
  <si>
    <t>2.3</t>
  </si>
  <si>
    <t>개발</t>
  </si>
  <si>
    <t>2.3.1</t>
  </si>
  <si>
    <t>프로그램 개발</t>
  </si>
  <si>
    <t>2.3.1.1</t>
  </si>
  <si>
    <t>단위테스트시나리오작성</t>
  </si>
  <si>
    <t>2.3.1.2</t>
  </si>
  <si>
    <t>프로그램코딩 및 단위테스트</t>
  </si>
  <si>
    <t>2.3.1.2.1</t>
  </si>
  <si>
    <t>2.3.1.2.1.1</t>
  </si>
  <si>
    <t>기능 개발</t>
  </si>
  <si>
    <t>2.3.1.2.1.1.1</t>
  </si>
  <si>
    <t>2.3.1.2.1.1.2</t>
  </si>
  <si>
    <t>2.3.1.2.1.1.3</t>
  </si>
  <si>
    <t>홈 화면 구현</t>
  </si>
  <si>
    <t>2.3.1.2.1.1.4</t>
  </si>
  <si>
    <t>마이페이지 화면 구현</t>
  </si>
  <si>
    <t>2.3.1.2.1.1.5</t>
  </si>
  <si>
    <t>불편신고 화면 구현</t>
  </si>
  <si>
    <t>2.3.1.2.1.1.6</t>
  </si>
  <si>
    <t>2.3.1.2.1.2</t>
  </si>
  <si>
    <t>단위테스트</t>
  </si>
  <si>
    <t>2.3.1.2.2</t>
  </si>
  <si>
    <t>교통약자 도보 내비게이션</t>
  </si>
  <si>
    <t>2.3.1.2.2.1</t>
  </si>
  <si>
    <t>2.3.1.2.2.1.1</t>
  </si>
  <si>
    <t>지도 표출 및 현위치 구현</t>
  </si>
  <si>
    <t>2.3.1.2.2.1.2</t>
  </si>
  <si>
    <t>장소 검색 화면 구현</t>
  </si>
  <si>
    <t>2.3.1.2.2.1.3</t>
  </si>
  <si>
    <t>장소 상세 화면 구현</t>
  </si>
  <si>
    <t>2.3.1.2.2.1.4</t>
  </si>
  <si>
    <t>상세경로 화면 구현</t>
  </si>
  <si>
    <t>2.3.1.2.2.1.5</t>
  </si>
  <si>
    <t>실외 내비게이션 화면 구현</t>
  </si>
  <si>
    <t>2.3.1.2.2.1.6</t>
  </si>
  <si>
    <t>인근 편의시설 화면 구현</t>
  </si>
  <si>
    <t>2.3.1.2.2.2</t>
  </si>
  <si>
    <t>2.3.1.2.3</t>
  </si>
  <si>
    <t>대중교통 정보 안내</t>
  </si>
  <si>
    <t>2.3.1.2.3.1</t>
  </si>
  <si>
    <t>2.3.1.2.3.1.1</t>
  </si>
  <si>
    <t>버스정류장 검색 및 목록 화면 구현</t>
  </si>
  <si>
    <t>2.3.1.2.3.1.2</t>
  </si>
  <si>
    <t>버스정류장 정보 화면 구현</t>
  </si>
  <si>
    <t>2.3.1.2.3.1.3</t>
  </si>
  <si>
    <t>지하철역 정보 화면 구현</t>
  </si>
  <si>
    <t>2.3.1.2.3.1.4</t>
  </si>
  <si>
    <t>택시 호출 화면 구현</t>
  </si>
  <si>
    <t>2.3.1.2.3.1.5</t>
  </si>
  <si>
    <t>대중교통 실시간 정보 연동 구현</t>
  </si>
  <si>
    <t>2.3.1.2.3.2</t>
  </si>
  <si>
    <t>2.3.1.2.4</t>
  </si>
  <si>
    <t>지하철 실내 내비게이션</t>
  </si>
  <si>
    <t>2.3.1.2.4.1</t>
  </si>
  <si>
    <t>2.3.1.2.4.1.1</t>
  </si>
  <si>
    <t>2.3.1.2.4.1.2</t>
  </si>
  <si>
    <t>실내 측위 SDK 연동 구현</t>
  </si>
  <si>
    <t>2.3.1.2.4.1.3</t>
  </si>
  <si>
    <t>실내 경로 안내 화면 구현</t>
  </si>
  <si>
    <t>2.3.1.2.4.1.4</t>
  </si>
  <si>
    <t>실외↔실내 자동 전환 구현</t>
  </si>
  <si>
    <t>2.3.1.2.4.2</t>
  </si>
  <si>
    <t>2.3.1.2.5</t>
  </si>
  <si>
    <t>음성안내</t>
  </si>
  <si>
    <t>일반음성 안내</t>
  </si>
  <si>
    <t>2.3.1.2.5.1</t>
  </si>
  <si>
    <t>2.3.1.2.5.1.1</t>
  </si>
  <si>
    <t>음성, 진동, 화면 3채널 안내 기반 구현</t>
  </si>
  <si>
    <t>2.3.1.2.5.1.2</t>
  </si>
  <si>
    <t>턴바이턴 도보 안내 음성 구현</t>
  </si>
  <si>
    <t>2.3.1.2.5.1.3</t>
  </si>
  <si>
    <t>주의구간 사전 경고 음성 구현</t>
  </si>
  <si>
    <t>2.3.1.2.5.1.4</t>
  </si>
  <si>
    <t>이벤트별 진동 패턴 구현</t>
  </si>
  <si>
    <t>2.3.1.2.5.1.5</t>
  </si>
  <si>
    <t>전맹 음성 전용 모드 화면 구현</t>
  </si>
  <si>
    <t>2.3.1.2.5.2</t>
  </si>
  <si>
    <t>2.3.1.2.6</t>
  </si>
  <si>
    <t>버스 예약, 승차 및 하차 안내</t>
  </si>
  <si>
    <t>2.3.1.2.6.1</t>
  </si>
  <si>
    <t>2.3.1.2.6.1.1</t>
  </si>
  <si>
    <t>저상버스 예약 화면 구현</t>
  </si>
  <si>
    <t>2.3.1.2.6.1.2</t>
  </si>
  <si>
    <t>승차 및 하차 실시간 안내 구현</t>
  </si>
  <si>
    <t>2.3.1.2.6.1.3</t>
  </si>
  <si>
    <t>예약 상태 및 이용 이력 조회 구현</t>
  </si>
  <si>
    <t>2.3.1.2.6.2</t>
  </si>
  <si>
    <t>2.3.2</t>
  </si>
  <si>
    <t>테스트실시</t>
  </si>
  <si>
    <t>2.3.2.1</t>
  </si>
  <si>
    <t>통합테스트실시</t>
  </si>
  <si>
    <t>2.3.2.2</t>
  </si>
  <si>
    <t>자문단 테스트</t>
  </si>
  <si>
    <t>2.4</t>
  </si>
  <si>
    <t>교통약자 시설물 데이터 구축</t>
  </si>
  <si>
    <t>2.4.1</t>
  </si>
  <si>
    <t>교통약자 시설물 데이터베이스 구축</t>
  </si>
  <si>
    <t>3</t>
  </si>
  <si>
    <t>2단계 시스템 개발</t>
  </si>
  <si>
    <t>3.1</t>
  </si>
  <si>
    <t>3.1.1</t>
  </si>
  <si>
    <t>3.1.1.1</t>
  </si>
  <si>
    <t>3.1.1.1.1</t>
  </si>
  <si>
    <t>3.1.1.1.1.1</t>
  </si>
  <si>
    <t>개선 사항 적용</t>
  </si>
  <si>
    <t>3.1.1.1.1.1.1</t>
  </si>
  <si>
    <t>3.1.1.1.1.1.2</t>
  </si>
  <si>
    <t>3.1.1.1.1.2</t>
  </si>
  <si>
    <t>3.1.1.1.2</t>
  </si>
  <si>
    <t>3.1.1.1.2.1</t>
  </si>
  <si>
    <t>3.1.1.1.2.1.1</t>
  </si>
  <si>
    <t>경로 탐색 품질 개선(유형별 가중치 튜닝)</t>
  </si>
  <si>
    <t>3.1.1.1.2.1.2</t>
  </si>
  <si>
    <t>장소 검색 및 상세 개선 반영</t>
  </si>
  <si>
    <t>3.1.1.1.2.1.3</t>
  </si>
  <si>
    <t>실외 내비게이션 안내 정확도 개선</t>
  </si>
  <si>
    <t>3.1.1.1.2.1.4</t>
  </si>
  <si>
    <t>인근 편의시설 데이터 확대 반영</t>
  </si>
  <si>
    <t>3.1.1.1.2.2</t>
  </si>
  <si>
    <t>3.1.1.1.3</t>
  </si>
  <si>
    <t>3.1.1.1.3.1</t>
  </si>
  <si>
    <t>3.1.1.1.3.1.1</t>
  </si>
  <si>
    <t>버스정류장 및 지하철역 정보 개선 반영</t>
  </si>
  <si>
    <t>3.1.1.1.3.1.2</t>
  </si>
  <si>
    <t>실시간 도착정보 정확도 개선</t>
  </si>
  <si>
    <t>3.1.1.1.3.2</t>
  </si>
  <si>
    <t>3.1.1.1.4</t>
  </si>
  <si>
    <t>3.1.1.1.4.1</t>
  </si>
  <si>
    <t>3.1.1.1.4.1.1</t>
  </si>
  <si>
    <t>2단계 역사 확대 반영(실내지도, 측위)</t>
  </si>
  <si>
    <t>3.1.1.1.4.1.2</t>
  </si>
  <si>
    <t>실내 측위 정확도 개선</t>
  </si>
  <si>
    <t>3.1.1.1.4.1.3</t>
  </si>
  <si>
    <t>실내 경로 안내 개선 반영</t>
  </si>
  <si>
    <t>3.1.1.1.4.1.4</t>
  </si>
  <si>
    <t>실외↔실내 전환 안정화</t>
  </si>
  <si>
    <t>3.1.1.1.4.2</t>
  </si>
  <si>
    <t>3.1.1.1.5</t>
  </si>
  <si>
    <t>AI 음성인식 및 안내</t>
  </si>
  <si>
    <t>3.1.1.1.5.1</t>
  </si>
  <si>
    <t>3.1.1.1.5.1.1</t>
  </si>
  <si>
    <t>음성 인식 및 응답 엔진 연동 구현</t>
  </si>
  <si>
    <t>3.1.1.1.5.1.2</t>
  </si>
  <si>
    <t>챗봇형 대화창 화면 구현</t>
  </si>
  <si>
    <t>3.1.1.1.5.1.3</t>
  </si>
  <si>
    <t>기능 실행 및 응답 구현</t>
  </si>
  <si>
    <t>3.1.1.1.5.1.4</t>
  </si>
  <si>
    <t>긴급 안내 우선 표출 구현</t>
  </si>
  <si>
    <t>3.1.1.1.5.1.5</t>
  </si>
  <si>
    <t>온디바이스 음성 처리 전환 구현</t>
  </si>
  <si>
    <t>3.1.1.1.5.2</t>
  </si>
  <si>
    <t>AI 학습 데이터</t>
  </si>
  <si>
    <t>3.1.1.1.5.3</t>
  </si>
  <si>
    <t>3.1.1.1.6</t>
  </si>
  <si>
    <t>관리자페이지</t>
  </si>
  <si>
    <t>3.1.1.1.6.1</t>
  </si>
  <si>
    <t>3.1.1.1.6.2</t>
  </si>
  <si>
    <t>3.1.1.1.7</t>
  </si>
  <si>
    <t>3.1.1.1.7.1</t>
  </si>
  <si>
    <t>3.1.1.1.7.1.1</t>
  </si>
  <si>
    <t>예약 중계 안정화 개선</t>
  </si>
  <si>
    <t>3.1.1.1.7.1.2</t>
  </si>
  <si>
    <t>혼잡도 기반 예약 안내 구현</t>
  </si>
  <si>
    <t>3.1.1.1.7.1.3</t>
  </si>
  <si>
    <t>탑승 및 하차 알림 정확도 개선</t>
  </si>
  <si>
    <t>3.1.1.1.7.1.4</t>
  </si>
  <si>
    <t>예약 이력 및 통계 연계 개선</t>
  </si>
  <si>
    <t>3.1.1.1.7.2</t>
  </si>
  <si>
    <t>3.1.2</t>
  </si>
  <si>
    <t>3.1.2.1</t>
  </si>
  <si>
    <t>3.1.2.2</t>
  </si>
  <si>
    <t>시스템테스트실시</t>
  </si>
  <si>
    <t>4</t>
  </si>
  <si>
    <t>실내 내비게이션 맵 구축</t>
  </si>
  <si>
    <t>4.1</t>
  </si>
  <si>
    <t>사전 데이터 구축</t>
  </si>
  <si>
    <t>4.1.1</t>
  </si>
  <si>
    <t>현장조사 계획수립</t>
  </si>
  <si>
    <t>4.1.2</t>
  </si>
  <si>
    <t>현장조사(센서 측위)</t>
  </si>
  <si>
    <t>4.1.3</t>
  </si>
  <si>
    <t>내비게이션 맵 구축</t>
  </si>
  <si>
    <t>4.1.4</t>
  </si>
  <si>
    <t>시연 및 평가</t>
  </si>
  <si>
    <t>4.2</t>
  </si>
  <si>
    <t>1단계 시범 구축 (10개 역사)</t>
  </si>
  <si>
    <t>4.2.1</t>
  </si>
  <si>
    <t>자료수집</t>
  </si>
  <si>
    <t>4.2.2</t>
  </si>
  <si>
    <t>역사 실내지도 구축(도면 변환)</t>
  </si>
  <si>
    <t>4.2.3</t>
  </si>
  <si>
    <t>현장조사 (POI 구축)</t>
  </si>
  <si>
    <t>4.2.4</t>
  </si>
  <si>
    <t>서비스 DB 구축</t>
  </si>
  <si>
    <t>4.2.5</t>
  </si>
  <si>
    <t>현장조사용 데이터 구축 포함</t>
  </si>
  <si>
    <t>4.2.6</t>
  </si>
  <si>
    <t>현장조사 (센서 측위)</t>
  </si>
  <si>
    <t>4.2.7</t>
  </si>
  <si>
    <t>4.2.8</t>
  </si>
  <si>
    <t>데이터 검증/보정/테스트</t>
  </si>
  <si>
    <t>5</t>
  </si>
  <si>
    <t>시스템 이관</t>
  </si>
  <si>
    <t>5.1</t>
  </si>
  <si>
    <t>운영 환경 구성</t>
  </si>
  <si>
    <t>5.1.1</t>
  </si>
  <si>
    <t>시스템 설치 및 운영 환경 구성</t>
  </si>
  <si>
    <t>5.2</t>
  </si>
  <si>
    <t>전환 및 배포</t>
  </si>
  <si>
    <t>5.2.1</t>
  </si>
  <si>
    <t>1차 전환 및 배포</t>
  </si>
  <si>
    <t>5.2.1.1</t>
  </si>
  <si>
    <t>1차 데이터베이스이관</t>
  </si>
  <si>
    <t>5.2.1.2</t>
  </si>
  <si>
    <t>1차 시스템 이관</t>
  </si>
  <si>
    <t>5.2.1.3</t>
  </si>
  <si>
    <t>1차 앱 스토어 등록</t>
  </si>
  <si>
    <t>5.2.2</t>
  </si>
  <si>
    <t>2차 전환 및 배포</t>
  </si>
  <si>
    <t>5.2.2.1</t>
  </si>
  <si>
    <t>2차 데이터베이스이관</t>
  </si>
  <si>
    <t>5.2.2.2</t>
  </si>
  <si>
    <t>2차 시스템 이관</t>
  </si>
  <si>
    <t>5.2.2.3</t>
  </si>
  <si>
    <t>2차 앱 스토어 등록</t>
  </si>
  <si>
    <t>엑셀간트(XLGantt) - 엑셀 일정관리</t>
  </si>
  <si>
    <t xml:space="preserve">XLGantt 6.1.0 ©XLWorks </t>
  </si>
  <si>
    <t xml:space="preserve">도움말, 최신 버전 다운로드 - https://xlworks.net/xlgantt-project-scheduler/ </t>
  </si>
  <si>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</si>
  <si>
    <t>시트 구성</t>
  </si>
  <si>
    <t>Schedule</t>
  </si>
  <si>
    <t>작업과 일정을 입력하면 진척률이 계산되며 작업의 일정을 간트차트로 표시해 준다.</t>
  </si>
  <si>
    <t>Progress</t>
  </si>
  <si>
    <t>작업량, 진척률 등을 볼 수 있다.</t>
  </si>
  <si>
    <t>AnalysisReport</t>
  </si>
  <si>
    <t>담당별 진행률, Workload등 분석용 Report를 만들어서 보여준다.</t>
  </si>
  <si>
    <t>프로젝트의 휴무일을 설정한다.</t>
  </si>
  <si>
    <t>Progress_Data</t>
  </si>
  <si>
    <t>진척률 정보를 일단위 Raw data로 생성한다. 차트를 그리거나 사용자가 원하는대로 분석을 할 수 있다.</t>
  </si>
  <si>
    <t>TranslatedLanguages</t>
  </si>
  <si>
    <t>(숨겨진 시트) 언어별 번역이 들어 있다.</t>
  </si>
  <si>
    <t>사용법</t>
  </si>
  <si>
    <t>간단 사용법</t>
  </si>
  <si>
    <t>기능을 간단히 빨리 익히고 싶으면 “간단 사용법”을 참고한다</t>
  </si>
  <si>
    <t>도움말</t>
  </si>
  <si>
    <t>작업입력, 스케줄 업데이트</t>
  </si>
  <si>
    <t>작업명, 시작일, 완료일, 진척률을 입력하면 휴무일, 자원수를 고려하여 자동으로 작업기간, 계획진척률, 실적진척률 등이 계산된다.</t>
  </si>
  <si>
    <t>간트차트 표시방법 설정</t>
  </si>
  <si>
    <t>Bar chart형태로 간트차트를 보여주며 여러 가지 표시방법을 옵션에서 설정할 수 있다.</t>
  </si>
  <si>
    <t>프로젝트 전체 진행상황 파악하기</t>
  </si>
  <si>
    <t>진척률을 이용하여 프로젝트 전체 진행상황을 파악할 수 있다.</t>
  </si>
  <si>
    <t>분석 리포트</t>
  </si>
  <si>
    <t>프로젝트의 현황을 파악할 수 있는 진행률, Workload 등의 분석 리포트와 분석용 Workload data를 제공한다.</t>
  </si>
  <si>
    <t>일정계획 변경관리</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</si>
  <si>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</si>
  <si>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</si>
  <si>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Microsoft Outlook작업, 일정등록</t>
  </si>
  <si>
    <t>엑셀간트에서는 Schedule시트에 입력되어 있는 작업을 Microsoft Outlook에 작업이나 일정으로 등록할 수 있는 기능을 제공한다(단, PC에 Microsoft Outlook이 설치되어 있어야 한다).</t>
  </si>
  <si>
    <t>다국어 지원</t>
  </si>
  <si>
    <t>엑셀간트는 다국어를 지원하는데 프로그램을 수정하지 않고 여러 다국어를 추가할 수 있다. 현재는 한국어, 영어 2개 국어가 추가되어 있다.</t>
  </si>
  <si>
    <t>다른 파일에서 일정 가져오기</t>
  </si>
  <si>
    <t>엑셀간트에서는 엑셀간트(XLGantt) 또는 일반 엑셀파일로 만들어진 일정을 가져오는 기능을 제공한다.</t>
  </si>
  <si>
    <t>한주의 시작요일 지정, 휴무일 설정, 주차표시 기능을 제공한다.
리본메뉴 &gt; XLGantt – Project Scheduler &gt; 옵션 &gt; “Calendar” 탭에서 설정할 수 있다.</t>
  </si>
  <si>
    <t>Excel기능과 통합</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</si>
  <si>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</si>
  <si>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작업량 계산</t>
  </si>
  <si>
    <t>작업량 계산 방식을 선택할 수 있다.</t>
  </si>
  <si>
    <t>WBS영역, 컬러테마 설정</t>
  </si>
  <si>
    <t>엑셀간트의 모양과 색상을 지정할 수 있다.</t>
  </si>
  <si>
    <t>작업 의존관계 설정</t>
  </si>
  <si>
    <t>작업 의존관계(FS,SS,FF,SF)를 설정할 수 있다.</t>
  </si>
  <si>
    <t>XLGantt Version 6.1.0 사용조건</t>
  </si>
  <si>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</si>
  <si>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프로젝트 진척률 - 일정변경 관리하지 않을때</t>
  </si>
  <si>
    <t>* 프로젝트 작업량과 진척률을 보여줍니다.</t>
  </si>
  <si>
    <t>* "스케줄업데이트" 버튼 클릭 시 아래 항목이 자동계산됩니다.</t>
  </si>
  <si>
    <t>프로젝트 전체 작업량</t>
  </si>
  <si>
    <t>Man/Day</t>
  </si>
  <si>
    <t>프로젝트 전체의 작업량을 Man/Day로 표시, 자원수를 적용한 값</t>
  </si>
  <si>
    <t>현재일까지 계획된 작업량</t>
  </si>
  <si>
    <t>프로젝트 시작일부터 현재일까지의 작업량(현재 날짜까지 진행되었어야 할 작업량) (PV)</t>
  </si>
  <si>
    <t>실적기성</t>
  </si>
  <si>
    <t>실적기성(프로젝트 전체 작업량 x 실적 진척률) (EV)</t>
  </si>
  <si>
    <t>실제 투입된 작업량</t>
  </si>
  <si>
    <t>일정변경 관리할 때 현재까지 실제로 투입된 작업량을 표시함 (AC)</t>
  </si>
  <si>
    <t>계획 진척률(A)</t>
  </si>
  <si>
    <t>현재날짜까지 계획된 진척률, WBS의 "계획진척률"의 전체 합계 진척률을 표시</t>
  </si>
  <si>
    <t>실적 진척률(B)</t>
  </si>
  <si>
    <t>현재날짜까지 실제로 진행된 진척률, WBS의 "실적진척률"의 전체 합계 진척률을 표시</t>
  </si>
  <si>
    <t>차이(B-A)</t>
  </si>
  <si>
    <t>양수이면 계획보다 빨리 진행, 음수이면 지연</t>
  </si>
  <si>
    <t>담당별_x000D_
진행률</t>
  </si>
  <si>
    <t>* 담당별로 투입된 Task와 총작업량, 계획작업량, 진척작업을 Man-day로 보여주고, 계획/실적 진행률을 보여줍니다.</t>
  </si>
  <si>
    <t>* "담당별진행률"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</si>
  <si>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</si>
  <si>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</si>
  <si>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</si>
  <si>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</si>
  <si>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</si>
  <si>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</si>
  <si>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</si>
  <si>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</si>
  <si>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</si>
  <si>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</si>
  <si>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(담당자미지정)</t>
  </si>
  <si>
    <t xml:space="preserve">월간보고(2026.07) </t>
  </si>
  <si>
    <t>1.2.12</t>
  </si>
  <si>
    <t>(담당자미지정) 요약</t>
  </si>
  <si>
    <t>총합계</t>
  </si>
  <si>
    <t>날짜</t>
  </si>
  <si>
    <t>주차</t>
  </si>
  <si>
    <t>일일 계획작업량(Man-Day)</t>
  </si>
  <si>
    <t>계획작업량 누적(Man-Day)</t>
  </si>
  <si>
    <t>계획작업량 진척률</t>
  </si>
  <si>
    <t>일일 실적기성(Man-Day)</t>
  </si>
  <si>
    <t>실적기성 누적(Man-Day)</t>
  </si>
  <si>
    <t>실적기성 진척률</t>
  </si>
  <si>
    <t>일일 실제투입작업량(Man-Day)</t>
  </si>
  <si>
    <t>실제투입작업량 누적(Man-Day)</t>
  </si>
  <si>
    <t>실제투입작업량 진척률</t>
  </si>
  <si>
    <t xml:space="preserve"> 프로젝트 휴무일 Calendar 설정</t>
  </si>
  <si>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</si>
  <si>
    <t>표준캘린더</t>
  </si>
  <si>
    <t>사용자정의 캘린더1</t>
  </si>
  <si>
    <t>사용자정의 캘린더2</t>
  </si>
  <si>
    <t>휴무일명</t>
  </si>
  <si>
    <t>휴무일자</t>
  </si>
  <si>
    <t>2026년 신정</t>
  </si>
  <si>
    <t>2026년 설 연휴</t>
  </si>
  <si>
    <t>2026년 설날</t>
  </si>
  <si>
    <t>2026년 대체공휴일(삼일절)</t>
  </si>
  <si>
    <t>2026년 어린이날</t>
  </si>
  <si>
    <t>2026년 대체공휴일(부처님오신날)</t>
  </si>
  <si>
    <t>2026년 전국동시지방선거</t>
  </si>
  <si>
    <t>2026년 제헌절</t>
  </si>
  <si>
    <t>2026년 대체공휴일(광복절)</t>
  </si>
  <si>
    <t>2026년 추석 연휴</t>
  </si>
  <si>
    <t>2026년 추석</t>
  </si>
  <si>
    <t>2026년 대체공휴일(개천절)</t>
  </si>
  <si>
    <t>2026년 한글날</t>
  </si>
  <si>
    <t>2026년 성탄절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</si>
  <si>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</si>
  <si>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</si>
  <si>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</si>
  <si>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</si>
  <si>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</si>
  <si>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</si>
  <si>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</si>
  <si>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</si>
  <si>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</si>
  <si>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</si>
  <si>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</si>
  <si>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</si>
  <si>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더 이상 입력불가</t>
  </si>
  <si>
    <t>Reserved</t>
  </si>
  <si>
    <t>Text Index</t>
  </si>
  <si>
    <t>Description</t>
  </si>
  <si>
    <t>English</t>
  </si>
  <si>
    <t>Korean</t>
  </si>
  <si>
    <t>Custom</t>
  </si>
  <si>
    <t>F</t>
  </si>
  <si>
    <t>reserved index</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</si>
  <si>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</si>
  <si>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</si>
  <si>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</si>
  <si>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</si>
  <si>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</si>
  <si>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</si>
  <si>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</si>
  <si>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</si>
  <si>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You can import  files created in XLGantt._x000D_
* You can import files if the version is 0.9.7 or higher than 0.9.7_x000D_
* You can import up to 10,000 records._x000D_
* You can import multiple files simultaneously.</t>
  </si>
  <si>
    <t xml:space="preserve">* 가져올 파일이 XLGantt로 작성된 경우만 가능_x000D_
\n* XLGantt의 버전이 0.9.7 이상인 경우만 가능\n* 자료의 갯수는 10,000개 이하까지만 처리됨_x000D_
\n* 여러개의 파일 동시처리 가능_x000D_
</t>
  </si>
  <si>
    <t>Project duration is too long. The earliest start date is {1} and the latest finish date is {2}, so the project duration is {3} days. The maximum number of days allowed in XLGantt is {4} days. Reduce the project duration to within the limits allowed by XLGantt.</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</si>
  <si>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</si>
  <si>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Saturdays, Sundays and the dates entered in the Calendar sheet_x000D_</t>
  </si>
  <si>
    <t>토요일,일요일 및 Calendar sheet에 입력된 날짜_x000D_</t>
  </si>
  <si>
    <t>reserved index, for help sheet</t>
  </si>
  <si>
    <t>XLGantt is a program designed to enable project scheduling in Microsoft Excel. It is composed of the following features. You don't need to install this program because it is a Excel macro file. You just download this file, save it to a folder, and open it in Excel.</t>
  </si>
  <si>
    <t>Currently we support only English and Korean as user interface(UI) language at XLGantt. Since the program code and the resource file for multiple languages ​​are separated, it is possible to add multiple languages ​​without modifying the program.</t>
  </si>
  <si>
    <t>When you enter nonworking days, XLGantt excludes them from calculations of working time. Standard calendar is the default calendar. If you want to specify a different calendar for a specific task, please use "User Defined Calendar 1" or "User Defined Calendar 2".</t>
  </si>
  <si>
    <t>You can use this feature if you want to see the server's schedule data. If you put the schedule data on the Server into the ServerData sheet and download the XLGantt file and open the XLGantt file, the data comes into the Schedule sheet.</t>
  </si>
  <si>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</si>
  <si>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</si>
  <si>
    <t>Program error has occurred, this error can occur because of the following:\n\n1. An incorrect value was entered in the Schedule sheet (eg, a value beginning with an equal sign (=) was entered except in the date field).\n\n2. {1}</t>
  </si>
  <si>
    <t xml:space="preserve">오류가 발생했습니다. 오류의 원인은 다음 중 하나일 수 있습니다.\n\n1. Schedule 시트에 잘못된 값이 입력되었습니다(예: 날짜 필드를 제외한 곳에 등호(=)로 시작하는 값이 입력됨).\n\n2. {1} </t>
  </si>
  <si>
    <t>Program error has occurred.\n\n{1}\nError code:{2}\n\nIf this program file is stored in a cloud storage such as Microsoft OneDrive, move it to a local drive on your PC and use it.</t>
  </si>
  <si>
    <t>오류가 발생했습니다.\n\n{1}\nError code:{2}\n\n이 프로그램 파일이 Microsoft OneDrive 등 클라우드 저장소에 저장되어 있다면 PC의 로컬드라이브로 옮겨서 사용하세요.</t>
  </si>
  <si>
    <t>Program error has occurred.\n\n{1}\nError code:{2}</t>
  </si>
  <si>
    <t>오류가 발생했습니다.\n\n{1}\nError code:{2}</t>
  </si>
  <si>
    <t xml:space="preserve">              From                      To</t>
  </si>
  <si>
    <t xml:space="preserve"> Source필드 명       Target필드 명</t>
  </si>
  <si>
    <t xml:space="preserve">           Field Name         Example</t>
  </si>
  <si>
    <t xml:space="preserve"> 필드 명                값 예시</t>
  </si>
  <si>
    <t xml:space="preserve">       Field Name           Field Value</t>
  </si>
  <si>
    <t xml:space="preserve"> 필드 명                필드 값</t>
  </si>
  <si>
    <t xml:space="preserve"> Mapped</t>
  </si>
  <si>
    <t xml:space="preserve"> Mapping된 상태</t>
  </si>
  <si>
    <t xml:space="preserve"> Setting nonworking days in the project calendar</t>
  </si>
  <si>
    <t>"%Work Complete" is invalid. Type a number between 0% and 100%.</t>
  </si>
  <si>
    <t>실적진척률은 0~100% 범위만 입력가능합니다.</t>
  </si>
  <si>
    <t>"Outline level"(task Level) field. It displays the level of a task.Instead of "Outline level", you can use "WBS".</t>
  </si>
  <si>
    <t>개요수준(작업Level)필드입니다. 작업의 Level을 표시합니다. 예를 들어 2 Level의 작업이면 숫자 2로 표시됩니다. 개요수준대신 WBS필드(1.3.2 등의 형식으로 표시)를 사용하기도 합니다.</t>
  </si>
  <si>
    <t>"WBS"(Work Breakdown Structure) field. It displays the level of a task. Instead of WBS, you can use "Outline level".</t>
  </si>
  <si>
    <t>WBS(Work Breakdown Structure) 필드입니다. 작업의 Level을 표시합니다. 1.3.2 등의 형식으로 표시됩니다. WBS대신 개요수준(작업Level)필드를 사용하기도 합니다. 예를 들어 2 Level의 작업이면 숫자 2로 표시됩니다.</t>
  </si>
  <si>
    <t>%Work Complete</t>
  </si>
  <si>
    <t>실적진척률</t>
  </si>
  <si>
    <t>%Work Complete(B)</t>
  </si>
  <si>
    <t>%Work Complete(C/A)</t>
  </si>
  <si>
    <t>for import columun</t>
  </si>
  <si>
    <t>%Work__Complete</t>
  </si>
  <si>
    <t>실적</t>
  </si>
  <si>
    <t>%Work\nComplete</t>
  </si>
  <si>
    <t>for help sheet</t>
  </si>
  <si>
    <t>(Hidden sheet) Contains language-specific translations.</t>
  </si>
  <si>
    <t>(Resources unspecified)</t>
  </si>
  <si>
    <t>* Automactically calulated if you click the "Update Schedule" button</t>
  </si>
  <si>
    <t>* Choose a language</t>
  </si>
  <si>
    <t>* 언어를 선택하세요</t>
  </si>
  <si>
    <t>* Common Excel file, Not XLGantt file\n   (First row is title,from second rows are contents)\n* You can import only one file at once.</t>
  </si>
  <si>
    <t>* XLGantt 파일이 아닌 Excel파일(1행은 제목, 2행부터 내용이 있는 파일)\n* 자료갯수 제한 없음\n* 한번에 한개의 파일만 처리됨</t>
  </si>
  <si>
    <t>* This sheet shows you project progresses by months.</t>
  </si>
  <si>
    <t>* 월별로 프로젝트 진척률을 보여줍니다.</t>
  </si>
  <si>
    <t>* This sheet shows you project progresses by weeks.</t>
  </si>
  <si>
    <t>* 주별로 프로젝트 진척률을 보여줍니다.</t>
  </si>
  <si>
    <t>* This sheet shows you tasks, workloads, progresses(%Work complete), etc by resources.</t>
  </si>
  <si>
    <t>* This sheet shows you workload allocations by resources.</t>
  </si>
  <si>
    <t>* 담당별 Workload를 보여줍니다.</t>
  </si>
  <si>
    <t>* This sheet shows you workload allocations by weeks or months.</t>
  </si>
  <si>
    <t>* 주별 또는 월별 Workload를 보여줍니다.</t>
  </si>
  <si>
    <t>* This sheet shows you workload and %Work complete.</t>
  </si>
  <si>
    <t>* You need to click the "Progress by Months" button to update the contents.</t>
  </si>
  <si>
    <t>* "진척률(월별)" 메뉴를 클릭해야 갱신됨</t>
  </si>
  <si>
    <t>* You need to click the "Progress by Weeks" button to update the contents.</t>
  </si>
  <si>
    <t>* "진척률(주별)" 메뉴를 클릭해야 갱신됨</t>
  </si>
  <si>
    <t>* You need to click the "Progresses by Resources" button to update contents.</t>
  </si>
  <si>
    <t>* You need to click the "Workloads by Resources" button to update the contents.</t>
  </si>
  <si>
    <t>* "Workload(담당별)" 메뉴를 클릭해야 내용이 갱신됩니다.</t>
  </si>
  <si>
    <t>* You need to click the "Workloads by Weeks" or "Workloads by Months" button to update the contents.</t>
  </si>
  <si>
    <t>* "Workload(주별)" 또는 "Workload(월별)" 메뉴를 클릭해야 내용이 갱신됩니다.</t>
  </si>
  <si>
    <t>{} "Outlook Appointment(s)" have been added.</t>
  </si>
  <si>
    <t>Outlook일정이 {}건 등록되었습니다.</t>
  </si>
  <si>
    <t>{} "Outlook Task(s)" have been added.</t>
  </si>
  <si>
    <t>Outlook작업이 {}건 등록되었습니다.</t>
  </si>
  <si>
    <t>{} file does not exist.</t>
  </si>
  <si>
    <t>{} 파일이 존재하지 않습니다</t>
  </si>
  <si>
    <t>&lt;&lt; Remove</t>
  </si>
  <si>
    <t>&lt;&lt; 제거</t>
  </si>
  <si>
    <t>&lt;&lt; Unmap</t>
  </si>
  <si>
    <t>&lt;&lt; Mapping취소</t>
  </si>
  <si>
    <t>12/1/2018</t>
  </si>
  <si>
    <t>12/31/2018</t>
  </si>
  <si>
    <t>About</t>
  </si>
  <si>
    <t>Accumulated\nMan-Day</t>
  </si>
  <si>
    <t>누적\nMan-Day</t>
  </si>
  <si>
    <t>manual input</t>
  </si>
  <si>
    <t>Actual</t>
  </si>
  <si>
    <t>Actual %Complete is invalid. Enter a number only. Verify row {} of the source file.</t>
  </si>
  <si>
    <t>실적진척률에 숫자가 아닌 값이 포함되어 있습니다. Import하는 파일의 {}행을 확인하세요.</t>
  </si>
  <si>
    <t>Actual %Work Complete from the start date to the current date</t>
  </si>
  <si>
    <t>Actual Accumulated\nMan-Day</t>
  </si>
  <si>
    <t>실제 누적\nMan-Day</t>
  </si>
  <si>
    <t>for importOnStartup</t>
  </si>
  <si>
    <t>Actual Finish</t>
  </si>
  <si>
    <t>실제완료일</t>
  </si>
  <si>
    <t>Actual Finish Date</t>
  </si>
  <si>
    <t>실제완료일자</t>
  </si>
  <si>
    <t>Actual finish date field of a task. It must be in date format.</t>
  </si>
  <si>
    <t>각 작업의 실제완료일(또는 실제종료일)을 표시합니다. 반드시 날짜 형식이어야 합니다.</t>
  </si>
  <si>
    <t>Actual finish date is invalid.</t>
  </si>
  <si>
    <t>실제완료일의 날짜형식이 잘못되었습니다.</t>
  </si>
  <si>
    <t>Actual finish date is invalid. Verify row {} of the source file.</t>
  </si>
  <si>
    <t>실제완료일자에 날짜가 아닌 값이 포함되어 있습니다. Import하는 파일의 {}행을 확인하세요.</t>
  </si>
  <si>
    <t>Actual Man-Day</t>
  </si>
  <si>
    <t>실제 Man-Day</t>
  </si>
  <si>
    <t>Actual Progress</t>
  </si>
  <si>
    <t>실제진척률</t>
  </si>
  <si>
    <t>Actual progress rate(%Work Complete) field.</t>
  </si>
  <si>
    <t>실제진척률 필드입니다. 현재까지 실제 진척된 작업량을 %로 표현합니다.</t>
  </si>
  <si>
    <t>Actual Start</t>
  </si>
  <si>
    <t>실제시작일</t>
  </si>
  <si>
    <t>Actual Start Date</t>
  </si>
  <si>
    <t>실제시작일자</t>
  </si>
  <si>
    <t>Actual start date field of a task. It must be in date format.</t>
  </si>
  <si>
    <t>각 작업의 실제시작일을 표시합니다. 반드시 날짜 형식이어야 합니다.</t>
  </si>
  <si>
    <t>Actual start date is invalid.</t>
  </si>
  <si>
    <t>실제시작일의 날짜형식이 잘못되었습니다.</t>
  </si>
  <si>
    <t>Actual start date is invalid. Verify row {} of the source file.</t>
  </si>
  <si>
    <t>실제시작일자에 날짜가 아닌 값이 포함되어 있습니다. Import하는 파일의 {}행을 확인하세요.</t>
  </si>
  <si>
    <t>Actual Total Duration</t>
  </si>
  <si>
    <t>실제총기간</t>
  </si>
  <si>
    <t>Actual Total Work</t>
  </si>
  <si>
    <t>실제총작업량</t>
  </si>
  <si>
    <t>Actual Total Work\nMan-day</t>
  </si>
  <si>
    <t>실제 총작업량\nMan-day</t>
  </si>
  <si>
    <t>Actual Total__Duration</t>
  </si>
  <si>
    <t>실제 총기간__(전체 기간)</t>
  </si>
  <si>
    <t>Actual Total\nDuration</t>
  </si>
  <si>
    <t>실제\n총기간</t>
  </si>
  <si>
    <t>Actual Total\nWork(Total\nManDay)</t>
  </si>
  <si>
    <t>실제 총작업량\n(총ManDay,_x000D_자원수 감안)</t>
  </si>
  <si>
    <t>Actual Incurred Accumulated(Man-Day)</t>
  </si>
  <si>
    <t>Actual Incurred Progress</t>
  </si>
  <si>
    <t>Actual Incurred(Man-Day)</t>
  </si>
  <si>
    <t>실제투입작업량(Man-Day)</t>
  </si>
  <si>
    <t>Actual__Finish</t>
  </si>
  <si>
    <t>실제__완료일</t>
  </si>
  <si>
    <t>Actual__Start</t>
  </si>
  <si>
    <t>실제__시작일</t>
  </si>
  <si>
    <t>Actual__Total Duration</t>
  </si>
  <si>
    <t>실제__총기간</t>
  </si>
  <si>
    <t>Actual__Total Work</t>
  </si>
  <si>
    <t>실제__총작업량</t>
  </si>
  <si>
    <t>Actual\nFinish</t>
  </si>
  <si>
    <t>실제\n완료일</t>
  </si>
  <si>
    <t>Actual\nStart</t>
  </si>
  <si>
    <t>실제\n시작일</t>
  </si>
  <si>
    <t>Actual\nStart-Finish</t>
  </si>
  <si>
    <t>실제_x000D_\n시작일-완료일</t>
  </si>
  <si>
    <t>Actual\nTotal Duration</t>
  </si>
  <si>
    <t>Actual\nTotal Work</t>
  </si>
  <si>
    <t>실제\n총작업량</t>
  </si>
  <si>
    <t>Actual Incurred workload</t>
  </si>
  <si>
    <t>Actual incurred workload to date when managing schedule changes (AC)</t>
  </si>
  <si>
    <t>Actually performed workload when not managing schedule changes(Total Duration x %Work Complete)</t>
  </si>
  <si>
    <t>일정변경관리 하지 않을 때 현재까지 실제로 진행된 작업량을 표시함(총기간 x 총실적진행률)</t>
  </si>
  <si>
    <t>일정변경관리 하지 않을 때 현재까지 실제로 진행된 작업기간을 표시함(총기간 x 총실적진행률)</t>
  </si>
  <si>
    <t>Add &gt;&gt;</t>
  </si>
  <si>
    <t>추가 &gt;&gt;</t>
  </si>
  <si>
    <t>Add Languages</t>
  </si>
  <si>
    <t>언어 추가</t>
  </si>
  <si>
    <t>Add to MS Outlook Calendar</t>
  </si>
  <si>
    <t>MS Outlook일정 등록</t>
  </si>
  <si>
    <t>Add to MS Outlook Task</t>
  </si>
  <si>
    <t>MS Outlook작업 등록</t>
  </si>
  <si>
    <t>Adding Tasks to Microsoft Outlook Calendar</t>
  </si>
  <si>
    <t>Adds tasks to the Outlook calendar(You must have Microsoft Outlook installed on your PC).</t>
  </si>
  <si>
    <t>After turning off filtering, we'll proceed.</t>
  </si>
  <si>
    <t>필터를 해제하고 작업을 진행합니다.</t>
  </si>
  <si>
    <t>Ahead of schedule</t>
  </si>
  <si>
    <t>계획대비 빠름</t>
  </si>
  <si>
    <t>All tasks</t>
  </si>
  <si>
    <t>전체 조회(필터 해제)</t>
  </si>
  <si>
    <t>An error occurred while checking for updates. Please try again \nError Message: {}</t>
  </si>
  <si>
    <t>최신버전 확인 중 에러가 발생했습니다. 잠시 후 다시 시도하세요.\n에러메시지 : {}</t>
  </si>
  <si>
    <t>An error occurred while checking XLGantt cell formats. Please restart XLGantt.</t>
  </si>
  <si>
    <t>서식check 중 에러가 발생하였습니다. XLGantt를 종료하고 다시 시작하십시오.</t>
  </si>
  <si>
    <t>An error occurred while processing. Please check the messages below.</t>
  </si>
  <si>
    <t>처리 중 에러가 발생했습니다. 아래의 메시지를 확인하십시오.</t>
  </si>
  <si>
    <t>Analysis</t>
  </si>
  <si>
    <t>Analysis report</t>
  </si>
  <si>
    <t>Appearance</t>
  </si>
  <si>
    <t>모양</t>
  </si>
  <si>
    <t>Automatic</t>
  </si>
  <si>
    <t>자동</t>
  </si>
  <si>
    <t>Automatic Except for Data Tables</t>
  </si>
  <si>
    <t>데이터 표만 수동</t>
  </si>
  <si>
    <t>Automatically defined</t>
  </si>
  <si>
    <t>자동지정</t>
  </si>
  <si>
    <t>Available Languages</t>
  </si>
  <si>
    <t>추가 가능한 언어</t>
  </si>
  <si>
    <t>Bar chart Text Display Position</t>
  </si>
  <si>
    <t>Bar chart의 텍스트 표시 위치</t>
  </si>
  <si>
    <t>Because the following task already has been added, XLGantt does not add it to "Outlook".\n\nTask Name : {1} \nDue Date : {2}</t>
  </si>
  <si>
    <t>다음 작업은 이미 등록되어 있으므로 등록하지 않습니다.\n\n작업명 : {1} \n기한 : {2}</t>
  </si>
  <si>
    <t>Because the following task already has been added, XLGantt does not add it to "Outlook".\n\nTask Name : {1} \nStart Date : {2}</t>
  </si>
  <si>
    <t>다음 작업은 이미 등록되어 있으므로 등록하지 않습니다.\n\n작업명 : {1} \n시작일 : {2}</t>
  </si>
  <si>
    <t>Behind schedule</t>
  </si>
  <si>
    <t>일정 지연</t>
  </si>
  <si>
    <t>blabla</t>
  </si>
  <si>
    <t>...</t>
  </si>
  <si>
    <t>Black &amp; White</t>
  </si>
  <si>
    <t>흑백</t>
  </si>
  <si>
    <t>By %Work Complete</t>
  </si>
  <si>
    <t>완료율</t>
  </si>
  <si>
    <t>By Duration</t>
  </si>
  <si>
    <t>기간</t>
  </si>
  <si>
    <t>By Resource</t>
  </si>
  <si>
    <t>by Resource Allocation Ratio</t>
  </si>
  <si>
    <t>자원배정비율로 계산</t>
  </si>
  <si>
    <t>by Resource Count</t>
  </si>
  <si>
    <t>자원수로 계산</t>
  </si>
  <si>
    <t>Calculation Base Date of Planned %Work Complete</t>
  </si>
  <si>
    <t>계획진척률 계산 기준일자</t>
  </si>
  <si>
    <t>Calculation Base Date of Planned %Work Complete must be greater than or equal to project start date.</t>
  </si>
  <si>
    <t>계획진척률 계산 기준일자는 프로젝트 시작일보다 크거나 같아야 합니다.</t>
  </si>
  <si>
    <t>Calculation Base Date of Planned %Work Complete must be less than or equal to project finish date.</t>
  </si>
  <si>
    <t>계획진척률 계산 기준일자는 프로젝트 완료일보다 작거나 같아야 합니다.</t>
  </si>
  <si>
    <t>Calculation Options</t>
  </si>
  <si>
    <t>계산 옵션</t>
  </si>
  <si>
    <t>Cancel</t>
  </si>
  <si>
    <t>취소</t>
  </si>
  <si>
    <t>Chart</t>
  </si>
  <si>
    <t>차트</t>
  </si>
  <si>
    <t>Check for Updates</t>
  </si>
  <si>
    <t>최신버전\n확인</t>
  </si>
  <si>
    <t xml:space="preserve">Check for Updates on Startup </t>
  </si>
  <si>
    <t>프로그램 시작 시 최신버전 확인</t>
  </si>
  <si>
    <t>Check if you save deliverables in specific directory</t>
  </si>
  <si>
    <t>산출물 관리를 할 경우에 체크하세요</t>
  </si>
  <si>
    <t>Choose a file type to import</t>
  </si>
  <si>
    <t>가져올 파일 종류 선택</t>
  </si>
  <si>
    <t>Choose a language used in XLGantt</t>
  </si>
  <si>
    <t>XLGantt에서 사용할 언어 선택</t>
  </si>
  <si>
    <t>Choose a language used in XLGantt.</t>
  </si>
  <si>
    <t>XLGantt에서 사용할 언어를 선택하세요.</t>
  </si>
  <si>
    <t>Choose a language.</t>
  </si>
  <si>
    <t>언어를 선택하세요</t>
  </si>
  <si>
    <t>Choose an import option.</t>
  </si>
  <si>
    <t>가져오기 옵션을 선택하세요.</t>
  </si>
  <si>
    <t>Choose directly</t>
  </si>
  <si>
    <t>컴퓨터 O/S와 관계없이 직접 선택</t>
  </si>
  <si>
    <t>Choose the Type of Deliverables</t>
  </si>
  <si>
    <t>산출물 종류를 선택하세요</t>
  </si>
  <si>
    <t>Choose what to do after Importing Server Data</t>
  </si>
  <si>
    <t>서버데이터 가져온 후 수행할 작업 선택</t>
  </si>
  <si>
    <t>Close</t>
  </si>
  <si>
    <t>닫기</t>
  </si>
  <si>
    <t>Color Theme</t>
  </si>
  <si>
    <t>컬러 테마</t>
  </si>
  <si>
    <t>Completed(=100%)</t>
  </si>
  <si>
    <t>완료</t>
  </si>
  <si>
    <t>Contains</t>
  </si>
  <si>
    <t>포함</t>
  </si>
  <si>
    <t>Create Workload Data by Months</t>
  </si>
  <si>
    <t>Workload Data생성(월별)</t>
  </si>
  <si>
    <t>Create Workload Data by Weeks</t>
  </si>
  <si>
    <t>Workload Data생성(주별)</t>
  </si>
  <si>
    <t>Current Version</t>
  </si>
  <si>
    <t>현재 사용중인 버전</t>
  </si>
  <si>
    <t>사용자 정의</t>
  </si>
  <si>
    <t>Daily</t>
  </si>
  <si>
    <t>일별</t>
  </si>
  <si>
    <t>Daily view</t>
  </si>
  <si>
    <t>일별보기</t>
  </si>
  <si>
    <t>Days (Average number of working days per month)</t>
  </si>
  <si>
    <t>일 (월평균 근무일수)</t>
  </si>
  <si>
    <t xml:space="preserve">Days counted as Nonworking days </t>
  </si>
  <si>
    <t>휴무일로 계산되는 날</t>
  </si>
  <si>
    <t>Basic</t>
  </si>
  <si>
    <t>기본</t>
  </si>
  <si>
    <t>Deliverables</t>
  </si>
  <si>
    <t>Deliverables field.</t>
  </si>
  <si>
    <t>산출물 필드입니다.</t>
  </si>
  <si>
    <t>Deliverables type is not selected</t>
  </si>
  <si>
    <t>산출물 종류가 선택되지 않았습니다</t>
  </si>
  <si>
    <t>Display  % Work Complete</t>
  </si>
  <si>
    <t>실적진척률 표시</t>
  </si>
  <si>
    <t>Display date</t>
  </si>
  <si>
    <t>날짜 표시</t>
  </si>
  <si>
    <t>Display date on the timescale</t>
  </si>
  <si>
    <t>간트차트 눈금에 날짜 표시</t>
  </si>
  <si>
    <t>Display font color to gray for the completed tasks</t>
  </si>
  <si>
    <t>완료된 작업의 폰트색상 회색표시</t>
  </si>
  <si>
    <t>Display interior color to gray for the task groups</t>
  </si>
  <si>
    <t>작업그룹의 배경색 회색표시</t>
  </si>
  <si>
    <t>Display Planned %Work Complete</t>
  </si>
  <si>
    <t>계획진척률 표시</t>
  </si>
  <si>
    <t>Display project week number on the timescale</t>
  </si>
  <si>
    <t>간트차트 눈금에 프로젝트 주차 표시</t>
  </si>
  <si>
    <t>Display resource</t>
  </si>
  <si>
    <t>담당 표시</t>
  </si>
  <si>
    <t xml:space="preserve">Display task name </t>
  </si>
  <si>
    <t>작업명 표시</t>
  </si>
  <si>
    <t>Display the task name in the same field</t>
  </si>
  <si>
    <t>같은 필드에 작업명 표시</t>
  </si>
  <si>
    <t>Display the total workload of the project</t>
  </si>
  <si>
    <t>Display year on the timescale</t>
  </si>
  <si>
    <t>간트차트 눈금에 년도 표시</t>
  </si>
  <si>
    <t>Displayed in %Work complete column</t>
  </si>
  <si>
    <t>실적 열에 표시됨</t>
  </si>
  <si>
    <t>Displays the task name in the different field for each level</t>
  </si>
  <si>
    <t>Level별로 다른 필드에 작업명 표시</t>
  </si>
  <si>
    <t>Do not recalculate WBS area after import</t>
  </si>
  <si>
    <t>가져오기 후 WBS영역 재계산 안함</t>
  </si>
  <si>
    <t>Download the latest version</t>
  </si>
  <si>
    <t>프로그램 최신버전 다운로드</t>
  </si>
  <si>
    <t>Drawing Gantt chart</t>
  </si>
  <si>
    <t>Gantt chart 그리기 작업</t>
  </si>
  <si>
    <t>Drawing progress line</t>
  </si>
  <si>
    <t>진척률선 그리기</t>
  </si>
  <si>
    <t xml:space="preserve">Duration </t>
  </si>
  <si>
    <t>기간 지정</t>
  </si>
  <si>
    <t>Earned Value Accumulated(Man-Day)</t>
  </si>
  <si>
    <t>Earned value on planned schedule</t>
  </si>
  <si>
    <t>Earned value on planned schedule when managing schedule changes(Total Duration x %Work Complete) (EV)</t>
  </si>
  <si>
    <t>일정변경관리 할때 실적기성(프로젝트 전체 작업량 x 실적 진척률) (EV)</t>
  </si>
  <si>
    <t>Earned value on planned schedule(Total Duration x %Work Complete) (EV)</t>
  </si>
  <si>
    <t>Earned Value Progress</t>
  </si>
  <si>
    <t>Earned Value(C)\nMan-day</t>
  </si>
  <si>
    <t>실적기성( C )\nMan-day</t>
  </si>
  <si>
    <t>Earned Value(Man-Day)</t>
  </si>
  <si>
    <t>실적기성(Man-Day)</t>
  </si>
  <si>
    <t>Edit a Task</t>
  </si>
  <si>
    <t>작업 정보</t>
  </si>
  <si>
    <t>Elsa,John[50%]</t>
  </si>
  <si>
    <t>홍길동,김길동[50%]</t>
  </si>
  <si>
    <t>Enabled Languages</t>
  </si>
  <si>
    <t>사용할 수 있는 언어</t>
  </si>
  <si>
    <t>Equals</t>
  </si>
  <si>
    <t>같음</t>
  </si>
  <si>
    <t>Error! Calculated Total Man-Day is different from the Total Man-Day of the {} sheet.</t>
  </si>
  <si>
    <t>오류! 계산된 Total Man-Day가 {} sheet의 Total Man-Day와 다릅니다.</t>
  </si>
  <si>
    <t>Error! Cause may be one of the following.\n * File is invalid(e.g. the XLGantt file corrupted)\n * Not XLGantt file but General Excel file\n\n Please check the messages below for details.</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</si>
  <si>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</si>
  <si>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Error, Invalid field specified.</t>
  </si>
  <si>
    <t>오류, 지정할 수 없는 필드가 있습니다</t>
  </si>
  <si>
    <t>Etc</t>
  </si>
  <si>
    <t>기타</t>
  </si>
  <si>
    <t>Excel</t>
  </si>
  <si>
    <t>엑셀</t>
  </si>
  <si>
    <t>Execution path of Program</t>
  </si>
  <si>
    <t>프로그램 실행경로</t>
  </si>
  <si>
    <t>Extension</t>
  </si>
  <si>
    <t>확장자명</t>
  </si>
  <si>
    <t>Filter</t>
  </si>
  <si>
    <t>필터 적용</t>
  </si>
  <si>
    <t>Filter Task</t>
  </si>
  <si>
    <t>작업 필터</t>
  </si>
  <si>
    <t>Finish</t>
  </si>
  <si>
    <t>Finish Date</t>
  </si>
  <si>
    <t>완료일자</t>
  </si>
  <si>
    <t>Finish date field of a task. It must be in date format.</t>
  </si>
  <si>
    <t>각 작업의 완료일(또는 종료일)을 표시합니다. 반드시 날짜 형식이어야 합니다.</t>
  </si>
  <si>
    <t>Finish date is invalid.</t>
  </si>
  <si>
    <t>작업완료일의 날짜형식이 잘못되었습니다.</t>
  </si>
  <si>
    <t>Finish date is invalid. Verify row {} of the source file.</t>
  </si>
  <si>
    <t>완료일자에 날짜가 아닌 값이 포함되어 있습니다. Import하는 파일의 {}행을 확인하세요.</t>
  </si>
  <si>
    <t>First day of week</t>
  </si>
  <si>
    <t>한주의 시작요일</t>
  </si>
  <si>
    <t>Follow the language setting of your computer O/S</t>
  </si>
  <si>
    <t>컴퓨터 O/S의 언어설정을 따름</t>
  </si>
  <si>
    <t>Fri</t>
  </si>
  <si>
    <t>금</t>
  </si>
  <si>
    <t>From (File to import )</t>
  </si>
  <si>
    <t>Source파일(가져올 파일 )</t>
  </si>
  <si>
    <t>From Date is invalid.</t>
  </si>
  <si>
    <t>시작날짜 형식이 잘못되었습니다.</t>
  </si>
  <si>
    <t>Gantt Chart Display</t>
  </si>
  <si>
    <t>Gantt chart 표시 방법</t>
  </si>
  <si>
    <t>Gantt chart group task bar</t>
  </si>
  <si>
    <t>간트차트 그룹작업Bar</t>
  </si>
  <si>
    <t>Gantt chart progress line</t>
  </si>
  <si>
    <t>간트차트 진척률선</t>
  </si>
  <si>
    <t>Gantt chart sub task bar</t>
  </si>
  <si>
    <t>간트차트 하위작업Bar</t>
  </si>
  <si>
    <t>Gantt chart title</t>
  </si>
  <si>
    <t>간트차트 타이틀</t>
  </si>
  <si>
    <t>Gantt Chart View Style</t>
  </si>
  <si>
    <t>Gantt Chart 보기 형식</t>
  </si>
  <si>
    <t>Gantt Chart Zoom Ratio(Max 999%)</t>
  </si>
  <si>
    <t>Gantt Chart 축소/확대 비율(최대 999%)</t>
  </si>
  <si>
    <t>General</t>
  </si>
  <si>
    <t>일반</t>
  </si>
  <si>
    <t>Getting Started With XLGantt</t>
  </si>
  <si>
    <t>Green</t>
  </si>
  <si>
    <t>그린</t>
  </si>
  <si>
    <t>Group rows</t>
  </si>
  <si>
    <t>작업을 그룹으로 묶기</t>
  </si>
  <si>
    <t>Group rows(Max 8 Levels)</t>
  </si>
  <si>
    <t>작업을 그룹으로 묶기(최대 8 레벨)</t>
  </si>
  <si>
    <t>Help</t>
  </si>
  <si>
    <t>Help and the latest version</t>
  </si>
  <si>
    <t>도움말, 최신 버전 다운로드</t>
  </si>
  <si>
    <t>How to use</t>
  </si>
  <si>
    <t>https://xlworks.net/en/</t>
  </si>
  <si>
    <t>https://xlworks.net/</t>
  </si>
  <si>
    <t>https://xlworks.net/en/xlgantt-project-scheduler/</t>
  </si>
  <si>
    <t>https://xlworks.net/en/xlgantt-howto-1-getting-started-with-xlgantt/</t>
  </si>
  <si>
    <t>https://xlworks.net/xlgantt-easy-tip/</t>
  </si>
  <si>
    <t>https://xlworks.net/en/xlgantt-howto-2-input-task-update-schedule/</t>
  </si>
  <si>
    <t>https://xlworks.net/xlgantt-howto-02-task/</t>
  </si>
  <si>
    <t>https://xlworks.net/en/xlgantt-howto-03-gantt-chart/</t>
  </si>
  <si>
    <t>https://xlworks.net/xlgantt-howto-03-gantt-chart/</t>
  </si>
  <si>
    <t>https://xlworks.net/en/xlgantt-howto-04-project-progress/</t>
  </si>
  <si>
    <t>https://xlworks.net/xlgantt-howto-04-project-progress/</t>
  </si>
  <si>
    <t>https://xlworks.net/en/xlgantt-howto-05-analysis-report/</t>
  </si>
  <si>
    <t>https://xlworks.net/xlgantt-howto-05-analysis-report/</t>
  </si>
  <si>
    <t>https://xlworks.net/en/xlgantt-howto-06-schedule-change-management/</t>
  </si>
  <si>
    <t>https://xlworks.net/xlgantt-howto-06-schedule-change-management/</t>
  </si>
  <si>
    <t>https://xlworks.net/en/xlgantt-howto-07-deliverables/</t>
  </si>
  <si>
    <t>https://xlworks.net/xlgantt-howto-07-deliverables/</t>
  </si>
  <si>
    <t>https://xlworks.net/en/xlgantt-howto-08-add-tasks-to-outlook/</t>
  </si>
  <si>
    <t>https://xlworks.net/xlgantt-howto-08-add-tasks-to-outlook/</t>
  </si>
  <si>
    <t>https://xlworks.net/en/xlgantt-howto-09-multilingual-support/</t>
  </si>
  <si>
    <t>https://xlworks.net/xlgantt-howto-09-multilingual-support/</t>
  </si>
  <si>
    <t>https://xlworks.net/en/xlgantt-howto-10-import-schedule/</t>
  </si>
  <si>
    <t>https://xlworks.net/xlgantt-howto-10-import-schedule/</t>
  </si>
  <si>
    <t>https://xlworks.net/en/xlgantt-howto-11-calendar/</t>
  </si>
  <si>
    <t>https://xlworks.net/xlgantt-howto-11-calendar/</t>
  </si>
  <si>
    <t>https://xlworks.net/en/xlgantt-howto-12-integration-with-excel/</t>
  </si>
  <si>
    <t>https://xlworks.net/xlgantt-howto-12-integration-with-excel/</t>
  </si>
  <si>
    <t>https://xlworks.net/en/xlgantt-howto-13-server-data/</t>
  </si>
  <si>
    <t>https://xlworks.net/xlgantt-howto-13-server-data/</t>
  </si>
  <si>
    <t>https://xlworks.net/en/xlgantt-howto-14-workloads/</t>
  </si>
  <si>
    <t>https://xlworks.net/xlgantt-howto-14-workloads/</t>
  </si>
  <si>
    <t>https://xlworks.net/en/xlgantt-howto-15-color-theme/</t>
  </si>
  <si>
    <t>https://xlworks.net/xlgantt-howto-15-color-theme/</t>
  </si>
  <si>
    <t>If the language in source file and the language in target file are different, you can not import.</t>
  </si>
  <si>
    <t>가져오는 파일(소스파일)에 설정된 언어와 이 파일(타겟파일)에 설정된 언어가 다르면 Import할 수 없습니다.</t>
  </si>
  <si>
    <t>If you choose "Assigning path by task name automatically" option, you need to set the upper path.</t>
  </si>
  <si>
    <t>작업명으로 하위 경로 자동지정을 선택한 경우에는 상위의 기본경로를 설정해야 합니다.</t>
  </si>
  <si>
    <t>If you do not enter the actual finish date of row number {1} in the {2} sheet, you can't enter "%Work Complete" as 100%.</t>
  </si>
  <si>
    <t>{2} sheet의 {1}행의 실제시작일만 입력하고 실제완료일을 비워놓으면 완료율을 100%로 입력할 수 없습니다.</t>
  </si>
  <si>
    <t>If you want to learn the features quickly and easily, see the "Getting Started With XLGantt".</t>
  </si>
  <si>
    <t>Import</t>
  </si>
  <si>
    <t>가져오기</t>
  </si>
  <si>
    <t xml:space="preserve">Import  Data of "ServerData" sheet on Startup </t>
  </si>
  <si>
    <t>프로그램 시작 시 "ServerData" 시트의 데이터 가져오기</t>
  </si>
  <si>
    <t>Import common Excel file</t>
  </si>
  <si>
    <t>일반 Excel 파일</t>
  </si>
  <si>
    <t>Import data after clearing the existing data</t>
  </si>
  <si>
    <t>기존Data 지우고 가져오기</t>
  </si>
  <si>
    <t>Import Data without Clearing the Existing Data</t>
  </si>
  <si>
    <t>기존Data 아래에 추가하기</t>
  </si>
  <si>
    <t>Import file format Error! Range A1 should contain "xlgantt_reserved" string.</t>
  </si>
  <si>
    <t>가져오는 파일의 포맷이 잘못되었습니다. A1셀에는 "xlgantt_reserved"가 입력되어 있어야 합니다.</t>
  </si>
  <si>
    <t>Import file format Error! Range A2 should contain the import result.</t>
  </si>
  <si>
    <t>가져오는 파일의 포맷이 잘못되었습니다. A2셀에는 가져오기 결과가 입력되어 있어야 합니다.</t>
  </si>
  <si>
    <t>Import files created in XLGantt</t>
  </si>
  <si>
    <t>XLGantt로 작성된 파일 가져오기</t>
  </si>
  <si>
    <t>Import from Server</t>
  </si>
  <si>
    <t>서버에서\n가져오기</t>
  </si>
  <si>
    <t>Import has already been completed.</t>
  </si>
  <si>
    <t>가져오기가 이미 완료되었습니다.</t>
  </si>
  <si>
    <t>Import new data into the Schedule sheet after clearing the exisint data</t>
  </si>
  <si>
    <t>이 XLGantt파일에 있는 Data를 지우고 새로운 Data를 가져와서 _x000D_
붙여 넣기</t>
  </si>
  <si>
    <t>Import new data into the Schedule sheet without clearing the existing  data</t>
  </si>
  <si>
    <t>이 XLGantt파일에 있는 Data를 그대로 두고 맨 아래에 새로운 Data를 가져와서 붙여 넣기</t>
  </si>
  <si>
    <t>Import Option</t>
  </si>
  <si>
    <t>가져오기 옵션</t>
  </si>
  <si>
    <t xml:space="preserve">Import success!\nTotal rows of imported data : </t>
  </si>
  <si>
    <t xml:space="preserve">가져오기 작업이 정상적으로 완료되었습니다.\n가져온 자료의 전체 행수 : </t>
  </si>
  <si>
    <t>Import without clearing the existing data.</t>
  </si>
  <si>
    <t>기존Data에 추가하기</t>
  </si>
  <si>
    <t>Import Wizard</t>
  </si>
  <si>
    <t>파일 가져오기</t>
  </si>
  <si>
    <t>Importing Schedules from Another File</t>
  </si>
  <si>
    <t>Importing Server Data</t>
  </si>
  <si>
    <t>Server Data 가져오기</t>
  </si>
  <si>
    <t>Importing..., Please wait...</t>
  </si>
  <si>
    <t>자료를 가져옵니다. 잠시만 기다려주세요...</t>
  </si>
  <si>
    <t>Imports schedules into XLGantt. You can import the schedules by mapping the fields.</t>
  </si>
  <si>
    <t>Included in the selection\nlist when deliverables\nnot specified</t>
  </si>
  <si>
    <t>산출물명 비었을때\n선택목록에 포함\n여부</t>
  </si>
  <si>
    <t>Indent Task</t>
  </si>
  <si>
    <t>작업레벨 내림</t>
  </si>
  <si>
    <t>Inside of the chart</t>
  </si>
  <si>
    <t>Chart 내부</t>
  </si>
  <si>
    <t>Integration with Excel Features</t>
  </si>
  <si>
    <t>Invalid field name!</t>
  </si>
  <si>
    <t>필드명이 잘못되었습니다!</t>
  </si>
  <si>
    <t>It is used when you want to see schedule data of IT system where server exists separately.</t>
  </si>
  <si>
    <t>Server가 별도로 존재하는 IT시스템의 일정관리 Data를 PC에서 보고자할 때 사용한다.</t>
  </si>
  <si>
    <t>It recalculates duration and % Work Complete. Clicking the Save button will be the same.</t>
  </si>
  <si>
    <t>It's already chosen language.</t>
  </si>
  <si>
    <t>이미 선택된 언어입니다.</t>
  </si>
  <si>
    <t>Job Results</t>
  </si>
  <si>
    <t>작업결과</t>
  </si>
  <si>
    <t>John</t>
  </si>
  <si>
    <t>홍길동</t>
  </si>
  <si>
    <t>Keeping track of project progress</t>
  </si>
  <si>
    <t>Language</t>
  </si>
  <si>
    <t>언어</t>
  </si>
  <si>
    <t>Left of the chart</t>
  </si>
  <si>
    <t>Chart 왼쪽</t>
  </si>
  <si>
    <t>License</t>
  </si>
  <si>
    <t>라이선스</t>
  </si>
  <si>
    <t>Makes workload data by weekly and monthly. You can do analysis as you want by using Excel features such as pivot.</t>
  </si>
  <si>
    <t>Workload data를 주별/월별로 만들어 준다. 피벗 등의 기능으로 사용자가 원하는대로 분석을 할 수 있다.</t>
  </si>
  <si>
    <t>Manages the planned schedule and actual schedule of the project.</t>
  </si>
  <si>
    <t>Managing Schedule Changes</t>
  </si>
  <si>
    <t>일정변경 관리함(시작일/완료일, 실제시작일/실제완료일 사용)</t>
  </si>
  <si>
    <t>Man-Day</t>
  </si>
  <si>
    <t>Man-Month</t>
  </si>
  <si>
    <t>Manual</t>
  </si>
  <si>
    <t>수동</t>
  </si>
  <si>
    <t>Map &gt;&gt;</t>
  </si>
  <si>
    <t>Mapping &gt;&gt;</t>
  </si>
  <si>
    <t>Mark task as milestone</t>
  </si>
  <si>
    <t>작업을 마일스톤으로 지정</t>
  </si>
  <si>
    <t>mm/dd/yyyy</t>
  </si>
  <si>
    <t>yyyy/mm/dd</t>
  </si>
  <si>
    <t>mmmm yyyy</t>
  </si>
  <si>
    <t>yyyy년 m월</t>
  </si>
  <si>
    <t>Mon</t>
  </si>
  <si>
    <t>월</t>
  </si>
  <si>
    <t>Monthly</t>
  </si>
  <si>
    <t>월별</t>
  </si>
  <si>
    <t>Monthly view</t>
  </si>
  <si>
    <t>월별보기</t>
  </si>
  <si>
    <t>Months</t>
  </si>
  <si>
    <t>Multilingual Support</t>
  </si>
  <si>
    <t>Name of Nonworking Days</t>
  </si>
  <si>
    <t>New Version</t>
  </si>
  <si>
    <t>최신 버전</t>
  </si>
  <si>
    <t>Next &gt;&gt;</t>
  </si>
  <si>
    <t>다음 &gt;&gt;</t>
  </si>
  <si>
    <t>No data to import.</t>
  </si>
  <si>
    <t>가져올 데이터가 없습니다.</t>
  </si>
  <si>
    <t>No need to enter in the Calendar sheet</t>
  </si>
  <si>
    <t>Calendar sheet에 입력할 필요 없음</t>
  </si>
  <si>
    <t>No need to enter Saturdays and Sundays in the Calendar sheet</t>
  </si>
  <si>
    <t>토요일,일요일은 Calendar sheet에 입력할 필요 없음</t>
  </si>
  <si>
    <t>for Week Number</t>
  </si>
  <si>
    <t>None</t>
  </si>
  <si>
    <t>표시 안함</t>
  </si>
  <si>
    <t>Nonworking Days</t>
  </si>
  <si>
    <t>Not Completed(&lt;&gt;100%)</t>
  </si>
  <si>
    <t>미완료</t>
  </si>
  <si>
    <t>Not Managing Schedule Changes</t>
  </si>
  <si>
    <t>일정변경 관리 안함(시작일/완료일만 사용)</t>
  </si>
  <si>
    <t>Not Specified(Standard Calendar)</t>
  </si>
  <si>
    <t>지정하지 않음(표준캘린더)</t>
  </si>
  <si>
    <t>Note</t>
  </si>
  <si>
    <t>Number of "Task" columns(Max 20)</t>
  </si>
  <si>
    <t>"작업"열의 개수(최대 20개)</t>
  </si>
  <si>
    <t>Of the first two rows, at least one has been deleted. Please retry after changing the sheet to its previous state.</t>
  </si>
  <si>
    <t>1~2행 중 한 행이 삭제되었습니다. 원래대로 복구한 후 작업하십시오.</t>
  </si>
  <si>
    <t>On schedule</t>
  </si>
  <si>
    <t>일정 준수</t>
  </si>
  <si>
    <t>Once you choose "Display the task name in the same field" option, you should select a WBS No. or a WBS Level field.</t>
  </si>
  <si>
    <t>"같은 필드에 작업명 표시" 옵션을 선택했으면 WBS No. 또는 개요수준(WBS Level) 필드 중 하나는 선택되어야 합니다</t>
  </si>
  <si>
    <t>Only Saturdays and Sundays</t>
  </si>
  <si>
    <t>토요일,일요일만</t>
  </si>
  <si>
    <t>Only the dates entered in the Calendar sheet</t>
  </si>
  <si>
    <t>Calendar sheet에 입력된 날짜만</t>
  </si>
  <si>
    <t>Open Deliverables</t>
  </si>
  <si>
    <t>산출물 열기</t>
  </si>
  <si>
    <t>Open Deliverables Folder</t>
  </si>
  <si>
    <t>산출물 폴더 열기</t>
  </si>
  <si>
    <t>Options</t>
  </si>
  <si>
    <t>옵션</t>
  </si>
  <si>
    <t>Outdent Task</t>
  </si>
  <si>
    <t>작업레벨 올림</t>
  </si>
  <si>
    <t>Outline Level</t>
  </si>
  <si>
    <t>개요수준</t>
  </si>
  <si>
    <t xml:space="preserve">Percent </t>
  </si>
  <si>
    <t>퍼센트 지정</t>
  </si>
  <si>
    <t>Pick a Date</t>
  </si>
  <si>
    <t>날짜 선택</t>
  </si>
  <si>
    <t>Plan</t>
  </si>
  <si>
    <t>Planned %Work Complete</t>
  </si>
  <si>
    <t>계획진척률</t>
  </si>
  <si>
    <t>Planned %Work Complete calculation base date</t>
  </si>
  <si>
    <t>Planned %Work Complete from the start date to the current date</t>
  </si>
  <si>
    <t>Planned %Work Complete(A)</t>
  </si>
  <si>
    <t>Planned %Work Complete(B/A)</t>
  </si>
  <si>
    <t>Planned Duration</t>
  </si>
  <si>
    <t>계획기간</t>
  </si>
  <si>
    <t>Planned Progress</t>
  </si>
  <si>
    <t>Planned Work</t>
  </si>
  <si>
    <t>계획작업량</t>
  </si>
  <si>
    <t>Planned Work(B)\nMan-day</t>
  </si>
  <si>
    <t>계획작업량(B)\nMan-day</t>
  </si>
  <si>
    <t>Planned Work\n(ManDay to Today)</t>
  </si>
  <si>
    <t>계획 작업량_x000D_
(현재일까지ManDay,_x000D_
자원수 감안)</t>
  </si>
  <si>
    <t>Planned workload</t>
  </si>
  <si>
    <t>Planned Workload Accumulated(Man-Day)</t>
  </si>
  <si>
    <t>Planned workload from the start date to the current date(PV)</t>
  </si>
  <si>
    <t>Planned Workload Progress</t>
  </si>
  <si>
    <t>Planned Workload(Man-Day)</t>
  </si>
  <si>
    <t>계획작업량(Man-Day)</t>
  </si>
  <si>
    <t>Planned__%Work Complete</t>
  </si>
  <si>
    <t>Planned__Duration</t>
  </si>
  <si>
    <t>계획__기간</t>
  </si>
  <si>
    <t>Planned__Work</t>
  </si>
  <si>
    <t>계획__작업량</t>
  </si>
  <si>
    <t>Planned\n%Work Complete</t>
  </si>
  <si>
    <t>Planned\nDuration</t>
  </si>
  <si>
    <t>계획\n기간</t>
  </si>
  <si>
    <t>Planned\nWork</t>
  </si>
  <si>
    <t>계획\n작업량</t>
  </si>
  <si>
    <t>Please choose a type of the task field.</t>
  </si>
  <si>
    <t>작업필드의 유형을 선택하세요.</t>
  </si>
  <si>
    <t>Please enter the extension.</t>
  </si>
  <si>
    <t>확장자명을 입력하세요.</t>
  </si>
  <si>
    <t>Please enter the path where deliverables are saved.</t>
  </si>
  <si>
    <t>산출물이 저장될 특정경로를 입력하세요.</t>
  </si>
  <si>
    <t>Please enter the program execution path.</t>
  </si>
  <si>
    <t>프로그램 실행경로를 입력하세요.</t>
  </si>
  <si>
    <t>Please set project calendars in this sheet.</t>
  </si>
  <si>
    <t>이 Sheet에서 프로젝트 Calendar를 설정하세요.</t>
  </si>
  <si>
    <t>Positive - ahead of schedule, Negative - behind schedule</t>
  </si>
  <si>
    <t>Powerpoint</t>
  </si>
  <si>
    <t>파워포인트</t>
  </si>
  <si>
    <t>Program Info</t>
  </si>
  <si>
    <t>프로그램 정보</t>
  </si>
  <si>
    <t>Program Name</t>
  </si>
  <si>
    <t>프로그램명</t>
  </si>
  <si>
    <t>Program Site</t>
  </si>
  <si>
    <t>프로그램 사이트</t>
  </si>
  <si>
    <t>진척률</t>
  </si>
  <si>
    <t>Progress by Months</t>
  </si>
  <si>
    <t>진척률(월별)</t>
  </si>
  <si>
    <t>Progress by Weeks</t>
  </si>
  <si>
    <t>진척률(주별)</t>
  </si>
  <si>
    <t>Progresses by Resources</t>
  </si>
  <si>
    <t>담당별\n진행률</t>
  </si>
  <si>
    <t>Project Execution Plan</t>
  </si>
  <si>
    <t>프로젝트수행계획서</t>
  </si>
  <si>
    <t>Project Information</t>
  </si>
  <si>
    <t>프로젝트 정보</t>
  </si>
  <si>
    <t>Project Name</t>
  </si>
  <si>
    <t>프로젝트명</t>
  </si>
  <si>
    <t>Project Progress - When managing schedule changes</t>
  </si>
  <si>
    <t>프로젝트 진척률 - 일정변경 관리할때</t>
  </si>
  <si>
    <t>Project Progress - When not managing schedule changes</t>
  </si>
  <si>
    <t>Project Progresses by Months</t>
  </si>
  <si>
    <t>프로젝트 진척률(월별)</t>
  </si>
  <si>
    <t>Project Progresses by Weeks</t>
  </si>
  <si>
    <t>프로젝트 진척률(주별)</t>
  </si>
  <si>
    <t>Project Scheduler</t>
  </si>
  <si>
    <t>Provides you with analytical reports such as progress, workload, and workload data for tracking the status of your project.</t>
  </si>
  <si>
    <t>Purple</t>
  </si>
  <si>
    <t>퍼플</t>
  </si>
  <si>
    <t>Recalculate WBS area after import</t>
  </si>
  <si>
    <t>가져오기 후 WBS영역 재계산</t>
  </si>
  <si>
    <t>Reformatting</t>
  </si>
  <si>
    <t>서식\n재설정</t>
  </si>
  <si>
    <t>Regardless of the language setting in computer O/S, you can choose a language directly</t>
  </si>
  <si>
    <t>컴퓨터 O/S에 설정된 언어와 관계없이 사용자가 표시할 언어를 직접 선택할 수 _x000D_
있습니다.</t>
  </si>
  <si>
    <t>Release Date</t>
  </si>
  <si>
    <t>릴리즈 일자</t>
  </si>
  <si>
    <t>Resource Allocation Ratio</t>
  </si>
  <si>
    <t>Resource field.</t>
  </si>
  <si>
    <t>자원 필드입니다. 담당자, 리소스 등의 이름으로 불리기도 합니다. 해당 작업의 담당자를 표시합니다</t>
  </si>
  <si>
    <t>Resources</t>
  </si>
  <si>
    <t>Right of the chart</t>
  </si>
  <si>
    <t>Chart 오른쪽</t>
  </si>
  <si>
    <t xml:space="preserve">Rows of imported data : </t>
  </si>
  <si>
    <t xml:space="preserve">가져온 자료의 행수 : </t>
  </si>
  <si>
    <t>Run "Update Schedule"  When Saving XLGantt File</t>
  </si>
  <si>
    <t>File저장시 "스케줄업데이트" 실행</t>
  </si>
  <si>
    <t>Sat</t>
  </si>
  <si>
    <t>토</t>
  </si>
  <si>
    <t>Save</t>
  </si>
  <si>
    <t>저장</t>
  </si>
  <si>
    <t>Schedule change</t>
  </si>
  <si>
    <t>Schedule Change Management</t>
  </si>
  <si>
    <t>Schedule update has been completed.</t>
  </si>
  <si>
    <t>스케줄업데이트 작업이 완료되었습니다.</t>
  </si>
  <si>
    <t>Schedule variance</t>
  </si>
  <si>
    <t>계획대비 실적 차이</t>
  </si>
  <si>
    <t>Schedule Variance(B-A)</t>
  </si>
  <si>
    <t>Search for the tasks based on criteria.</t>
  </si>
  <si>
    <t>Select source files(Muliple Select)</t>
  </si>
  <si>
    <t>가져올 파일을 선택하세요(다중선택가능)</t>
  </si>
  <si>
    <t>Set "the earliest start date and the lastest fisnish date of the tasks" to the Project Start-Finish date.</t>
  </si>
  <si>
    <t>Task의 가장 빠른 시작일과 가장 늦은 완료일을 프로젝트 기간으로 자동설정</t>
  </si>
  <si>
    <t xml:space="preserve">Set path by the task name automatically\n(in this case, specify the upper path of automatically assigned path) </t>
  </si>
  <si>
    <t xml:space="preserve">작업명으로 경로 자동지정(이 경우 자동지정된 경로의 상위경로를 입력) </t>
  </si>
  <si>
    <t>Set program execution paths to open deliverables</t>
  </si>
  <si>
    <t>산출물열기 프로그램 실행경로 지정</t>
  </si>
  <si>
    <t>Set saving path of deliverables</t>
  </si>
  <si>
    <t>산출물 저장경로</t>
  </si>
  <si>
    <t>Sets nonworking days.</t>
  </si>
  <si>
    <t>Setting Gantt chart display style</t>
  </si>
  <si>
    <t>Settings</t>
  </si>
  <si>
    <t>설정</t>
  </si>
  <si>
    <t>Sheets</t>
  </si>
  <si>
    <t>Shows you the progresses and workloads of the project by weeks, months, and resources.</t>
  </si>
  <si>
    <t>Shows you the workloads, progresses, etc.</t>
  </si>
  <si>
    <t>Specific Date</t>
  </si>
  <si>
    <t>특정날짜</t>
  </si>
  <si>
    <t>Specific path</t>
  </si>
  <si>
    <t>특정 경로</t>
  </si>
  <si>
    <t>Specifies the save path of the deliverables and open the deliverables.</t>
  </si>
  <si>
    <t>Standard Calendar</t>
  </si>
  <si>
    <t>Star(*) marks - required fields</t>
  </si>
  <si>
    <t>별(*)표시는 필수입력</t>
  </si>
  <si>
    <t>Start</t>
  </si>
  <si>
    <t>Start Date</t>
  </si>
  <si>
    <t>시작일자</t>
  </si>
  <si>
    <t>Start date field of a task. It must be in date format.</t>
  </si>
  <si>
    <t>각 작업의 시작일을 표시합니다. 반드시 날짜 형식이어야 합니다.</t>
  </si>
  <si>
    <t>Start date is invalid.</t>
  </si>
  <si>
    <t>작업시작일의 날짜형식이 잘못되었습니다.</t>
  </si>
  <si>
    <t>Start date is invalid. Verify row {} of the source file.</t>
  </si>
  <si>
    <t>시작일자에 날짜가 아닌 값이 포함되어 있습니다. Import하는 파일의 {}행을 확인하세요.</t>
  </si>
  <si>
    <t>Started as planned</t>
  </si>
  <si>
    <t>계획과 같은 날짜에 시작됨</t>
  </si>
  <si>
    <t>Started earlier than planned</t>
  </si>
  <si>
    <t>계획보다 일찍 시작됨</t>
  </si>
  <si>
    <t>Started later than planned</t>
  </si>
  <si>
    <t>계획보다 늦게 시작됨</t>
  </si>
  <si>
    <t>Start-Finish</t>
  </si>
  <si>
    <t>시작일-완료일</t>
  </si>
  <si>
    <t>Successfully imported.</t>
  </si>
  <si>
    <t>가져오기가 정상적으로 완료되었습니다.</t>
  </si>
  <si>
    <t>Sun</t>
  </si>
  <si>
    <t>일</t>
  </si>
  <si>
    <t>System 1</t>
  </si>
  <si>
    <t>체계 1</t>
  </si>
  <si>
    <t>System 2</t>
  </si>
  <si>
    <t>체계 2</t>
  </si>
  <si>
    <t>Task</t>
  </si>
  <si>
    <t>Task area was not selected. Please select a task area.</t>
  </si>
  <si>
    <t>작업영역이 선택되지 않았습니다. 영역을 선택하세요.</t>
  </si>
  <si>
    <t>Enter tasks, Update schedule</t>
  </si>
  <si>
    <t>Task Name</t>
  </si>
  <si>
    <t>작업명</t>
  </si>
  <si>
    <t>Task name field.It's also referred to as "Work" or "Activity" or etc.</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</si>
  <si>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</si>
  <si>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Task(Task name or Name) is missing.</t>
  </si>
  <si>
    <t>Task(작업명, 이름 등)는 반드시 입력되어야 합니다.</t>
  </si>
  <si>
    <t>The "%Work Complete" column has been deleted. Please retry after changing the sheet to its previous state.</t>
  </si>
  <si>
    <t>실적진척률 열이 삭제되었습니다. 원래대로 복구한 후 작업하세요.</t>
  </si>
  <si>
    <t>The "%Work Complete" of row number {1} in the {2} sheet is not a number.</t>
  </si>
  <si>
    <t>{2} sheet의 {1}행의 실적진척률이 숫자가 아닙니다.</t>
  </si>
  <si>
    <t>The "Actual Finish Date" column has been deleted. Please retry after changing the sheet to its previous state.</t>
  </si>
  <si>
    <t>실제완료일 열이 삭제되었습니다. 원래대로 복구한 후 작업하세요.</t>
  </si>
  <si>
    <t>The "Actual Start Date" column has been deleted. Please retry after changing the sheet to its previous state.</t>
  </si>
  <si>
    <t>실제시작일 열이 삭제되었습니다. 원래대로 복구한 후 작업하세요.</t>
  </si>
  <si>
    <t>The "Actual Total Duration" column has been deleted. Please retry after changing the sheet to its previous state.</t>
  </si>
  <si>
    <t>실제총기간 열이 삭제되었습니다. 원래대로 복구한 후 작업하세요.</t>
  </si>
  <si>
    <t>The "Actual Total Work" column has been deleted. Please retry after changing the sheet to its previous state.</t>
  </si>
  <si>
    <t>실제총작업량 열이 삭제되었습니다. 원래대로 복구한 후 작업하세요.</t>
  </si>
  <si>
    <t>The "Calendar" column has been deleted. Please retry after changing the sheet to its previous state.</t>
  </si>
  <si>
    <t>Calendar 열이 삭제되었습니다. 원래대로 복구한 후 작업하세요.</t>
  </si>
  <si>
    <t>The "Deliverables" column has been deleted. Please retry after changing the sheet to its previous state.</t>
  </si>
  <si>
    <t>산출물 열이 삭제되었습니다. 원래대로 복구한 후 작업하세요.</t>
  </si>
  <si>
    <t>The "Finish Date" column has been deleted. Please retry after changing the sheet to its previous state.</t>
  </si>
  <si>
    <t>완료일 열이 삭제되었습니다. 원래대로 복구한 후 작업하세요.</t>
  </si>
  <si>
    <t>The "Note" column has been deleted. Please retry after changing the sheet to its previous state.</t>
  </si>
  <si>
    <t>비고 열이 삭제되었습니다. 원래대로 복구한 후 작업하세요.</t>
  </si>
  <si>
    <t>The "Planned %Work Complete" column has been deleted. Please retry after changing the sheet to its previous state.</t>
  </si>
  <si>
    <t>계획진척률 열이 삭제되었습니다. 원래대로 복구한 후 작업하세요.</t>
  </si>
  <si>
    <t>The "Planned Duration" column has been deleted. Please retry after changing the sheet to its previous state.</t>
  </si>
  <si>
    <t>계획기간 열이 삭제되었습니다. 원래대로 복구한 후 작업하세요.</t>
  </si>
  <si>
    <t>The "Planned Work" column has been deleted. Please retry after changing the sheet to its previous state.</t>
  </si>
  <si>
    <t>계획작업량 열이 삭제되었습니다. 원래대로 복구한 후 작업하세요.</t>
  </si>
  <si>
    <t>The "Resources" column has been deleted. Please retry after changing the sheet to its previous state.</t>
  </si>
  <si>
    <t>담당 열이 삭제되었습니다. 원래대로 복구한 후 작업하세요.</t>
  </si>
  <si>
    <t>The "Start Date" column has been deleted. Please retry after changing the sheet to its previous state.</t>
  </si>
  <si>
    <t>시작일 열이 삭제되었습니다. 원래대로 복구한 후 작업하세요.</t>
  </si>
  <si>
    <t>The "Task" column has been deleted. Please retry after changing the sheet to its previous state.</t>
  </si>
  <si>
    <t>작업 열이 삭제되었습니다. 원래대로 복구한 후 작업하세요.</t>
  </si>
  <si>
    <t>The "Total Duration" column has been deleted. Please retry after changing the sheet to its previous state.</t>
  </si>
  <si>
    <t>총기간 열이 삭제되었습니다. 원래대로 복구한 후 작업하세요.</t>
  </si>
  <si>
    <t>The "Total Work" column has been deleted. Please retry after changing the sheet to its previous state.</t>
  </si>
  <si>
    <t>총작업량 열이 삭제되었습니다. 원래대로 복구한 후 작업하세요.</t>
  </si>
  <si>
    <t>The "WBS Level" column has been deleted. Please retry after changing the sheet to its previous state.</t>
  </si>
  <si>
    <t>WBS Level 열이 삭제되었습니다. 원래대로 복구한 후 작업하세요.</t>
  </si>
  <si>
    <t>The "WBS" column has been deleted. Please retry after changing the sheet to its previous state.</t>
  </si>
  <si>
    <t>WBS 열이 삭제되었습니다. 원래대로 복구한 후 작업하세요.</t>
  </si>
  <si>
    <t>The "Resource Count" column has been deleted. Please retry after changing the sheet to its previous state.</t>
  </si>
  <si>
    <t>자원수 열이 삭제되었습니다. 원래대로 복구한 후 작업하세요.</t>
  </si>
  <si>
    <t>The {} sheet does not exist. Please check that you changed or deleted the sheet.</t>
  </si>
  <si>
    <t>{} sheet가 존재하지 않습니다. 이름을 변경하거나 삭제했는지 확인하세요.</t>
  </si>
  <si>
    <t>The {} sheet does not exist. Please check that you have changed or deleted the sheet.</t>
  </si>
  <si>
    <t>The actual finish date format of row number {1} in the {2} sheet is invalid.</t>
  </si>
  <si>
    <t>{2} sheet의 {1}행의 실제완료일이 날짜형식이 아닙니다. 정확한 날짜형식으로 입력하세요.</t>
  </si>
  <si>
    <t>The actual finish date of the row number {1} in the {2} sheet was entered, but the actual start date is empty.</t>
  </si>
  <si>
    <t>{2} sheet의 {1}행의 실제시작일이 비어있고 실제완료일만 입력되어 있습니다.</t>
  </si>
  <si>
    <t>The actual start date format of row number {1} in the {2} sheet is invalid.</t>
  </si>
  <si>
    <t>{2} sheet의 {1}행의 실제시작일이 날짜형식이 아닙니다. 정확한 날짜형식으로 입력하세요.</t>
  </si>
  <si>
    <t>The actual start date of row number {1} in the {2} sheet is later than the actual finish date.</t>
  </si>
  <si>
    <t>{2} sheet의 {1}행의 실제시작일이 실제완료일보다 큽니다.</t>
  </si>
  <si>
    <t>The actual start date of row number {1} in the {2} sheet is out of the project duration.</t>
  </si>
  <si>
    <t>{2} sheet의 {1}행의 실제 시작일이 프로젝트 기간을 벗어났습니다.</t>
  </si>
  <si>
    <t>The actual start or finish date of row number {1} in the {2} sheet is out of the project duration.</t>
  </si>
  <si>
    <t>{2} sheet의 {1}행의 실젝 시작일 또는 완료일이 프로젝트 기간을 벗어났습니다.</t>
  </si>
  <si>
    <t>The count of level</t>
  </si>
  <si>
    <t>Level의 갯수</t>
  </si>
  <si>
    <t>The date field of row number {1} in the {2} sheet was entered, but the task field is empty.\nEnter a value in the task field or clear the date field.</t>
  </si>
  <si>
    <t>{2} sheet의 {1}행의 날짜는 입력되었는데 작업필드가 비어있습니다.\n작업필드의 값을 채우거나 날짜를 지우세요.</t>
  </si>
  <si>
    <t>The deliverables name is empty.</t>
  </si>
  <si>
    <t>산출물명이 비어있습니다.</t>
  </si>
  <si>
    <t>The earliest start date({1}) of the tasks is earlier than the start date({2}) of the project.\n\nIn this case, there may be problems with resource calculations. Please change the start date to valid date.</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</si>
  <si>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</si>
  <si>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The finish date format of row number {1} in the {2} sheet is invalid.</t>
  </si>
  <si>
    <t>{2} sheet의 {1}행의 완료일이 날짜형식이 아닙니다. 정확한 날짜형식으로 입력하세요.</t>
  </si>
  <si>
    <t>The first column of Gantt area has been deleted. Please retry after changing the sheet to its previous state.</t>
  </si>
  <si>
    <t>Gantt영역의 첫번째 열이 삭제되었습니다. 원래대로 복구한 후 작업하세요.</t>
  </si>
  <si>
    <t>The following file formats are not supported. You can import files with version 0.9.7 or higher than 0.9.7.</t>
  </si>
  <si>
    <t>다음 파일은 지원하지 않는 형식입니다. XLGantt Version 0.9.7 이상 버전만 지원합니다.</t>
  </si>
  <si>
    <t>The following file formats are not supported. You can import the files if the version is 0.9.7 or higher than 0.9.7.</t>
  </si>
  <si>
    <t>다음의 XLGantt파일은 지원하지 않는 버전입니다. Version 0.9.7 이상 버전만 지원합니다.</t>
  </si>
  <si>
    <t>The following files have been successfully imported.</t>
  </si>
  <si>
    <t>다음 파일을 성공적으로 가져왔습니다.</t>
  </si>
  <si>
    <t>The following folder does not exist.</t>
  </si>
  <si>
    <t>다음의 폴더가 존재하지 않습니다.</t>
  </si>
  <si>
    <t>The format of "Calculation Base Date of Planned %Work Complete" is invalid.</t>
  </si>
  <si>
    <t>계획진척률 계산 기준일자의 날짜형식이 잘못되었습니다.</t>
  </si>
  <si>
    <t>The format of the project finish date is invalid.</t>
  </si>
  <si>
    <t>프로젝트 완료일의 날짜형식이 잘못되었습니다.</t>
  </si>
  <si>
    <t>The format of the project start date is invalid.</t>
  </si>
  <si>
    <t>프로젝트 시작일의 날짜형식이 잘못되었습니다.</t>
  </si>
  <si>
    <t>The job was not completed successfully.</t>
  </si>
  <si>
    <t>작업이 정상적으로 완료되지 않았습니다.</t>
  </si>
  <si>
    <t>The kind of period is invalid. You must enter one of the M(Months) or W(Weeks)</t>
  </si>
  <si>
    <t>기간의 종류가 잘못되었습니다. W(주), M(월) 중에 하나를 입력해야 합니다</t>
  </si>
  <si>
    <t>The language setting has been changed.\nPress the OK button to start translation. \nIt may take a long time to translate.\nHowever, translation of Ribbon menu and Popup menu takes effect after reopening this XLGantt file.</t>
  </si>
  <si>
    <t>언어설정이 변경되었습니다.\n확인버튼을 누르면 번역을 시작합니다. 번역은 시간이 걸릴 수 있습니다. \n리본메뉴, 팝업메뉴의 언어는 이 XLGantt파일을 닫은 후 새로 열어야 번역이 적용됩니다.</t>
  </si>
  <si>
    <t>The latest finish date({1}) of the tasks is later than the finish date({2}) of the project.\n\nIn this case, there may be problems with resource calculations. Please change the finish date to valid date.</t>
  </si>
  <si>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</si>
  <si>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The level of row {} is invalid.</t>
  </si>
  <si>
    <t>{} 행의 Level이 맞지 않습니다. Level을 1보다 크게 증가했는지 확인하세요.</t>
  </si>
  <si>
    <t>The number of Level must be less than or equal to {}</t>
  </si>
  <si>
    <t>Level의 갯수는 {}개까지만 가능합니다.</t>
  </si>
  <si>
    <t>The number of Level must be positive integer.</t>
  </si>
  <si>
    <t>Level의 갯수는 양의 정수만 가능합니다.</t>
  </si>
  <si>
    <t>The number of task columns is not 10. Please retry after changing the sheet to its previous state.</t>
  </si>
  <si>
    <t>Task열의 갯수가 10개가 아닙니다. 원래대로 복구한 후 작업하세요.</t>
  </si>
  <si>
    <t>The process was terminated due to the {} sheet error.</t>
  </si>
  <si>
    <t>{} sheet의 에러로 인해 작업이 중단되었습니다.</t>
  </si>
  <si>
    <t>The project finish date({}) you entered is not valid date format.</t>
  </si>
  <si>
    <t>입력한 프로젝트 기간의 완료일({})이 날짜형식이 아닙니다.</t>
  </si>
  <si>
    <t>The project start date({}) you entered is not valid date format.</t>
  </si>
  <si>
    <t>입력한 프로젝트 기간의 시작일({})이 날짜형식이 아닙니다</t>
  </si>
  <si>
    <t>The resource allocation ratio in the resource field of row number {1} in the {2} sheet is invalid.</t>
  </si>
  <si>
    <t>{2} sheet의 {1}행의 자원배정비율이 잘못입력되었습니다.</t>
  </si>
  <si>
    <t>The resource field should be entered in the following format.</t>
  </si>
  <si>
    <t>자원배정비율은 다음과 같은 형식으로 입력되어야 합니다.</t>
  </si>
  <si>
    <t>The start date format of row number {1} in the {2} sheet is invalid.</t>
  </si>
  <si>
    <t>{2} sheet의 {1}행의 시작일이 날짜형식이 아닙니다. 정확한 날짜형식으로 입력하세요.</t>
  </si>
  <si>
    <t>The start date is later than the finish date.</t>
  </si>
  <si>
    <t>시작일이 완료일보다 큽니다.</t>
  </si>
  <si>
    <t>The start date of row number {1} in the {2} sheet is later than the finish date.</t>
  </si>
  <si>
    <t>{2} sheet의 {1}행의 시작일이 완료일보다 큽니다.</t>
  </si>
  <si>
    <t>The start or finish date of row number {1} in the {2} sheet is out of the project duration.</t>
  </si>
  <si>
    <t>{2} sheet의 {1}행의 시작일 또는 완료일이 프로젝트 기간을 벗어났습니다.</t>
  </si>
  <si>
    <t>The task of the first row of the {} sheet is not level 1.</t>
  </si>
  <si>
    <t>{} sheet 첫행의 작업이 1 Level이 아닙니다. 첫행의 작업이 첫째칸이 아닌 다른 칸에 입력되었는지 확인하세요.</t>
  </si>
  <si>
    <t>The type of task fields</t>
  </si>
  <si>
    <t>Task필드 유형</t>
  </si>
  <si>
    <t>The week containing January 1 is the first week of the year.</t>
  </si>
  <si>
    <t>1월 1일을 포함하는 주가 년도의 첫주가 되는 방식</t>
  </si>
  <si>
    <t>The week containing the first Thursday of the year is the first week of the year(ISO 8601 Standard).</t>
  </si>
  <si>
    <t>한주의 시작은 월요일이며 년도의 첫번째 목요일을 포함하는 주가 첫주가 되는 방식(ISO 8601 표준)</t>
  </si>
  <si>
    <t>The resource count of row number {1} in the {2} sheet is not a number.</t>
  </si>
  <si>
    <t>{2} sheet의 {1}행의 자원수가 숫자가 아닙니다.</t>
  </si>
  <si>
    <t>There are no executable programs that open the deliverables.</t>
  </si>
  <si>
    <t>입력한 산출물을 열 수 있는 실행프로그램이 없습니다.</t>
  </si>
  <si>
    <t>There is an error in the total workload or planned workload field of row number {1} in the {2} sheet. Please check that the start / finish date was entered correctly, or that the formula is correct.</t>
  </si>
  <si>
    <t>{2} sheet의 {1}행의 총작업량 또는계획작업량 필드에 오류가 있습니다. 시작일/완료일이 잘못 입력되었는지 또는 수식에 문제가 없는지 확인하세요.</t>
  </si>
  <si>
    <t>There is no data in the following files</t>
  </si>
  <si>
    <t>다음 파일에 자료가 없습니다.</t>
  </si>
  <si>
    <t>There is no input data</t>
  </si>
  <si>
    <t>입력된 자료가 없습니다</t>
  </si>
  <si>
    <t>There is no input data that will be calculated.</t>
  </si>
  <si>
    <t>계산할 입력자료가 없습니다.</t>
  </si>
  <si>
    <t>There is no input data.</t>
  </si>
  <si>
    <t>입력된 자료가 없습니다.</t>
  </si>
  <si>
    <t>There is no input data. Please enter after reformatting.</t>
  </si>
  <si>
    <t>입력된 자료가 없습니다. 입력 후 서식재설정 해 주세요.</t>
  </si>
  <si>
    <t>There was an error in "Progress Line" drawing. This can happen if the actual start date or actual finish date is beyond the project period. Check the message below.</t>
  </si>
  <si>
    <t>진척률선 그리기 작업 중 에러가 발생했습니다. 실제시작일 또는 실제완료일이 프로젝트 기간을 벗어난 경우에 발생할 수 있습니다. 아래의 메시지를 확인하십시오.</t>
  </si>
  <si>
    <t>This area can not be selected. Please select an area that contains tasks.</t>
  </si>
  <si>
    <t>선택할 수 없는 영역입니다. 작업명이 입력된 행을 선택하세요.</t>
  </si>
  <si>
    <t>This Month only</t>
  </si>
  <si>
    <t>이번 달 작업만 조회</t>
  </si>
  <si>
    <t>This Week only</t>
  </si>
  <si>
    <t>이번 주 작업만 조회</t>
  </si>
  <si>
    <t>This XLGantt is not the latest version. Download the latest version from the following site.</t>
  </si>
  <si>
    <t>지금 사용하고 계신 XLGantt는 최신버전이 아닙니다.\n_x000D_
최신버전을 아래의 사이트에서 다운로드 받으세요.</t>
  </si>
  <si>
    <t>Thu</t>
  </si>
  <si>
    <t>목</t>
  </si>
  <si>
    <t>Time bucket type is invalid.</t>
  </si>
  <si>
    <t>Time bucket type 오류입니다.</t>
  </si>
  <si>
    <t>Title above Gantt chart</t>
  </si>
  <si>
    <t>간트차트 위의 타이틀</t>
  </si>
  <si>
    <t>Title above WBS</t>
  </si>
  <si>
    <t>WBS영역 위의 타이틀</t>
  </si>
  <si>
    <t>To (XLGantt)</t>
  </si>
  <si>
    <t>Target파일(가져온 후 파일)</t>
  </si>
  <si>
    <t>To Date is invalid.</t>
  </si>
  <si>
    <t>끝날짜 형식이 잘못되었습니다.</t>
  </si>
  <si>
    <t>To import files from source to the target file, map the respective fields.\nSelect a field in source file first and then find a corresponding field in the target file.</t>
  </si>
  <si>
    <t>Source파일에서 Target파일로 가져오기 위해서 각각의 필드를 Mapping합니다. _x000D_
Source파일의 필드를 먼저 선택하고 해당되는 필드를 Targe파일에서 찾아서 Mapping합니다.</t>
  </si>
  <si>
    <t>Today</t>
  </si>
  <si>
    <t>오늘</t>
  </si>
  <si>
    <t>Today only</t>
  </si>
  <si>
    <t>오늘 작업만 조회</t>
  </si>
  <si>
    <t>Total Duration</t>
  </si>
  <si>
    <t>총기간</t>
  </si>
  <si>
    <t>Total Work</t>
  </si>
  <si>
    <t>총작업량</t>
  </si>
  <si>
    <t>Total Work(A)\nMan-day</t>
  </si>
  <si>
    <t>총작업량(A)\nMan-day</t>
  </si>
  <si>
    <t>Total Work\n(Total ManDay)</t>
  </si>
  <si>
    <t>총 작업량_x000D_
(총ManDay,_x000D_
자원수 감안)</t>
  </si>
  <si>
    <t>Total workload of the project</t>
  </si>
  <si>
    <t>Total__Duration</t>
  </si>
  <si>
    <t>총__기간</t>
  </si>
  <si>
    <t>Total__Work</t>
  </si>
  <si>
    <t>총__작업량</t>
  </si>
  <si>
    <t>Total\nDuration</t>
  </si>
  <si>
    <t>총\n기간</t>
  </si>
  <si>
    <t>Total\nWork</t>
  </si>
  <si>
    <t>총\n작업량</t>
  </si>
  <si>
    <t>Tue</t>
  </si>
  <si>
    <t>화</t>
  </si>
  <si>
    <t>Type a number between 0% and 100% in "%Work Complete" field of row number {1} in the {2} sheet.</t>
  </si>
  <si>
    <t>{2} sheet의 {1}행의 실적진척률을 0~100% 범위로 입력해주세요.</t>
  </si>
  <si>
    <t>UI Design</t>
  </si>
  <si>
    <t>화면설계</t>
  </si>
  <si>
    <t>Unable to open file. Please change the "Check if you save deliverables in specific directory" option to the checked state in the Setting&gt;Deliverables tab.</t>
  </si>
  <si>
    <t>파일을 열수 없습니다. 환경설정&gt;산출물관리 탭에서 "산출물 관리를 할 경우에 체크하세요" 옵션을 체크상태로 변경해 주세요.</t>
  </si>
  <si>
    <t>Update Schedule</t>
  </si>
  <si>
    <t>스케줄\n업데이트</t>
  </si>
  <si>
    <t>Updates</t>
  </si>
  <si>
    <t>업데이트 내용</t>
  </si>
  <si>
    <t>Updating schedule... \nplease wait...</t>
  </si>
  <si>
    <t>스케줄업데이트 중입니다...\n잠시만 기다려 주세요...</t>
  </si>
  <si>
    <t>User Defined Calendar 1</t>
  </si>
  <si>
    <t>User Defined Calendar 2</t>
  </si>
  <si>
    <t>Variance(Actual-Planned)</t>
  </si>
  <si>
    <t>WBS Area Display</t>
  </si>
  <si>
    <t>WBS영역 표시방법</t>
  </si>
  <si>
    <t>WBS Level is invalid. Enter a number only. Verify row {} of the source file.</t>
  </si>
  <si>
    <t>WBS Level(개요번호)에 숫자가 아닌 값이 포함되어 있습니다. Import하는 파일의 {}행을 확인하세요.</t>
  </si>
  <si>
    <t>WBS No.</t>
  </si>
  <si>
    <t>WBS title - auto calculated field</t>
  </si>
  <si>
    <t>WBS 타이틀 - 자동계산필드</t>
  </si>
  <si>
    <t>WBS title - input field</t>
  </si>
  <si>
    <t>WBS 타이틀 - 입력필드</t>
  </si>
  <si>
    <t>WBS,Gantt Chart</t>
  </si>
  <si>
    <t>Wed</t>
  </si>
  <si>
    <t>수</t>
  </si>
  <si>
    <t>Week Numbers Display</t>
  </si>
  <si>
    <t>주차 표시방식</t>
  </si>
  <si>
    <t>Weekly</t>
  </si>
  <si>
    <t>주별</t>
  </si>
  <si>
    <t>Weekly view</t>
  </si>
  <si>
    <t>주별보기</t>
  </si>
  <si>
    <t>Weeks</t>
  </si>
  <si>
    <t>Resource Count</t>
  </si>
  <si>
    <t>Resource Count is invalid.</t>
  </si>
  <si>
    <t>자원수의 숫자형식이 잘못되었습니다.</t>
  </si>
  <si>
    <t>Resource Count must be greater than zero.</t>
  </si>
  <si>
    <t>자원수는 0보다 커야 합니다.</t>
  </si>
  <si>
    <t>When managing schedule changes</t>
  </si>
  <si>
    <t>일정변경 관리할 때</t>
  </si>
  <si>
    <t>When not managing schedule changes</t>
  </si>
  <si>
    <t>일정변경 관리 안할 때</t>
  </si>
  <si>
    <t>When you enter a task and a schedule, the progress rate is calculated and the schedule of the task is displayed as a gantt chart.</t>
  </si>
  <si>
    <t>When you enter task names, start and finish dates, and %work complete values, XLGantt automatically calculates the tasks durations, planned %work complete values.</t>
  </si>
  <si>
    <t>Word</t>
  </si>
  <si>
    <t>워드</t>
  </si>
  <si>
    <t>Workload Calculation</t>
  </si>
  <si>
    <t>Workload Data</t>
  </si>
  <si>
    <t>Workload\n(Man-Day)</t>
  </si>
  <si>
    <t>Workload\n(Man-Month)</t>
  </si>
  <si>
    <t>Workloads</t>
  </si>
  <si>
    <t>Workload</t>
  </si>
  <si>
    <t>Workloads by {}</t>
  </si>
  <si>
    <t>Workload현황({})</t>
  </si>
  <si>
    <t>Workloads by Months</t>
  </si>
  <si>
    <t>Workload(월별)</t>
  </si>
  <si>
    <t>Workloads by Resouces</t>
  </si>
  <si>
    <t>Workload(담당별)</t>
  </si>
  <si>
    <t>Workloads by Weeks</t>
  </si>
  <si>
    <t>Workload(주별)</t>
  </si>
  <si>
    <t>Worloads by Resources</t>
  </si>
  <si>
    <t>Workload현황(담당별)</t>
  </si>
  <si>
    <t>Would you like to update the schedule before saving?</t>
  </si>
  <si>
    <t>저장하기 전에 스케줄을 업데이트하시겠습니까?\n\n[스케줄업데이트]메뉴를 클릭할 때와 동일한 작업을 수행합니다.</t>
  </si>
  <si>
    <t>XLGantt  - Project Scheduler</t>
  </si>
  <si>
    <t>XLGantt Version {} Terms of Use</t>
  </si>
  <si>
    <t>XLGantt Version {} 사용조건</t>
  </si>
  <si>
    <t>XLGantt Version Check</t>
  </si>
  <si>
    <t>You are using the latest version of XLGantt.\nCurrent Verison : {}</t>
  </si>
  <si>
    <t>사용하고 계신 XLGantt는 최신 버전입니다.\n현재 버전 : {}</t>
  </si>
  <si>
    <t>You can add "Outlook Appointments" only on the {} sheet.</t>
  </si>
  <si>
    <t>{} Sheet에서만 Outlook일정을 등록할 수 있습니다.</t>
  </si>
  <si>
    <t>You can add "Outlook Tasks" only on the {} sheet.</t>
  </si>
  <si>
    <t>{} Sheet에서만 Outlook작업을 등록할 수 있습니다.</t>
  </si>
  <si>
    <t>You can click the "Options" button on the ribbon to customize a Gantt chart style.</t>
  </si>
  <si>
    <t>You can edit task only on the {} sheet.</t>
  </si>
  <si>
    <t>{} Sheet에서만 작업을 편집할 수 있습니다.</t>
  </si>
  <si>
    <t>You can include the formulas and functions of the Excel in XLGantt.</t>
  </si>
  <si>
    <t>You can indent or outdent tasks only on the {} sheet.</t>
  </si>
  <si>
    <t>{} Sheet에서만 작업가능합니다.</t>
  </si>
  <si>
    <t>You can not add "Outlook Appointments" in the selected area.</t>
  </si>
  <si>
    <t>선택한 위치에서는 작업할 수 없습니다.</t>
  </si>
  <si>
    <t>You can not add "Outlook Tasks" in the selected area.</t>
  </si>
  <si>
    <t>선택한 위치에서는 Outlook작업을 등록할 수 없습니다.</t>
  </si>
  <si>
    <t>You can not add a column between column A and C because the range is reserved by XLGantt.</t>
  </si>
  <si>
    <t>A열부터 C열까지는 XLGantt프로그램에서 사용하는 영역이므로 임의로 열을 추가할 수 없습니다.</t>
  </si>
  <si>
    <t>You can not edit a task in the selected area.</t>
  </si>
  <si>
    <t>You can not enter any more.</t>
  </si>
  <si>
    <t>You can not indent any more!</t>
  </si>
  <si>
    <t>더 이상 오른쪽으로 이동할 수 없습니다!</t>
  </si>
  <si>
    <t>You can not indent or outdent the selected row.</t>
  </si>
  <si>
    <t>선택한 위치에서는 이동할 수 없습니다.</t>
  </si>
  <si>
    <t>You can not outdent any more!</t>
  </si>
  <si>
    <t>더 이상 왼쪽으로 이동할 수 없습니다!</t>
  </si>
  <si>
    <t>You can not use "Microsoft Outlook". \nMake sure you properly installed it.</t>
  </si>
  <si>
    <t>Microsoft Outlook을 사용할 수 없습니다.\n정상적으로 설치되어 있는지 확인하세요.</t>
  </si>
  <si>
    <t>You can open deliverables only on the {} Sheet.</t>
  </si>
  <si>
    <t>You can use %work complete to keep track of the progress of the project.</t>
  </si>
  <si>
    <t>You can use only start and finish dates. So you can not manage schedule changes.</t>
  </si>
  <si>
    <t xml:space="preserve">일정을 관리할 때 작업 시작일/완료일만 사용합니다. 변경된 일정은 관리하지 않습니다. 일정이 변경되었을 때는 시작일과 완료일을 변경합니다.  </t>
  </si>
  <si>
    <t xml:space="preserve">You can use start and finish dates, actual start and finish dates. You can identify the schedule is delayed or aheaded by entering actual start and finish dates.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</si>
  <si>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</si>
  <si>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You can't choose a field that is empty.</t>
  </si>
  <si>
    <t>필드명이 비어있는 항목은 선택할 수 없습니다.</t>
  </si>
  <si>
    <t>You can't import an Excel Macro file. Please import after saving it as an xls or xlsx file. If it is an XLGantt file, you can import it at the menu "Import files created in XLGantt"</t>
  </si>
  <si>
    <t>엑셀매크로 파일은 가져오기를 할 수 없습니다. xls 또는 xlsx파일로 저장하여 작업하시기 바랍니다. 만약 XLGantt파일인 경우에는 "XLGantt로 작성된 파일 가져오기"에서 작업 가능합니다</t>
  </si>
  <si>
    <t>You can't remove the default languages(English and Korean).</t>
  </si>
  <si>
    <t>기본언어인 English와 Korean은 삭제할 수 없습니다.</t>
  </si>
  <si>
    <t>You didn't choose a language.</t>
  </si>
  <si>
    <t>언어가 선택되지 않았습니다.</t>
  </si>
  <si>
    <t>You didn't choose a source field.</t>
  </si>
  <si>
    <t>Source항목이 선택되지 않았습니다.</t>
  </si>
  <si>
    <t>You didn't choose a target field.</t>
  </si>
  <si>
    <t>Target항목이 선택되지 않았습니다.</t>
  </si>
  <si>
    <t>You didn't choose an unmap item.</t>
  </si>
  <si>
    <t>Mapping취소항목이 선택되지 않았습니다.</t>
  </si>
  <si>
    <t>You selected {} areas. Please select only one area.</t>
  </si>
  <si>
    <t>한곳만 선택하세요. 현재 {}곳이 선택되었습니다.</t>
  </si>
  <si>
    <t>Date</t>
  </si>
  <si>
    <t>Day</t>
  </si>
  <si>
    <t>요일</t>
  </si>
  <si>
    <t>Display date or day on the timescale</t>
  </si>
  <si>
    <t>간트차트 눈금에 날짜/요일 표시방법</t>
  </si>
  <si>
    <t>Align WBS Column</t>
  </si>
  <si>
    <t>WBS열 정렬</t>
  </si>
  <si>
    <t>Left</t>
  </si>
  <si>
    <t>왼쪽</t>
  </si>
  <si>
    <t>Center</t>
  </si>
  <si>
    <t>가운데</t>
  </si>
  <si>
    <t>Right</t>
  </si>
  <si>
    <t>오른쪽</t>
  </si>
  <si>
    <t>The same field name exists.</t>
  </si>
  <si>
    <t>동일한 필드명이 존재합니다.</t>
  </si>
  <si>
    <t>Select Formula Cells</t>
  </si>
  <si>
    <t>수식셀 선택</t>
  </si>
  <si>
    <t>Average number of working days per month</t>
  </si>
  <si>
    <t>월 평균 근무일수</t>
  </si>
  <si>
    <t>Free space in the print area</t>
  </si>
  <si>
    <t>프린트 영역 여유 공간</t>
  </si>
  <si>
    <t>Automatically adjust height of Schedule sheet rows 1-4</t>
  </si>
  <si>
    <t>Schedule 시트 1-4행의 높이를 자동으로 조정</t>
  </si>
  <si>
    <t>Program error has occurred.</t>
  </si>
  <si>
    <t>오류가 발생했습니다.</t>
  </si>
  <si>
    <t>Setting WBS Area and Color Theme</t>
  </si>
  <si>
    <t>You can select the workload calculation method.</t>
  </si>
  <si>
    <t>You can set the appearance and color of the XLGantt.</t>
  </si>
  <si>
    <t>Setting Task Dependencies</t>
  </si>
  <si>
    <t>You can set the Task Dependencies(FS,SS,FF,SF).</t>
  </si>
  <si>
    <t>https://xlworks.net/en/xlgantt-howto-16-task-dependencies/</t>
  </si>
  <si>
    <t>https://xlworks.net/xlgantt-howto-16-task-dependencies/</t>
  </si>
  <si>
    <t>Copy Sheet</t>
  </si>
  <si>
    <t>시트복사</t>
  </si>
  <si>
    <t>Display Gantt Chart</t>
  </si>
  <si>
    <t>Gantt Chart  표시</t>
  </si>
  <si>
    <t>Use default color theme</t>
  </si>
  <si>
    <t>초기 설정 컬러 테마 사용</t>
  </si>
  <si>
    <t>Weight</t>
  </si>
  <si>
    <t>가중치</t>
  </si>
  <si>
    <t>The date format in Windows is not the default format. If you've changed the date format to a custom format, change the date format to the default format in the 'Date and Time' item in Control Panel.</t>
  </si>
  <si>
    <t>윈도우의 날짜 형식이 기본 포맷이 아닙니다. 날짜 형식을 사용자 지정 형식으로 변경했다면 제어판의 '날짜 및 시간' 항목에서 날자를 기본 형식으로 변경하세요.</t>
  </si>
  <si>
    <t>실제투입량 누적(Man-Day)</t>
  </si>
  <si>
    <t>실제투입량 진척률</t>
  </si>
  <si>
    <t>실제투입량(Man-Day)</t>
  </si>
  <si>
    <t>Display task dependencies</t>
  </si>
  <si>
    <t>간트차트 작업 의존관계(연결선) 표시</t>
  </si>
  <si>
    <t>Retrieve Holidays</t>
  </si>
  <si>
    <t>공휴일 가져오기</t>
  </si>
  <si>
    <t>Retrieve holidays for 3 years (last, current, and next) from the server. Existing dates in the Calendar sheet remain unchanged.</t>
  </si>
  <si>
    <t>서버에서 3년간(전년,금년,내년)의 공휴일을 가져옵니다. Calendar sheet에 이미 있는 날짜는 그대로 유지됩니다.</t>
  </si>
  <si>
    <t>Korean Public Holidays</t>
  </si>
  <si>
    <t>대한민국 공휴일</t>
  </si>
  <si>
    <t>U.S. Federal Holidays</t>
  </si>
  <si>
    <t>미국 연방 공휴일</t>
  </si>
  <si>
    <t>Choose a holiday calendar from the list.</t>
  </si>
  <si>
    <t>목록에서 공휴일 캘린더를 선택하세요.</t>
  </si>
  <si>
    <t>An error occurred while choosing a holiday calendar.</t>
  </si>
  <si>
    <t>공휴일 캘린더 선택 오류입니다.</t>
  </si>
  <si>
    <t>The Calendar sheet does not exist.</t>
  </si>
  <si>
    <t>Calendar 시트가 없습니다.</t>
  </si>
  <si>
    <t>Failed to retrieve data from the server.</t>
  </si>
  <si>
    <t>서버에서 데이터를 가져오지 못했습니다.</t>
  </si>
  <si>
    <t>Successfully retrieved and added {} new holiday(s) from the server.</t>
  </si>
  <si>
    <t>서버에서 {}개의 새로운 공휴일을 가져와 추가했습니다.</t>
  </si>
  <si>
    <t>No new holidays to add. (Already up to date.)</t>
  </si>
  <si>
    <t>새롭게 추가할 공휴일이 없습니다.(이미 최신 상태입니다.)</t>
  </si>
  <si>
    <t>An error occurred while retrieving holiday information.</t>
  </si>
  <si>
    <t>공휴일 정보를 가져오는 중 오류가 발생했습니다.</t>
  </si>
  <si>
    <t>Progress Data</t>
  </si>
  <si>
    <t>진척률 데이터</t>
  </si>
  <si>
    <t>Week Number</t>
  </si>
  <si>
    <t>Daily Planned Workload(Man-Day)</t>
  </si>
  <si>
    <t>Daily Earned Value(Man-Day)</t>
  </si>
  <si>
    <t>Daily Actual Incurred(Man-Day)</t>
  </si>
  <si>
    <t>일일 실제 투입작업량(Man-Day)</t>
  </si>
  <si>
    <t>There is no valid Progress data.</t>
  </si>
  <si>
    <t>유효한 진척률 데이터가 없습니다.</t>
  </si>
  <si>
    <t>Create daily raw data for progress rates, supporting customized charting and analysis.</t>
  </si>
  <si>
    <t>Task input, schedule update</t>
  </si>
  <si>
    <t>ITEM_GROUP</t>
  </si>
  <si>
    <t>ITEM</t>
  </si>
  <si>
    <t>VALUE1</t>
  </si>
  <si>
    <t>VALUE2</t>
  </si>
  <si>
    <t>VALUE3</t>
  </si>
  <si>
    <t>INSERTED_DATE</t>
  </si>
  <si>
    <t>UPDATED_DATE</t>
  </si>
  <si>
    <t>DESCRIPTION</t>
  </si>
  <si>
    <t>CM</t>
  </si>
  <si>
    <t>COMPANY</t>
  </si>
  <si>
    <t>XLWorks</t>
  </si>
  <si>
    <t>DO NOT UPDATE</t>
  </si>
  <si>
    <t>AUTHOR_NAME</t>
  </si>
  <si>
    <t>AUTHOR_EMAIL</t>
  </si>
  <si>
    <t>[EMAIL]</t>
  </si>
  <si>
    <t>PROGRAM_NAME</t>
  </si>
  <si>
    <t>XLGantt</t>
  </si>
  <si>
    <t>PROGRAM_SITE</t>
  </si>
  <si>
    <t>PROGRAM_SITE_DISP</t>
  </si>
  <si>
    <t>VERSION</t>
  </si>
  <si>
    <t>6.1.0</t>
  </si>
  <si>
    <t>DO NOT UPDATE, DO NOT MOVE ROW 8 TO ANOTHER ROW</t>
  </si>
  <si>
    <t>RELEASE_DATE</t>
  </si>
  <si>
    <t>LICENSE</t>
  </si>
  <si>
    <t>Freeware</t>
  </si>
  <si>
    <t>OG</t>
  </si>
  <si>
    <t>chkAutoAdjustHeightRow1_4</t>
  </si>
  <si>
    <t>chkAutoAdjustHeightRow1_5</t>
  </si>
  <si>
    <t>chkCheckForUpdatesOnStartup</t>
  </si>
  <si>
    <t>chkImportDataOnStartup</t>
  </si>
  <si>
    <t>chkWBSUpdateExecuteYN</t>
  </si>
  <si>
    <t>isConfirmedProjectBasicInfo</t>
  </si>
  <si>
    <t>optFirstDayOfWeek</t>
  </si>
  <si>
    <t>optNonWorkingDays</t>
  </si>
  <si>
    <t>optPlanRateCriteriaDate</t>
  </si>
  <si>
    <t>TODAY</t>
  </si>
  <si>
    <t>optRecalcWBSArea</t>
  </si>
  <si>
    <t>optScheduleChangeMgt</t>
  </si>
  <si>
    <t>optWeekNum</t>
  </si>
  <si>
    <t>optWorkloadCalcByResourceAssignRate</t>
  </si>
  <si>
    <t>projectEndDate</t>
  </si>
  <si>
    <t>projectName</t>
  </si>
  <si>
    <t>서울 동행맵 고도화 구축 용역</t>
  </si>
  <si>
    <t>projectStartDate</t>
  </si>
  <si>
    <t>scheduleSheetPosition</t>
  </si>
  <si>
    <t>setTaskDateToProjectDate</t>
  </si>
  <si>
    <t>txtAvgWorkingdays</t>
  </si>
  <si>
    <t>txtPrintSpace</t>
  </si>
  <si>
    <t>XLGanttFileCalcMode</t>
  </si>
  <si>
    <t>OW</t>
  </si>
  <si>
    <t>actualRateDisp</t>
  </si>
  <si>
    <t>applyUserInputFirst</t>
  </si>
  <si>
    <t>cbxColorTheme</t>
  </si>
  <si>
    <t>chkProjectWeekNumDispOverTimescale</t>
  </si>
  <si>
    <t>chkYearDispOverTimescale</t>
  </si>
  <si>
    <t>completeTaskGrayDisplay</t>
  </si>
  <si>
    <t>dateDisp</t>
  </si>
  <si>
    <t>dateDispOnTimescale</t>
  </si>
  <si>
    <t>ganttColWidth</t>
  </si>
  <si>
    <t>groupRows</t>
  </si>
  <si>
    <t>groupTaskInteriorGrayDisplay</t>
  </si>
  <si>
    <t>optAlignWBSColumn</t>
  </si>
  <si>
    <t>optGanttChartColumnDisplay</t>
  </si>
  <si>
    <t>plannedRateDisp</t>
  </si>
  <si>
    <t>resourceDisp</t>
  </si>
  <si>
    <t>taskDisp</t>
  </si>
  <si>
    <t>taskDispInGroup</t>
  </si>
  <si>
    <t>taskDispInSub</t>
  </si>
  <si>
    <t>taskNameDisplayPosition</t>
  </si>
  <si>
    <t>themeColorList</t>
  </si>
  <si>
    <t>10066176;10066176;26367;8421504;26367;8421504;16764108;16737792;65280;16737792;13311;65280;14540253;65535;255</t>
  </si>
  <si>
    <t>txtGanttChartZoomRatio</t>
  </si>
  <si>
    <t>txtNumberOfTaskColumn</t>
  </si>
  <si>
    <t>ganttChartDisp</t>
  </si>
  <si>
    <t>OD</t>
  </si>
  <si>
    <t>chkDeliverablesMgt</t>
  </si>
  <si>
    <t>savePathType</t>
  </si>
  <si>
    <t>DEFINED</t>
  </si>
  <si>
    <t>txtAutoDefinedBasePath</t>
  </si>
  <si>
    <t>C:\Temp</t>
  </si>
  <si>
    <t>txtDefinedPath</t>
  </si>
  <si>
    <t>OL</t>
  </si>
  <si>
    <t>languageSelectedByManual</t>
  </si>
  <si>
    <t>languageSelectionType</t>
  </si>
  <si>
    <t>lastTranslatedLanguage</t>
  </si>
  <si>
    <t>selectedLanguageList</t>
  </si>
  <si>
    <t>1:English,82:Korean,999:Custom</t>
  </si>
  <si>
    <t>OP</t>
  </si>
  <si>
    <t>chkInclude2SelectList1</t>
  </si>
  <si>
    <t>chkInclude2SelectList2</t>
  </si>
  <si>
    <t>chkInclude2SelectList3</t>
  </si>
  <si>
    <t>chkInclude2SelectList4</t>
  </si>
  <si>
    <t>chkInclude2SelectList5</t>
  </si>
  <si>
    <t>chkInclude2SelectList6</t>
  </si>
  <si>
    <t>chkInclude2SelectList7</t>
  </si>
  <si>
    <t>chkInclude2SelectList8</t>
  </si>
  <si>
    <t>txtFileExt1</t>
  </si>
  <si>
    <t>ppt*</t>
  </si>
  <si>
    <t>txtFileExt2</t>
  </si>
  <si>
    <t>doc*</t>
  </si>
  <si>
    <t>txtFileExt3</t>
  </si>
  <si>
    <t>xls*</t>
  </si>
  <si>
    <t>txtFileExt4</t>
  </si>
  <si>
    <t>dwg</t>
  </si>
  <si>
    <t>txtFileExt5</t>
  </si>
  <si>
    <t>html</t>
  </si>
  <si>
    <t>txtFileExt6</t>
  </si>
  <si>
    <t>txt</t>
  </si>
  <si>
    <t>txtFileExt7</t>
  </si>
  <si>
    <t>pdf</t>
  </si>
  <si>
    <t>txtFileExt8</t>
  </si>
  <si>
    <t>txtPgmName1</t>
  </si>
  <si>
    <t>txtPgmName2</t>
  </si>
  <si>
    <t>txtPgmName3</t>
  </si>
  <si>
    <t>txtPgmName4</t>
  </si>
  <si>
    <t>AutoCAD</t>
  </si>
  <si>
    <t>txtPgmName5</t>
  </si>
  <si>
    <t>Notepad++</t>
  </si>
  <si>
    <t>txtPgmName6</t>
  </si>
  <si>
    <t>메모장</t>
  </si>
  <si>
    <t>txtPgmName7</t>
  </si>
  <si>
    <t>PDF</t>
  </si>
  <si>
    <t>txtPgmName8</t>
  </si>
  <si>
    <t>txtPgmPath1</t>
  </si>
  <si>
    <t>txtPgmPath2</t>
  </si>
  <si>
    <t>txtPgmPath3</t>
  </si>
  <si>
    <t>txtPgmPath4</t>
  </si>
  <si>
    <t>C:\Program Files\Autodesk\AutoCAD 2019\acad.exe</t>
  </si>
  <si>
    <t>txtPgmPath5</t>
  </si>
  <si>
    <t>C:\Program Files\Notepad++\notepad++.exe</t>
  </si>
  <si>
    <t>txtPgmPath6</t>
  </si>
  <si>
    <t>C:\WINDOWS\system32\notepad.exe</t>
  </si>
  <si>
    <t>txtPgmPath7</t>
  </si>
  <si>
    <t>C:\Program Files\Adobe\Acrobat DC\Acrobat\acrobat.exe</t>
  </si>
  <si>
    <t>txtPgmPath8</t>
  </si>
  <si>
    <t>FS</t>
  </si>
  <si>
    <t>optAll</t>
  </si>
  <si>
    <t>optAllPercentWorkComplete</t>
  </si>
  <si>
    <t>optCompleted</t>
  </si>
  <si>
    <t>optDefinedDuration</t>
  </si>
  <si>
    <t>optDefinedPercentValue</t>
  </si>
  <si>
    <t>optExactMatch</t>
  </si>
  <si>
    <t>optLike</t>
  </si>
  <si>
    <t>optNotCompleted</t>
  </si>
  <si>
    <t>optThisMonth</t>
  </si>
  <si>
    <t>optThisWeek</t>
  </si>
  <si>
    <t>optToday</t>
  </si>
  <si>
    <t>txtPercentFrom</t>
  </si>
  <si>
    <t>txtPercentTo</t>
  </si>
  <si>
    <t>txtResource</t>
  </si>
  <si>
    <t>txtTaskEndDate</t>
  </si>
  <si>
    <t>txtTaskStartDate</t>
  </si>
  <si>
    <t>txtBehindSchedulePct1</t>
  </si>
  <si>
    <t>useDefaultTheme</t>
  </si>
  <si>
    <t>themeColorList1</t>
  </si>
  <si>
    <t>12611584;16750899;35071;35071;35071;49407;16745263;16737792;52224;16737792;255;52224;16777215;52479;255</t>
  </si>
  <si>
    <t>themeColorList2</t>
  </si>
  <si>
    <t>16711782;16737945;35071;35071;35071;49407;16745263;16737792;52224;16737792;255;52224;16777215;39423;255</t>
  </si>
  <si>
    <t>themeColorList5</t>
  </si>
  <si>
    <t>themeColorList3</t>
  </si>
  <si>
    <t>3394611;39168;35071;35071;35071;49407;16745263;16737792;52224;16737792;255;52224;16777215;52428;255</t>
  </si>
  <si>
    <t>themeColorList4</t>
  </si>
  <si>
    <t>4210752;8421504;11711154;2500134;2500134;49407;16745263;16737792;52224;16737792;255;52224;16777215;65535;255</t>
  </si>
  <si>
    <t>chkTaskDependencies</t>
  </si>
  <si>
    <t>holidayCalendar</t>
  </si>
  <si>
    <t>{"TASK_FIRST_COL":"5","START_ROW":"5","WBS_AREA_LAST_COL":"31"}</t>
    <phoneticPr fontId="1" type="noConversion"/>
  </si>
  <si>
    <t>SCHEDULE_SHEET_POSITION:3545151617181920212223242526272829303132</t>
    <phoneticPr fontId="1" type="noConversion"/>
  </si>
  <si>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</si>
  <si>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reserved</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</si>
  <si>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</si>
  <si>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</si>
  <si>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</si>
  <si>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</si>
  <si>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</si>
  <si>
    <t>시작일*</t>
    <phoneticPr fontId="1" type="noConversion"/>
  </si>
  <si>
    <t>완료일*</t>
    <phoneticPr fontId="1" type="noConversion"/>
  </si>
  <si>
    <t>Calendar</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</si>
  <si>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</si>
  <si>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</si>
  <si>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</si>
  <si>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</si>
  <si>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</si>
  <si>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</si>
  <si>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</si>
  <si>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</si>
  <si>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</si>
  <si>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</si>
  <si>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산출물</t>
    <phoneticPr fontId="1" type="noConversion"/>
  </si>
  <si>
    <t>계획</t>
    <phoneticPr fontId="1" type="noConversion"/>
  </si>
  <si>
    <t>실적*</t>
    <phoneticPr fontId="1" type="noConversion"/>
  </si>
  <si>
    <t>공통 UI 컴포넌트 및 다국어 처리 개발</t>
  </si>
  <si>
    <t>로그인 및 회원가입 화면 구현</t>
  </si>
  <si>
    <t>마일리지 화면 구현</t>
  </si>
  <si>
    <t>실내지도 표출 구현</t>
  </si>
  <si>
    <t>테스트 이슈 사항 반영(공통, 접근성)</t>
  </si>
  <si>
    <t>각 화면별 개선 항목 반영</t>
  </si>
  <si>
    <t>프로젝트 진척률 - 일정변경 관리하지 않을때</t>
    <phoneticPr fontId="1" type="noConversion"/>
  </si>
  <si>
    <t>실적기성</t>
    <phoneticPr fontId="1" type="noConversion"/>
  </si>
  <si>
    <t>실적기성(프로젝트 전체 작업량 x 실적 진척률) (EV)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</si>
</sst>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0_);[Red]\(0.00\)"/>
    <numFmt numFmtId="178" formatCode="0.0_);[Red]\(0.0\)"/>
    <numFmt numFmtId="179" formatCode="0.0"/>
    <numFmt numFmtId="180" formatCode="yyyy\-mm\-dd"/>
  </numFmts>
  <fonts count="63">
    <font>
      <sz val="11"/>
      <color theme="1"/>
      <name val="맑은 고딕"/>
      <family val="2"/>
      <scheme val="minor"/>
    </font>
    <font>
      <sz val="8"/>
      <name val="맑은 고딕"/>
      <family val="3"/>
      <charset val="129"/>
      <scheme val="minor"/>
    </font>
    <font>
      <u/>
      <sz val="11"/>
      <color theme="10"/>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20"/>
      <color rgb="FFFF8800"/>
      <name val="Calibri"/>
      <family val="2"/>
    </font>
    <font>
      <b/>
      <sz val="18"/>
      <name val="Calibri"/>
      <family val="3"/>
      <charset val="129"/>
    </font>
    <font>
      <sz val="9"/>
      <color theme="1"/>
      <name val="Calibri"/>
      <family val="2"/>
      <charset val="129"/>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sz val="11"/>
      <name val="Calibri"/>
      <family val="3"/>
      <charset val="129"/>
    </font>
    <font>
      <sz val="9"/>
      <color theme="1"/>
      <name val="맑은 고딕"/>
      <family val="3"/>
      <charset val="129"/>
      <scheme val="minor"/>
    </font>
    <font>
      <sz val="9"/>
      <color rgb="FFFF0000"/>
      <name val="맑은 고딕"/>
      <family val="3"/>
      <charset val="129"/>
      <scheme val="minor"/>
    </font>
    <font>
      <b/>
      <sz val="11"/>
      <name val="Calibri"/>
      <family val="2"/>
    </font>
    <font>
      <b/>
      <sz val="9"/>
      <color rgb="FFFF8800"/>
      <name val="Calibri"/>
      <family val="2"/>
    </font>
    <font>
      <b/>
      <sz val="9"/>
      <color rgb="FFFF8800"/>
      <name val="돋움"/>
      <family val="3"/>
      <charset val="129"/>
    </font>
  </fonts>
  <fills count="24">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theme="3" tint="0.79995117038483843"/>
        <bgColor indexed="64"/>
      </patternFill>
    </fill>
    <fill>
      <patternFill patternType="solid">
        <fgColor rgb="FFFF0000"/>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theme="0" tint="-0.14990691854609822"/>
      </top>
      <bottom/>
      <diagonal/>
    </border>
    <border>
      <left style="thin">
        <color indexed="64"/>
      </left>
      <right style="thin">
        <color indexed="64"/>
      </right>
      <top style="thin">
        <color indexed="64"/>
      </top>
      <bottom style="thin">
        <color indexed="64"/>
      </bottom>
      <diagonal/>
    </border>
    <border>
      <left/>
      <right/>
      <top/>
      <bottom style="thin">
        <color theme="0" tint="-0.14993743705557422"/>
      </bottom>
      <diagonal/>
    </border>
    <border>
      <left/>
      <right/>
      <top style="thin">
        <color theme="0" tint="-0.14993743705557422"/>
      </top>
      <bottom/>
      <diagonal/>
    </border>
    <border>
      <left/>
      <right/>
      <top/>
      <bottom style="thin">
        <color theme="0" tint="-0.1499069185460982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bottom style="thin">
        <color theme="0" tint="-0.14993743705557422"/>
      </bottom>
      <diagonal/>
    </border>
  </borders>
  <cellStyleXfs count="3">
    <xf numFmtId="0" fontId="0" fillId="0" borderId="0"/>
    <xf numFmtId="0" fontId="2" fillId="0" borderId="0"/>
    <xf numFmtId="9" fontId="27" fillId="0" borderId="0">
      <alignment vertical="center"/>
    </xf>
  </cellStyleXfs>
  <cellXfs count="292">
    <xf numFmtId="0" fontId="0" fillId="0" borderId="0" xfId="0"/>
    <xf numFmtId="0" fontId="4" fillId="0" borderId="0" xfId="0" applyFont="1" applyAlignment="1">
      <alignment vertical="center"/>
    </xf>
    <xf numFmtId="0" fontId="3" fillId="0" borderId="0" xfId="0" applyFont="1" applyAlignment="1">
      <alignment vertical="center"/>
    </xf>
    <xf numFmtId="14" fontId="5" fillId="0" borderId="0" xfId="0" applyNumberFormat="1" applyFont="1" applyAlignment="1">
      <alignment vertical="center"/>
    </xf>
    <xf numFmtId="14" fontId="6" fillId="0" borderId="0" xfId="0" applyNumberFormat="1" applyFont="1" applyAlignment="1">
      <alignment vertical="center"/>
    </xf>
    <xf numFmtId="14" fontId="7" fillId="2" borderId="0" xfId="0" quotePrefix="1" applyNumberFormat="1" applyFont="1" applyFill="1"/>
    <xf numFmtId="14" fontId="7" fillId="2" borderId="0" xfId="0" applyNumberFormat="1" applyFont="1" applyFill="1" applyAlignment="1">
      <alignment vertical="center"/>
    </xf>
    <xf numFmtId="0" fontId="7" fillId="2" borderId="0" xfId="0" applyFont="1" applyFill="1"/>
    <xf numFmtId="176" fontId="9" fillId="2" borderId="0" xfId="0" applyNumberFormat="1" applyFont="1" applyFill="1" applyAlignment="1" applyProtection="1">
      <alignment vertical="center"/>
      <protection locked="0"/>
    </xf>
    <xf numFmtId="14" fontId="8" fillId="2" borderId="0" xfId="0" applyNumberFormat="1" applyFont="1" applyFill="1" applyAlignment="1">
      <alignment vertical="center"/>
    </xf>
    <xf numFmtId="14" fontId="7" fillId="0" borderId="6" xfId="0" applyNumberFormat="1" applyFont="1" applyBorder="1" applyAlignment="1" applyProtection="1">
      <alignment vertical="top"/>
      <protection locked="0"/>
    </xf>
    <xf numFmtId="14" fontId="7" fillId="0" borderId="6" xfId="0" applyNumberFormat="1" applyFont="1" applyBorder="1" applyAlignment="1" applyProtection="1">
      <alignment vertical="center"/>
      <protection locked="0"/>
    </xf>
    <xf numFmtId="0" fontId="7" fillId="0" borderId="6" xfId="0" applyFont="1" applyBorder="1" applyAlignment="1" applyProtection="1">
      <alignment vertical="top"/>
      <protection locked="0"/>
    </xf>
    <xf numFmtId="0" fontId="7" fillId="0" borderId="6" xfId="0" applyFont="1" applyBorder="1" applyAlignment="1" applyProtection="1">
      <alignment vertical="center" wrapText="1"/>
      <protection locked="0"/>
    </xf>
    <xf numFmtId="0" fontId="7" fillId="0" borderId="6" xfId="0" applyFont="1" applyBorder="1" applyAlignment="1" applyProtection="1">
      <alignment vertical="center"/>
      <protection locked="0"/>
    </xf>
    <xf numFmtId="0" fontId="7" fillId="0" borderId="0" xfId="0" applyFont="1" applyAlignment="1" applyProtection="1">
      <alignment vertical="top"/>
      <protection locked="0"/>
    </xf>
    <xf numFmtId="14" fontId="10" fillId="0" borderId="0" xfId="0" applyNumberFormat="1" applyFont="1" applyAlignment="1" applyProtection="1">
      <alignment horizontal="right" vertical="top"/>
      <protection locked="0"/>
    </xf>
    <xf numFmtId="177" fontId="7" fillId="4" borderId="7" xfId="0" applyNumberFormat="1" applyFont="1" applyFill="1" applyBorder="1" applyAlignment="1" applyProtection="1">
      <alignment vertical="center"/>
      <protection locked="0"/>
    </xf>
    <xf numFmtId="14" fontId="10" fillId="0" borderId="8" xfId="0" applyNumberFormat="1" applyFont="1" applyBorder="1" applyAlignment="1" applyProtection="1">
      <alignment horizontal="right" vertical="top"/>
      <protection locked="0"/>
    </xf>
    <xf numFmtId="14" fontId="7" fillId="0" borderId="8" xfId="0" applyNumberFormat="1" applyFont="1" applyBorder="1" applyAlignment="1" applyProtection="1">
      <alignment vertical="center"/>
      <protection locked="0"/>
    </xf>
    <xf numFmtId="0" fontId="7" fillId="0" borderId="8" xfId="0" applyFont="1" applyBorder="1" applyAlignment="1" applyProtection="1">
      <alignment vertical="top"/>
      <protection locked="0"/>
    </xf>
    <xf numFmtId="0" fontId="7" fillId="0" borderId="8" xfId="0" applyFont="1" applyBorder="1" applyAlignment="1" applyProtection="1">
      <alignment vertical="center"/>
      <protection locked="0"/>
    </xf>
    <xf numFmtId="14" fontId="10"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9" xfId="0" applyFont="1" applyBorder="1" applyAlignment="1" applyProtection="1">
      <alignment vertical="center" wrapText="1"/>
      <protection locked="0"/>
    </xf>
    <xf numFmtId="14" fontId="7" fillId="0" borderId="0" xfId="0" applyNumberFormat="1" applyFont="1" applyAlignment="1" applyProtection="1">
      <alignment vertical="top"/>
      <protection locked="0"/>
    </xf>
    <xf numFmtId="14" fontId="10" fillId="0" borderId="8" xfId="0" applyNumberFormat="1" applyFont="1" applyBorder="1" applyAlignment="1" applyProtection="1">
      <alignment vertical="top"/>
      <protection locked="0"/>
    </xf>
    <xf numFmtId="0" fontId="7" fillId="0" borderId="8" xfId="0" applyFont="1" applyBorder="1" applyAlignment="1" applyProtection="1">
      <alignment vertical="center" wrapText="1"/>
      <protection locked="0"/>
    </xf>
    <xf numFmtId="14" fontId="10" fillId="0" borderId="9" xfId="0" applyNumberFormat="1" applyFont="1" applyBorder="1" applyAlignment="1" applyProtection="1">
      <alignment vertical="center" wrapText="1"/>
      <protection locked="0"/>
    </xf>
    <xf numFmtId="14" fontId="10" fillId="0" borderId="0" xfId="0" applyNumberFormat="1" applyFont="1" applyAlignment="1" applyProtection="1">
      <alignment horizontal="right" vertical="center" wrapText="1"/>
      <protection locked="0"/>
    </xf>
    <xf numFmtId="14" fontId="10" fillId="0" borderId="8" xfId="0" applyNumberFormat="1" applyFont="1" applyBorder="1" applyAlignment="1" applyProtection="1">
      <alignment vertical="center" wrapText="1"/>
      <protection locked="0"/>
    </xf>
    <xf numFmtId="0" fontId="7" fillId="0" borderId="8" xfId="0" applyFont="1" applyBorder="1" applyProtection="1">
      <protection locked="0"/>
    </xf>
    <xf numFmtId="0" fontId="7" fillId="0" borderId="0" xfId="0" applyFont="1" applyProtection="1">
      <protection locked="0"/>
    </xf>
    <xf numFmtId="14" fontId="7" fillId="0" borderId="0" xfId="0" applyNumberFormat="1" applyFont="1" applyProtection="1">
      <protection locked="0"/>
    </xf>
    <xf numFmtId="14" fontId="7" fillId="0" borderId="9" xfId="0" applyNumberFormat="1" applyFont="1" applyBorder="1" applyAlignment="1" applyProtection="1">
      <alignment vertical="center"/>
      <protection locked="0"/>
    </xf>
    <xf numFmtId="0" fontId="7" fillId="0" borderId="9" xfId="0" applyFont="1" applyBorder="1" applyProtection="1">
      <protection locked="0"/>
    </xf>
    <xf numFmtId="14" fontId="7" fillId="0" borderId="10" xfId="0" applyNumberFormat="1" applyFont="1" applyBorder="1" applyAlignment="1" applyProtection="1">
      <alignment vertical="center"/>
      <protection locked="0"/>
    </xf>
    <xf numFmtId="0" fontId="7" fillId="0" borderId="10" xfId="0" applyFont="1" applyBorder="1" applyAlignment="1" applyProtection="1">
      <alignment vertical="top"/>
      <protection locked="0"/>
    </xf>
    <xf numFmtId="14" fontId="10" fillId="0" borderId="9" xfId="0" applyNumberFormat="1" applyFont="1" applyBorder="1" applyProtection="1">
      <protection locked="0"/>
    </xf>
    <xf numFmtId="10" fontId="7" fillId="4" borderId="7" xfId="0" applyNumberFormat="1" applyFont="1" applyFill="1" applyBorder="1" applyAlignment="1" applyProtection="1">
      <alignment vertical="center"/>
      <protection locked="0"/>
    </xf>
    <xf numFmtId="14" fontId="10" fillId="0" borderId="10" xfId="0" applyNumberFormat="1" applyFont="1" applyBorder="1" applyAlignment="1" applyProtection="1">
      <alignment horizontal="right" vertical="top"/>
      <protection locked="0"/>
    </xf>
    <xf numFmtId="14" fontId="10" fillId="0" borderId="6" xfId="0" applyNumberFormat="1" applyFont="1" applyBorder="1" applyAlignment="1" applyProtection="1">
      <alignment horizontal="right" vertical="top"/>
      <protection locked="0"/>
    </xf>
    <xf numFmtId="14" fontId="10" fillId="0" borderId="11" xfId="0" applyNumberFormat="1" applyFont="1" applyBorder="1" applyAlignment="1" applyProtection="1">
      <alignment horizontal="right" vertical="top"/>
      <protection locked="0"/>
    </xf>
    <xf numFmtId="14" fontId="7" fillId="0" borderId="11" xfId="0" applyNumberFormat="1" applyFont="1" applyBorder="1" applyAlignment="1" applyProtection="1">
      <alignment vertical="center"/>
      <protection locked="0"/>
    </xf>
    <xf numFmtId="0" fontId="7" fillId="0" borderId="11" xfId="0" applyFont="1" applyBorder="1" applyAlignment="1" applyProtection="1">
      <alignment vertical="top"/>
      <protection locked="0"/>
    </xf>
    <xf numFmtId="14" fontId="10" fillId="0" borderId="12" xfId="0" applyNumberFormat="1" applyFont="1" applyBorder="1" applyAlignment="1" applyProtection="1">
      <alignment vertical="top"/>
      <protection locked="0"/>
    </xf>
    <xf numFmtId="14" fontId="7" fillId="0" borderId="12" xfId="0" applyNumberFormat="1" applyFont="1" applyBorder="1" applyAlignment="1" applyProtection="1">
      <alignment vertical="center"/>
      <protection locked="0"/>
    </xf>
    <xf numFmtId="0" fontId="7" fillId="0" borderId="12" xfId="0" applyFont="1" applyBorder="1" applyAlignment="1" applyProtection="1">
      <alignment vertical="top"/>
      <protection locked="0"/>
    </xf>
    <xf numFmtId="0" fontId="7" fillId="0" borderId="9" xfId="0" applyFont="1" applyBorder="1" applyAlignment="1" applyProtection="1">
      <alignment vertical="center"/>
      <protection locked="0"/>
    </xf>
    <xf numFmtId="10" fontId="7" fillId="4" borderId="7" xfId="0" applyNumberFormat="1" applyFont="1" applyFill="1" applyBorder="1" applyAlignment="1">
      <alignment vertical="center"/>
    </xf>
    <xf numFmtId="14" fontId="7" fillId="0" borderId="13" xfId="0" applyNumberFormat="1" applyFont="1" applyBorder="1" applyAlignment="1" applyProtection="1">
      <alignment horizontal="right" vertical="top"/>
      <protection locked="0"/>
    </xf>
    <xf numFmtId="14" fontId="7" fillId="0" borderId="13" xfId="0" applyNumberFormat="1" applyFont="1" applyBorder="1" applyAlignment="1" applyProtection="1">
      <alignment vertical="center"/>
      <protection locked="0"/>
    </xf>
    <xf numFmtId="0" fontId="7" fillId="0" borderId="13" xfId="0" applyFont="1" applyBorder="1" applyAlignment="1" applyProtection="1">
      <alignment vertical="top"/>
      <protection locked="0"/>
    </xf>
    <xf numFmtId="0" fontId="7" fillId="0" borderId="13" xfId="0" applyFont="1" applyBorder="1" applyAlignment="1" applyProtection="1">
      <alignment vertical="center"/>
      <protection locked="0"/>
    </xf>
    <xf numFmtId="14" fontId="6" fillId="0" borderId="0" xfId="0" applyNumberFormat="1" applyFont="1" applyAlignment="1" applyProtection="1">
      <alignment vertical="top"/>
      <protection locked="0"/>
    </xf>
    <xf numFmtId="14" fontId="6" fillId="0" borderId="0" xfId="0" applyNumberFormat="1" applyFont="1" applyAlignment="1" applyProtection="1">
      <alignment vertical="center"/>
      <protection locked="0"/>
    </xf>
    <xf numFmtId="0" fontId="6" fillId="0" borderId="0" xfId="0" applyFont="1" applyAlignment="1" applyProtection="1">
      <alignment vertical="top"/>
      <protection locked="0"/>
    </xf>
    <xf numFmtId="14" fontId="6" fillId="0" borderId="0" xfId="0" applyNumberFormat="1" applyFont="1" applyProtection="1">
      <protection locked="0"/>
    </xf>
    <xf numFmtId="177" fontId="6" fillId="0" borderId="0" xfId="0" applyNumberFormat="1" applyFont="1" applyAlignment="1" applyProtection="1">
      <alignment vertical="center"/>
      <protection locked="0"/>
    </xf>
    <xf numFmtId="0" fontId="6" fillId="0" borderId="0" xfId="0" applyFont="1" applyProtection="1">
      <protection locked="0"/>
    </xf>
    <xf numFmtId="1" fontId="6" fillId="0" borderId="0" xfId="0" applyNumberFormat="1" applyFont="1" applyAlignment="1" applyProtection="1">
      <alignment vertical="center"/>
      <protection locked="0"/>
    </xf>
    <xf numFmtId="176" fontId="6" fillId="0" borderId="0" xfId="0" applyNumberFormat="1" applyFont="1" applyAlignment="1" applyProtection="1">
      <alignment vertical="center"/>
      <protection locked="0"/>
    </xf>
    <xf numFmtId="14" fontId="6" fillId="0" borderId="0" xfId="0" applyNumberFormat="1" applyFont="1"/>
    <xf numFmtId="14" fontId="6" fillId="2" borderId="0" xfId="0" applyNumberFormat="1" applyFont="1" applyFill="1" applyAlignment="1">
      <alignment vertical="top"/>
    </xf>
    <xf numFmtId="14" fontId="12" fillId="3" borderId="14" xfId="0" applyNumberFormat="1" applyFont="1" applyFill="1" applyBorder="1" applyAlignment="1">
      <alignment horizontal="center" vertical="center"/>
    </xf>
    <xf numFmtId="14" fontId="6" fillId="0" borderId="0" xfId="0" applyNumberFormat="1" applyFont="1" applyAlignment="1">
      <alignment horizontal="center" vertical="center"/>
    </xf>
    <xf numFmtId="0" fontId="7" fillId="6" borderId="15" xfId="0" applyFont="1" applyFill="1" applyBorder="1" applyAlignment="1">
      <alignment horizontal="left" vertical="top"/>
    </xf>
    <xf numFmtId="0" fontId="7" fillId="0" borderId="0" xfId="0" applyFont="1" applyAlignment="1">
      <alignment horizontal="left" vertical="top"/>
    </xf>
    <xf numFmtId="0" fontId="7" fillId="0" borderId="0" xfId="0" applyFont="1" applyAlignment="1">
      <alignment vertical="top"/>
    </xf>
    <xf numFmtId="14" fontId="7" fillId="0" borderId="0" xfId="0" applyNumberFormat="1" applyFont="1" applyAlignment="1">
      <alignment horizontal="left" vertical="top"/>
    </xf>
    <xf numFmtId="22" fontId="7" fillId="0" borderId="0" xfId="0" applyNumberFormat="1" applyFont="1" applyAlignment="1">
      <alignment horizontal="left" vertical="top"/>
    </xf>
    <xf numFmtId="14" fontId="14" fillId="5" borderId="14" xfId="0" applyNumberFormat="1" applyFont="1" applyFill="1" applyBorder="1" applyProtection="1">
      <protection locked="0"/>
    </xf>
    <xf numFmtId="14" fontId="14" fillId="0" borderId="14" xfId="0" applyNumberFormat="1" applyFont="1" applyBorder="1" applyProtection="1">
      <protection locked="0"/>
    </xf>
    <xf numFmtId="14" fontId="14" fillId="0" borderId="0" xfId="0" applyNumberFormat="1" applyFont="1"/>
    <xf numFmtId="14" fontId="14" fillId="0" borderId="14" xfId="0" applyNumberFormat="1" applyFont="1" applyBorder="1"/>
    <xf numFmtId="0" fontId="18" fillId="0" borderId="0" xfId="0" applyFont="1"/>
    <xf numFmtId="0" fontId="7" fillId="0" borderId="0" xfId="0" applyFont="1" applyAlignment="1" applyProtection="1">
      <alignment horizontal="center"/>
      <protection locked="0"/>
    </xf>
    <xf numFmtId="0" fontId="19" fillId="0" borderId="0" xfId="0" applyFont="1" applyAlignment="1" applyProtection="1">
      <alignment horizontal="center"/>
      <protection locked="0"/>
    </xf>
    <xf numFmtId="0" fontId="20" fillId="0" borderId="0" xfId="0" applyFont="1" applyProtection="1">
      <protection locked="0"/>
    </xf>
    <xf numFmtId="0" fontId="7" fillId="0" borderId="0" xfId="0" applyFont="1" applyAlignment="1" applyProtection="1">
      <alignment vertical="center"/>
      <protection locked="0"/>
    </xf>
    <xf numFmtId="0" fontId="21" fillId="10" borderId="16" xfId="1" applyFont="1" applyFill="1" applyBorder="1" applyAlignment="1" applyProtection="1">
      <alignment horizontal="center" vertical="center" wrapText="1"/>
      <protection locked="0"/>
    </xf>
    <xf numFmtId="0" fontId="21" fillId="9" borderId="16" xfId="1" applyFont="1" applyFill="1" applyBorder="1" applyAlignment="1" applyProtection="1">
      <alignment horizontal="center" vertical="center" wrapText="1"/>
      <protection locked="0"/>
    </xf>
    <xf numFmtId="0" fontId="21" fillId="11" borderId="16" xfId="1" applyFont="1" applyFill="1" applyBorder="1" applyAlignment="1" applyProtection="1">
      <alignment horizontal="center" vertical="center" wrapText="1"/>
      <protection locked="0"/>
    </xf>
    <xf numFmtId="0" fontId="21" fillId="12" borderId="16" xfId="1" applyFont="1" applyFill="1" applyBorder="1" applyAlignment="1" applyProtection="1">
      <alignment horizontal="center" vertical="center" wrapText="1"/>
      <protection locked="0"/>
    </xf>
    <xf numFmtId="0" fontId="21" fillId="8" borderId="16" xfId="1" applyFont="1" applyFill="1" applyBorder="1" applyAlignment="1" applyProtection="1">
      <alignment horizontal="center" vertical="center" wrapText="1"/>
      <protection locked="0"/>
    </xf>
    <xf numFmtId="0" fontId="22" fillId="8" borderId="16" xfId="1" applyFont="1" applyFill="1" applyBorder="1" applyAlignment="1" applyProtection="1">
      <alignment horizontal="center" vertical="center" wrapText="1"/>
      <protection locked="0"/>
    </xf>
    <xf numFmtId="0" fontId="18" fillId="0" borderId="0" xfId="0" applyFont="1" applyAlignment="1">
      <alignment vertical="center"/>
    </xf>
    <xf numFmtId="0" fontId="18" fillId="0" borderId="0" xfId="0" applyFont="1" applyAlignment="1">
      <alignment horizontal="center" vertical="center"/>
    </xf>
    <xf numFmtId="0" fontId="6" fillId="0" borderId="0" xfId="0" applyFont="1" applyAlignment="1">
      <alignment vertical="center"/>
    </xf>
    <xf numFmtId="0" fontId="23" fillId="0" borderId="0" xfId="0" applyFont="1" applyAlignment="1" applyProtection="1">
      <alignment horizontal="center"/>
      <protection locked="0"/>
    </xf>
    <xf numFmtId="0" fontId="22" fillId="7" borderId="16" xfId="1" applyFont="1" applyFill="1" applyBorder="1" applyAlignment="1" applyProtection="1">
      <alignment horizontal="center" vertical="center" wrapText="1"/>
      <protection locked="0"/>
    </xf>
    <xf numFmtId="0" fontId="20" fillId="0" borderId="0" xfId="0" applyFont="1" applyAlignment="1" applyProtection="1">
      <alignment horizontal="center"/>
      <protection locked="0"/>
    </xf>
    <xf numFmtId="0" fontId="23" fillId="13" borderId="0" xfId="0" applyFont="1" applyFill="1" applyAlignment="1" applyProtection="1">
      <alignment horizontal="left"/>
      <protection locked="0"/>
    </xf>
    <xf numFmtId="0" fontId="7" fillId="13" borderId="0" xfId="0" applyFont="1" applyFill="1" applyProtection="1">
      <protection locked="0"/>
    </xf>
    <xf numFmtId="0" fontId="20" fillId="13" borderId="0" xfId="0" applyFont="1" applyFill="1" applyProtection="1">
      <protection locked="0"/>
    </xf>
    <xf numFmtId="0" fontId="7" fillId="13" borderId="0" xfId="0" applyFont="1" applyFill="1" applyAlignment="1" applyProtection="1">
      <alignment vertical="center"/>
      <protection locked="0"/>
    </xf>
    <xf numFmtId="0" fontId="18" fillId="0" borderId="0" xfId="0" applyFont="1" applyAlignment="1">
      <alignment horizontal="center"/>
    </xf>
    <xf numFmtId="0" fontId="2" fillId="0" borderId="17" xfId="1" applyBorder="1" applyAlignment="1" applyProtection="1">
      <alignment horizontal="center" vertical="center" wrapText="1"/>
      <protection locked="0"/>
    </xf>
    <xf numFmtId="0" fontId="16" fillId="0" borderId="0" xfId="0" applyFont="1" applyAlignment="1">
      <alignment horizontal="left" vertical="center"/>
    </xf>
    <xf numFmtId="0" fontId="16" fillId="0" borderId="4" xfId="0" applyFont="1" applyBorder="1" applyAlignment="1" applyProtection="1">
      <alignment horizontal="left" vertical="center"/>
      <protection locked="0"/>
    </xf>
    <xf numFmtId="0" fontId="16" fillId="15" borderId="0" xfId="0" applyFont="1" applyFill="1" applyAlignment="1">
      <alignment horizontal="left" vertical="center"/>
    </xf>
    <xf numFmtId="0" fontId="16" fillId="0" borderId="22" xfId="0" applyFont="1" applyBorder="1" applyAlignment="1" applyProtection="1">
      <alignment vertical="top"/>
      <protection locked="0"/>
    </xf>
    <xf numFmtId="0" fontId="16" fillId="0" borderId="22" xfId="0" applyFont="1" applyBorder="1" applyAlignment="1" applyProtection="1">
      <alignment horizontal="left" vertical="top"/>
      <protection locked="0"/>
    </xf>
    <xf numFmtId="14" fontId="16" fillId="0" borderId="22" xfId="0" applyNumberFormat="1" applyFont="1" applyBorder="1" applyAlignment="1" applyProtection="1">
      <alignment horizontal="center" vertical="top"/>
      <protection locked="0"/>
    </xf>
    <xf numFmtId="178" fontId="16" fillId="0" borderId="22" xfId="0" applyNumberFormat="1" applyFont="1" applyBorder="1" applyAlignment="1" applyProtection="1">
      <alignment horizontal="center" vertical="top"/>
      <protection locked="0"/>
    </xf>
    <xf numFmtId="179" fontId="16" fillId="0" borderId="22" xfId="0" applyNumberFormat="1" applyFont="1" applyBorder="1" applyAlignment="1" applyProtection="1">
      <alignment horizontal="center" vertical="top"/>
      <protection locked="0"/>
    </xf>
    <xf numFmtId="1" fontId="16" fillId="0" borderId="22" xfId="0" applyNumberFormat="1" applyFont="1" applyBorder="1" applyAlignment="1" applyProtection="1">
      <alignment horizontal="center" vertical="top"/>
      <protection locked="0"/>
    </xf>
    <xf numFmtId="0" fontId="16" fillId="0" borderId="5" xfId="0" applyFont="1" applyBorder="1" applyAlignment="1" applyProtection="1">
      <alignment vertical="top"/>
      <protection locked="0"/>
    </xf>
    <xf numFmtId="0" fontId="16" fillId="0" borderId="5" xfId="0" applyFont="1" applyBorder="1" applyAlignment="1" applyProtection="1">
      <alignment horizontal="center" vertical="top"/>
      <protection locked="0"/>
    </xf>
    <xf numFmtId="0" fontId="16" fillId="0" borderId="5" xfId="0" applyFont="1" applyBorder="1" applyAlignment="1" applyProtection="1">
      <alignment horizontal="left" vertical="top"/>
      <protection locked="0"/>
    </xf>
    <xf numFmtId="14" fontId="16" fillId="0" borderId="5" xfId="0" applyNumberFormat="1" applyFont="1" applyBorder="1" applyAlignment="1" applyProtection="1">
      <alignment horizontal="center" vertical="top"/>
      <protection locked="0"/>
    </xf>
    <xf numFmtId="178" fontId="16" fillId="0" borderId="5" xfId="0" applyNumberFormat="1" applyFont="1" applyBorder="1" applyAlignment="1" applyProtection="1">
      <alignment horizontal="center" vertical="top"/>
      <protection locked="0"/>
    </xf>
    <xf numFmtId="179" fontId="16" fillId="0" borderId="5" xfId="0" applyNumberFormat="1" applyFont="1" applyBorder="1" applyAlignment="1" applyProtection="1">
      <alignment horizontal="center" vertical="top"/>
      <protection locked="0"/>
    </xf>
    <xf numFmtId="1" fontId="16" fillId="0" borderId="5" xfId="0" applyNumberFormat="1" applyFont="1" applyBorder="1" applyAlignment="1" applyProtection="1">
      <alignment horizontal="center" vertical="top"/>
      <protection locked="0"/>
    </xf>
    <xf numFmtId="10" fontId="16" fillId="0" borderId="5" xfId="0" applyNumberFormat="1" applyFont="1" applyBorder="1" applyAlignment="1" applyProtection="1">
      <alignment horizontal="right" vertical="top" wrapText="1"/>
      <protection locked="0"/>
    </xf>
    <xf numFmtId="10" fontId="16" fillId="0" borderId="5" xfId="0" applyNumberFormat="1" applyFont="1" applyBorder="1" applyAlignment="1" applyProtection="1">
      <alignment horizontal="right" vertical="top"/>
      <protection locked="0"/>
    </xf>
    <xf numFmtId="0" fontId="16" fillId="0" borderId="22" xfId="0" quotePrefix="1" applyFont="1" applyBorder="1" applyAlignment="1" applyProtection="1">
      <alignment horizontal="left" vertical="top"/>
      <protection locked="0"/>
    </xf>
    <xf numFmtId="0" fontId="16" fillId="0" borderId="23" xfId="0" applyFont="1" applyBorder="1" applyAlignment="1" applyProtection="1">
      <alignment horizontal="left" vertical="center"/>
      <protection locked="0"/>
    </xf>
    <xf numFmtId="0" fontId="16" fillId="0" borderId="27" xfId="0" applyFont="1" applyBorder="1" applyAlignment="1" applyProtection="1">
      <alignment horizontal="left" vertical="center"/>
      <protection locked="0"/>
    </xf>
    <xf numFmtId="0" fontId="16" fillId="0" borderId="28" xfId="0" applyFont="1" applyBorder="1" applyAlignment="1" applyProtection="1">
      <alignment horizontal="left" vertical="center"/>
      <protection locked="0"/>
    </xf>
    <xf numFmtId="0" fontId="7" fillId="18" borderId="0" xfId="0" applyFont="1" applyFill="1" applyAlignment="1">
      <alignment vertical="top"/>
    </xf>
    <xf numFmtId="0" fontId="7" fillId="18" borderId="0" xfId="0" applyFont="1" applyFill="1" applyAlignment="1">
      <alignment horizontal="left" vertical="top"/>
    </xf>
    <xf numFmtId="0" fontId="31" fillId="3" borderId="1" xfId="0" applyFont="1" applyFill="1" applyBorder="1" applyAlignment="1">
      <alignment horizontal="center" vertical="center"/>
    </xf>
    <xf numFmtId="0" fontId="31" fillId="3" borderId="1" xfId="0" applyFont="1" applyFill="1" applyBorder="1" applyAlignment="1">
      <alignment horizontal="center" vertical="center" wrapText="1"/>
    </xf>
    <xf numFmtId="0" fontId="32" fillId="0" borderId="0" xfId="0" applyFont="1" applyAlignment="1">
      <alignment vertical="top"/>
    </xf>
    <xf numFmtId="0" fontId="32" fillId="0" borderId="0" xfId="0" applyFont="1" applyAlignment="1">
      <alignment horizontal="center" vertical="top"/>
    </xf>
    <xf numFmtId="0" fontId="33" fillId="0" borderId="0" xfId="0" applyFont="1" applyAlignment="1">
      <alignment vertical="top"/>
    </xf>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horizontal="left" vertical="top"/>
    </xf>
    <xf numFmtId="0" fontId="33" fillId="0" borderId="0" xfId="0" applyFont="1" applyAlignment="1">
      <alignment horizontal="left" vertical="top"/>
    </xf>
    <xf numFmtId="14" fontId="32" fillId="0" borderId="0" xfId="0" applyNumberFormat="1" applyFont="1" applyAlignment="1">
      <alignment horizontal="left" vertical="top" wrapText="1"/>
    </xf>
    <xf numFmtId="0" fontId="32" fillId="0" borderId="0" xfId="0" applyFont="1"/>
    <xf numFmtId="0" fontId="30" fillId="0" borderId="0" xfId="0" applyFont="1" applyAlignment="1">
      <alignment horizontal="left" vertical="top"/>
    </xf>
    <xf numFmtId="0" fontId="33" fillId="0" borderId="0" xfId="0" applyFont="1" applyAlignment="1">
      <alignment horizontal="left" vertical="top" wrapText="1"/>
    </xf>
    <xf numFmtId="0" fontId="35" fillId="7" borderId="16" xfId="1" applyFont="1" applyFill="1" applyBorder="1" applyAlignment="1" applyProtection="1">
      <alignment horizontal="center" vertical="center" wrapText="1"/>
      <protection locked="0"/>
    </xf>
    <xf numFmtId="0" fontId="13" fillId="18" borderId="0" xfId="0" applyFont="1" applyFill="1"/>
    <xf numFmtId="0" fontId="2" fillId="18" borderId="0" xfId="1" applyFill="1" applyAlignment="1">
      <alignment horizontal="left" vertical="top"/>
    </xf>
    <xf numFmtId="14" fontId="7" fillId="18" borderId="0" xfId="0" applyNumberFormat="1" applyFont="1" applyFill="1" applyAlignment="1">
      <alignment horizontal="left" vertical="top"/>
    </xf>
    <xf numFmtId="0" fontId="7" fillId="16" borderId="0" xfId="0" applyFont="1" applyFill="1" applyAlignment="1">
      <alignment vertical="top"/>
    </xf>
    <xf numFmtId="0" fontId="7" fillId="16" borderId="0" xfId="0" quotePrefix="1" applyFont="1" applyFill="1" applyAlignment="1">
      <alignment horizontal="left" vertical="top"/>
    </xf>
    <xf numFmtId="0" fontId="7" fillId="16" borderId="0" xfId="0" applyFont="1" applyFill="1" applyAlignment="1">
      <alignment horizontal="left" vertical="top"/>
    </xf>
    <xf numFmtId="0" fontId="37" fillId="0" borderId="0" xfId="0" applyFont="1" applyAlignment="1">
      <alignment vertical="top" wrapText="1"/>
    </xf>
    <xf numFmtId="0" fontId="38" fillId="0" borderId="0" xfId="0" applyFont="1" applyAlignment="1">
      <alignment vertical="top" wrapText="1"/>
    </xf>
    <xf numFmtId="0" fontId="39" fillId="0" borderId="0" xfId="0" applyFont="1" applyAlignment="1">
      <alignment vertical="top" wrapText="1"/>
    </xf>
    <xf numFmtId="0" fontId="25" fillId="17" borderId="20" xfId="0" applyFont="1" applyFill="1" applyBorder="1" applyAlignment="1">
      <alignment vertical="center"/>
    </xf>
    <xf numFmtId="0" fontId="25" fillId="17" borderId="21" xfId="0" applyFont="1" applyFill="1" applyBorder="1" applyAlignment="1">
      <alignment vertical="center"/>
    </xf>
    <xf numFmtId="0" fontId="25" fillId="17" borderId="19" xfId="0" applyFont="1" applyFill="1" applyBorder="1"/>
    <xf numFmtId="0" fontId="18" fillId="17" borderId="19" xfId="0" applyFont="1" applyFill="1" applyBorder="1"/>
    <xf numFmtId="0" fontId="25" fillId="17" borderId="18" xfId="0" applyFont="1" applyFill="1" applyBorder="1" applyAlignment="1">
      <alignment horizontal="left"/>
    </xf>
    <xf numFmtId="0" fontId="40" fillId="0" borderId="0" xfId="0" applyFont="1" applyAlignment="1">
      <alignment vertical="top" wrapText="1"/>
    </xf>
    <xf numFmtId="0" fontId="43" fillId="15" borderId="0" xfId="0" applyFont="1" applyFill="1" applyAlignment="1">
      <alignment horizontal="left"/>
    </xf>
    <xf numFmtId="0" fontId="44" fillId="15" borderId="0" xfId="0" applyFont="1" applyFill="1" applyAlignment="1">
      <alignment horizontal="left"/>
    </xf>
    <xf numFmtId="0" fontId="48" fillId="15" borderId="0" xfId="1" applyFont="1" applyFill="1" applyAlignment="1">
      <alignment horizontal="right"/>
    </xf>
    <xf numFmtId="10" fontId="48" fillId="15" borderId="0" xfId="0" applyNumberFormat="1" applyFont="1" applyFill="1" applyAlignment="1">
      <alignment horizontal="right"/>
    </xf>
    <xf numFmtId="178" fontId="48" fillId="15" borderId="0" xfId="1" applyNumberFormat="1" applyFont="1" applyFill="1" applyAlignment="1">
      <alignment horizontal="right"/>
    </xf>
    <xf numFmtId="0" fontId="49" fillId="15" borderId="0" xfId="1" applyFont="1" applyFill="1"/>
    <xf numFmtId="0" fontId="49" fillId="15" borderId="0" xfId="1" applyFont="1" applyFill="1" applyAlignment="1">
      <alignment horizontal="right"/>
    </xf>
    <xf numFmtId="0" fontId="34" fillId="0" borderId="0" xfId="0" applyFont="1" applyAlignment="1">
      <alignment vertical="top" wrapText="1"/>
    </xf>
    <xf numFmtId="0" fontId="51" fillId="17" borderId="19" xfId="0" applyFont="1" applyFill="1" applyBorder="1"/>
    <xf numFmtId="0" fontId="43" fillId="15" borderId="0" xfId="0" applyFont="1" applyFill="1" applyAlignment="1">
      <alignment horizontal="left" vertical="top"/>
    </xf>
    <xf numFmtId="0" fontId="43" fillId="15" borderId="0" xfId="0" applyFont="1" applyFill="1" applyAlignment="1">
      <alignment horizontal="left" vertical="center"/>
    </xf>
    <xf numFmtId="0" fontId="44" fillId="15" borderId="0" xfId="0" applyFont="1" applyFill="1" applyAlignment="1">
      <alignment horizontal="left" vertical="top"/>
    </xf>
    <xf numFmtId="0" fontId="47" fillId="15" borderId="0" xfId="1" applyFont="1" applyFill="1" applyAlignment="1">
      <alignment vertical="top" wrapText="1"/>
    </xf>
    <xf numFmtId="0" fontId="47" fillId="15" borderId="0" xfId="1" applyFont="1" applyFill="1" applyAlignment="1">
      <alignment vertical="top"/>
    </xf>
    <xf numFmtId="0" fontId="44" fillId="15" borderId="0" xfId="1" applyFont="1" applyFill="1" applyAlignment="1">
      <alignment horizontal="right" vertical="center"/>
    </xf>
    <xf numFmtId="0" fontId="48" fillId="15" borderId="0" xfId="0" applyFont="1" applyFill="1" applyAlignment="1">
      <alignment horizontal="left" vertical="center"/>
    </xf>
    <xf numFmtId="0" fontId="45" fillId="15" borderId="0" xfId="0" applyFont="1" applyFill="1" applyAlignment="1">
      <alignment horizontal="left" vertical="center"/>
    </xf>
    <xf numFmtId="0" fontId="45" fillId="15" borderId="0" xfId="0" applyFont="1" applyFill="1" applyAlignment="1">
      <alignment vertical="center"/>
    </xf>
    <xf numFmtId="14" fontId="45" fillId="15" borderId="0" xfId="0" applyNumberFormat="1" applyFont="1" applyFill="1" applyAlignment="1">
      <alignment vertical="top"/>
    </xf>
    <xf numFmtId="14" fontId="46" fillId="15" borderId="0" xfId="0" applyNumberFormat="1" applyFont="1" applyFill="1" applyAlignment="1">
      <alignment horizontal="left" vertical="top" wrapText="1"/>
    </xf>
    <xf numFmtId="178" fontId="47" fillId="15" borderId="0" xfId="0" applyNumberFormat="1" applyFont="1" applyFill="1" applyAlignment="1">
      <alignment horizontal="center" vertical="top"/>
    </xf>
    <xf numFmtId="178" fontId="43" fillId="15" borderId="0" xfId="0" applyNumberFormat="1" applyFont="1" applyFill="1" applyAlignment="1">
      <alignment horizontal="center" vertical="top"/>
    </xf>
    <xf numFmtId="178" fontId="45" fillId="15" borderId="0" xfId="0" applyNumberFormat="1" applyFont="1" applyFill="1" applyAlignment="1">
      <alignment horizontal="center" vertical="top"/>
    </xf>
    <xf numFmtId="14" fontId="45" fillId="15" borderId="0" xfId="0" applyNumberFormat="1" applyFont="1" applyFill="1" applyAlignment="1">
      <alignment horizontal="center" vertical="top"/>
    </xf>
    <xf numFmtId="1" fontId="45" fillId="15" borderId="0" xfId="0" applyNumberFormat="1" applyFont="1" applyFill="1" applyAlignment="1">
      <alignment horizontal="center" vertical="top"/>
    </xf>
    <xf numFmtId="0" fontId="52" fillId="0" borderId="0" xfId="0" applyFont="1" applyAlignment="1">
      <alignment vertical="top" wrapText="1"/>
    </xf>
    <xf numFmtId="0" fontId="48" fillId="15" borderId="0" xfId="0" applyFont="1" applyFill="1"/>
    <xf numFmtId="10" fontId="0" fillId="0" borderId="0" xfId="0" applyNumberFormat="1"/>
    <xf numFmtId="2" fontId="6" fillId="0" borderId="0" xfId="0" applyNumberFormat="1" applyFont="1" applyAlignment="1" applyProtection="1">
      <alignment vertical="center"/>
      <protection locked="0"/>
    </xf>
    <xf numFmtId="0" fontId="4" fillId="15" borderId="0" xfId="0" applyFont="1" applyFill="1" applyAlignment="1">
      <alignment horizontal="left" vertical="center"/>
    </xf>
    <xf numFmtId="0" fontId="52" fillId="0" borderId="0" xfId="0" quotePrefix="1" applyFont="1" applyAlignment="1">
      <alignment vertical="top" wrapText="1"/>
    </xf>
    <xf numFmtId="0" fontId="37" fillId="0" borderId="0" xfId="0" quotePrefix="1" applyFont="1" applyAlignment="1">
      <alignment vertical="top" wrapText="1"/>
    </xf>
    <xf numFmtId="0" fontId="6" fillId="19" borderId="1" xfId="0" applyFont="1" applyFill="1" applyBorder="1" applyAlignment="1">
      <alignment horizontal="left" wrapText="1"/>
    </xf>
    <xf numFmtId="0" fontId="6" fillId="19" borderId="2" xfId="0" applyFont="1" applyFill="1" applyBorder="1" applyAlignment="1">
      <alignment horizontal="left" wrapText="1"/>
    </xf>
    <xf numFmtId="0" fontId="53" fillId="20" borderId="7" xfId="0" applyFont="1" applyFill="1" applyBorder="1"/>
    <xf numFmtId="180" fontId="0" fillId="0" borderId="0" xfId="0" applyNumberFormat="1"/>
    <xf numFmtId="1" fontId="0" fillId="0" borderId="0" xfId="0" applyNumberFormat="1"/>
    <xf numFmtId="4" fontId="0" fillId="0" borderId="0" xfId="0" applyNumberFormat="1"/>
    <xf numFmtId="0" fontId="41" fillId="15" borderId="0" xfId="0" applyFont="1" applyFill="1" applyAlignment="1">
      <alignment horizontal="left" vertical="center"/>
    </xf>
    <xf numFmtId="0" fontId="42" fillId="16" borderId="26" xfId="0" applyFont="1" applyFill="1" applyBorder="1" applyAlignment="1">
      <alignment horizontal="left" vertical="center"/>
    </xf>
    <xf numFmtId="0" fontId="54" fillId="0" borderId="0" xfId="0" applyFont="1" applyAlignment="1">
      <alignment horizontal="left" vertical="center"/>
    </xf>
    <xf numFmtId="0" fontId="56" fillId="18" borderId="0" xfId="0" applyFont="1" applyFill="1" applyAlignment="1">
      <alignment vertical="top"/>
    </xf>
    <xf numFmtId="0" fontId="56" fillId="18" borderId="0" xfId="0" applyFont="1" applyFill="1" applyAlignment="1">
      <alignment horizontal="left" vertical="top" wrapText="1"/>
    </xf>
    <xf numFmtId="0" fontId="16" fillId="0" borderId="22" xfId="0" applyFont="1" applyBorder="1" applyAlignment="1" applyProtection="1">
      <alignment horizontal="left" vertical="center"/>
      <protection locked="0"/>
    </xf>
    <xf numFmtId="0" fontId="58" fillId="0" borderId="0" xfId="0" applyFont="1" applyAlignment="1">
      <alignment vertical="top"/>
    </xf>
    <xf numFmtId="0" fontId="59" fillId="0" borderId="0" xfId="0" applyFont="1" applyAlignment="1">
      <alignment vertical="top"/>
    </xf>
    <xf numFmtId="0" fontId="58" fillId="0" borderId="0" xfId="0" applyFont="1" applyAlignment="1">
      <alignment vertical="top" wrapText="1"/>
    </xf>
    <xf numFmtId="10" fontId="6" fillId="19" borderId="2" xfId="0" applyNumberFormat="1" applyFont="1" applyFill="1" applyBorder="1" applyAlignment="1">
      <alignment horizontal="left" wrapText="1"/>
    </xf>
    <xf numFmtId="0" fontId="6" fillId="19" borderId="3" xfId="0" applyFont="1" applyFill="1" applyBorder="1" applyAlignment="1">
      <alignment horizontal="left" wrapText="1"/>
    </xf>
    <xf numFmtId="0" fontId="42" fillId="16" borderId="25" xfId="0" applyFont="1" applyFill="1" applyBorder="1" applyAlignment="1">
      <alignment horizontal="left" vertical="center"/>
    </xf>
    <xf numFmtId="0" fontId="6" fillId="0" borderId="0" xfId="0" applyFont="1"/>
    <xf numFmtId="10" fontId="6" fillId="0" borderId="0" xfId="0" applyNumberFormat="1" applyFont="1"/>
    <xf numFmtId="0" fontId="6" fillId="0" borderId="0" xfId="0" quotePrefix="1" applyFont="1"/>
    <xf numFmtId="0" fontId="2" fillId="0" borderId="0" xfId="1" quotePrefix="1"/>
    <xf numFmtId="14" fontId="60" fillId="21" borderId="0" xfId="0" quotePrefix="1" applyNumberFormat="1" applyFont="1" applyFill="1"/>
    <xf numFmtId="0" fontId="2" fillId="21" borderId="0" xfId="1" quotePrefix="1" applyFill="1"/>
    <xf numFmtId="0" fontId="6" fillId="21" borderId="0" xfId="0" quotePrefix="1" applyFont="1" applyFill="1"/>
    <xf numFmtId="14" fontId="6" fillId="21" borderId="0" xfId="0" applyNumberFormat="1" applyFont="1" applyFill="1"/>
    <xf numFmtId="10" fontId="6" fillId="21" borderId="0" xfId="0" applyNumberFormat="1" applyFont="1" applyFill="1"/>
    <xf numFmtId="0" fontId="6" fillId="21" borderId="0" xfId="0" applyFont="1" applyFill="1"/>
    <xf numFmtId="0" fontId="60" fillId="21" borderId="0" xfId="0" applyFont="1" applyFill="1"/>
    <xf numFmtId="0" fontId="45" fillId="15" borderId="0" xfId="0" applyFont="1" applyFill="1" applyAlignment="1">
      <alignment horizontal="center" vertical="center"/>
    </xf>
    <xf numFmtId="0" fontId="48" fillId="15" borderId="0" xfId="1" applyFont="1" applyFill="1" applyAlignment="1">
      <alignment horizontal="center"/>
    </xf>
    <xf numFmtId="0" fontId="16" fillId="0" borderId="22" xfId="0" applyFont="1" applyBorder="1" applyAlignment="1" applyProtection="1">
      <alignment horizontal="center" vertical="top"/>
      <protection locked="0"/>
    </xf>
    <xf numFmtId="14" fontId="16" fillId="18" borderId="22" xfId="0" applyNumberFormat="1" applyFont="1" applyFill="1" applyBorder="1" applyAlignment="1" applyProtection="1">
      <alignment horizontal="center" vertical="top"/>
      <protection locked="0"/>
    </xf>
    <xf numFmtId="0" fontId="16" fillId="18" borderId="22" xfId="0" applyFont="1" applyFill="1" applyBorder="1" applyAlignment="1" applyProtection="1">
      <alignment horizontal="left" vertical="top"/>
      <protection locked="0"/>
    </xf>
    <xf numFmtId="0" fontId="16" fillId="18" borderId="22" xfId="0" applyFont="1" applyFill="1" applyBorder="1" applyAlignment="1" applyProtection="1">
      <alignment horizontal="center" vertical="top"/>
      <protection locked="0"/>
    </xf>
    <xf numFmtId="0" fontId="59" fillId="18" borderId="22" xfId="0" applyFont="1" applyFill="1" applyBorder="1" applyAlignment="1" applyProtection="1">
      <alignment horizontal="left" vertical="top"/>
      <protection locked="0"/>
    </xf>
    <xf numFmtId="0" fontId="28" fillId="16" borderId="25" xfId="0" applyFont="1" applyFill="1" applyBorder="1" applyAlignment="1">
      <alignment horizontal="left" vertical="center" wrapText="1"/>
    </xf>
    <xf numFmtId="0" fontId="16" fillId="0" borderId="0" xfId="0" applyFont="1" applyAlignment="1">
      <alignment horizontal="left" vertical="center"/>
    </xf>
    <xf numFmtId="0" fontId="41" fillId="15" borderId="0" xfId="0" applyFont="1" applyFill="1" applyAlignment="1">
      <alignment horizontal="left" vertical="center"/>
    </xf>
    <xf numFmtId="1" fontId="15" fillId="16" borderId="2" xfId="0" applyNumberFormat="1" applyFont="1" applyFill="1" applyBorder="1" applyAlignment="1">
      <alignment horizontal="center" vertical="center" wrapText="1"/>
    </xf>
    <xf numFmtId="0" fontId="0" fillId="0" borderId="2" xfId="0" applyBorder="1"/>
    <xf numFmtId="0" fontId="15" fillId="14" borderId="1" xfId="0" applyFont="1" applyFill="1" applyBorder="1" applyAlignment="1">
      <alignment horizontal="center" vertical="center" wrapText="1"/>
    </xf>
    <xf numFmtId="0" fontId="0" fillId="0" borderId="1" xfId="0" applyBorder="1"/>
    <xf numFmtId="0" fontId="28" fillId="16" borderId="24" xfId="0" applyFont="1" applyFill="1" applyBorder="1" applyAlignment="1">
      <alignment horizontal="left" vertical="center" wrapText="1"/>
    </xf>
    <xf numFmtId="0" fontId="15" fillId="16" borderId="2" xfId="0" applyFont="1" applyFill="1" applyBorder="1" applyAlignment="1">
      <alignment horizontal="center" vertical="center"/>
    </xf>
    <xf numFmtId="178" fontId="15" fillId="16" borderId="2" xfId="0" applyNumberFormat="1" applyFont="1" applyFill="1" applyBorder="1" applyAlignment="1">
      <alignment horizontal="center" vertical="center" wrapText="1"/>
    </xf>
    <xf numFmtId="14" fontId="15" fillId="7" borderId="2" xfId="0" applyNumberFormat="1" applyFont="1" applyFill="1" applyBorder="1" applyAlignment="1">
      <alignment horizontal="center" vertical="center" wrapText="1"/>
    </xf>
    <xf numFmtId="0" fontId="15" fillId="14" borderId="2" xfId="0" applyFont="1" applyFill="1" applyBorder="1" applyAlignment="1">
      <alignment horizontal="center" vertical="center" wrapText="1"/>
    </xf>
    <xf numFmtId="14" fontId="15" fillId="7" borderId="2" xfId="0" applyNumberFormat="1" applyFont="1" applyFill="1" applyBorder="1" applyAlignment="1">
      <alignment horizontal="center" vertical="center"/>
    </xf>
    <xf numFmtId="0" fontId="15" fillId="7" borderId="3" xfId="0" applyFont="1" applyFill="1" applyBorder="1" applyAlignment="1">
      <alignment horizontal="center" vertical="center"/>
    </xf>
    <xf numFmtId="0" fontId="0" fillId="0" borderId="3" xfId="0" applyBorder="1"/>
    <xf numFmtId="179" fontId="15" fillId="16" borderId="2" xfId="0" applyNumberFormat="1" applyFont="1" applyFill="1" applyBorder="1" applyAlignment="1">
      <alignment horizontal="center" vertical="center" wrapText="1"/>
    </xf>
    <xf numFmtId="0" fontId="15" fillId="7" borderId="2" xfId="0" applyFont="1" applyFill="1" applyBorder="1" applyAlignment="1">
      <alignment horizontal="center" vertical="center"/>
    </xf>
    <xf numFmtId="0" fontId="15" fillId="14" borderId="2" xfId="0" applyFont="1" applyFill="1" applyBorder="1" applyAlignment="1">
      <alignment horizontal="center" vertical="center"/>
    </xf>
    <xf numFmtId="176" fontId="15" fillId="7" borderId="2" xfId="0" applyNumberFormat="1" applyFont="1" applyFill="1" applyBorder="1" applyAlignment="1">
      <alignment horizontal="center" vertical="center" wrapText="1"/>
    </xf>
    <xf numFmtId="178" fontId="15" fillId="16" borderId="2" xfId="0" applyNumberFormat="1" applyFont="1" applyFill="1" applyBorder="1" applyAlignment="1">
      <alignment horizontal="center" vertical="top" wrapText="1"/>
    </xf>
    <xf numFmtId="10" fontId="15" fillId="16" borderId="2" xfId="0" applyNumberFormat="1" applyFont="1" applyFill="1" applyBorder="1" applyAlignment="1">
      <alignment horizontal="center" vertical="center" wrapText="1"/>
    </xf>
    <xf numFmtId="10" fontId="15" fillId="7" borderId="3" xfId="0" applyNumberFormat="1" applyFont="1" applyFill="1" applyBorder="1" applyAlignment="1">
      <alignment horizontal="center" vertical="center" wrapText="1"/>
    </xf>
    <xf numFmtId="0" fontId="24" fillId="13" borderId="0" xfId="0" applyFont="1" applyFill="1" applyAlignment="1">
      <alignment horizontal="left" vertical="top" wrapText="1"/>
    </xf>
    <xf numFmtId="0" fontId="7" fillId="0" borderId="0" xfId="0" applyFont="1" applyProtection="1">
      <protection locked="0"/>
    </xf>
    <xf numFmtId="0" fontId="6" fillId="0" borderId="17" xfId="0" applyFont="1" applyBorder="1" applyAlignment="1" applyProtection="1">
      <alignment horizontal="left" vertical="top" wrapText="1"/>
      <protection locked="0"/>
    </xf>
    <xf numFmtId="0" fontId="0" fillId="0" borderId="17" xfId="0" applyBorder="1" applyProtection="1">
      <protection locked="0"/>
    </xf>
    <xf numFmtId="0" fontId="55" fillId="0" borderId="17" xfId="0" applyFont="1" applyBorder="1" applyAlignment="1" applyProtection="1">
      <alignment horizontal="left" vertical="center" wrapText="1"/>
      <protection locked="0"/>
    </xf>
    <xf numFmtId="0" fontId="6" fillId="0" borderId="17" xfId="0" applyFont="1" applyBorder="1" applyAlignment="1" applyProtection="1">
      <alignment horizontal="left" vertical="center" wrapText="1"/>
      <protection locked="0"/>
    </xf>
    <xf numFmtId="0" fontId="29" fillId="17" borderId="19" xfId="1" applyFont="1" applyFill="1" applyBorder="1" applyAlignment="1">
      <alignment horizontal="right"/>
    </xf>
    <xf numFmtId="0" fontId="0" fillId="0" borderId="19" xfId="0" applyBorder="1"/>
    <xf numFmtId="0" fontId="26" fillId="17" borderId="21" xfId="1" applyFont="1" applyFill="1" applyBorder="1" applyAlignment="1">
      <alignment vertical="center"/>
    </xf>
    <xf numFmtId="0" fontId="0" fillId="0" borderId="21" xfId="0" applyBorder="1"/>
    <xf numFmtId="0" fontId="36" fillId="0" borderId="0" xfId="0" applyFont="1" applyAlignment="1">
      <alignment horizontal="left" vertical="top" wrapText="1"/>
    </xf>
    <xf numFmtId="0" fontId="18" fillId="0" borderId="0" xfId="0" applyFont="1"/>
    <xf numFmtId="0" fontId="18" fillId="0" borderId="0" xfId="0" applyFont="1" applyAlignment="1">
      <alignment horizontal="center"/>
    </xf>
    <xf numFmtId="0" fontId="7" fillId="0" borderId="0" xfId="0" applyFont="1" applyAlignment="1" applyProtection="1">
      <alignment horizontal="left" vertical="center" wrapText="1"/>
      <protection locked="0"/>
    </xf>
    <xf numFmtId="0" fontId="0" fillId="0" borderId="0" xfId="0" applyProtection="1">
      <protection locked="0"/>
    </xf>
    <xf numFmtId="0" fontId="7" fillId="0" borderId="0" xfId="0" applyFont="1" applyAlignment="1" applyProtection="1">
      <alignment horizontal="left" vertical="center"/>
      <protection locked="0"/>
    </xf>
    <xf numFmtId="14" fontId="8" fillId="2" borderId="0" xfId="0" applyNumberFormat="1" applyFont="1" applyFill="1" applyAlignment="1">
      <alignment horizontal="right" vertical="center"/>
    </xf>
    <xf numFmtId="0" fontId="7" fillId="2" borderId="0" xfId="0" applyFont="1" applyFill="1"/>
    <xf numFmtId="0" fontId="4" fillId="0" borderId="0" xfId="0" applyFont="1" applyAlignment="1">
      <alignment horizontal="left" vertical="center"/>
    </xf>
    <xf numFmtId="14" fontId="6" fillId="0" borderId="0" xfId="0" applyNumberFormat="1" applyFont="1" applyAlignment="1">
      <alignment vertical="center"/>
    </xf>
    <xf numFmtId="0" fontId="17" fillId="0" borderId="0" xfId="0" applyFont="1" applyAlignment="1" applyProtection="1">
      <alignment horizontal="left" vertical="center" wrapText="1"/>
      <protection locked="0"/>
    </xf>
    <xf numFmtId="14" fontId="11" fillId="5" borderId="14" xfId="0" applyNumberFormat="1" applyFont="1" applyFill="1" applyBorder="1" applyAlignment="1" applyProtection="1">
      <alignment horizontal="center" vertical="center"/>
      <protection locked="0"/>
    </xf>
    <xf numFmtId="0" fontId="0" fillId="0" borderId="29" xfId="0" applyBorder="1" applyProtection="1">
      <protection locked="0"/>
    </xf>
    <xf numFmtId="14" fontId="57" fillId="2" borderId="0" xfId="0" applyNumberFormat="1" applyFont="1" applyFill="1" applyAlignment="1">
      <alignment horizontal="left" vertical="top" wrapText="1"/>
    </xf>
    <xf numFmtId="14" fontId="6" fillId="2" borderId="0" xfId="0" applyNumberFormat="1" applyFont="1" applyFill="1" applyAlignment="1">
      <alignment vertical="top"/>
    </xf>
    <xf numFmtId="0" fontId="28" fillId="16" borderId="25" xfId="0" applyFont="1" applyFill="1" applyBorder="1" applyAlignment="1">
      <alignment horizontal="left" vertical="center"/>
    </xf>
    <xf numFmtId="0" fontId="28" fillId="16" borderId="26" xfId="0" applyFont="1" applyFill="1" applyBorder="1" applyAlignment="1">
      <alignment horizontal="left" vertical="center"/>
    </xf>
    <xf numFmtId="56" fontId="42" fillId="16" borderId="24" xfId="0" applyNumberFormat="1" applyFont="1" applyFill="1" applyBorder="1" applyAlignment="1">
      <alignment horizontal="center" vertical="center"/>
    </xf>
    <xf numFmtId="56" fontId="42" fillId="16" borderId="25" xfId="0" applyNumberFormat="1" applyFont="1" applyFill="1" applyBorder="1" applyAlignment="1">
      <alignment horizontal="center" vertical="center"/>
    </xf>
    <xf numFmtId="0" fontId="2" fillId="0" borderId="0" xfId="1"/>
    <xf numFmtId="0" fontId="50" fillId="0" borderId="0" xfId="1" applyFont="1"/>
    <xf numFmtId="0" fontId="16" fillId="0" borderId="30" xfId="0" applyFont="1" applyBorder="1" applyAlignment="1" applyProtection="1">
      <alignment vertical="top"/>
      <protection locked="0"/>
    </xf>
    <xf numFmtId="0" fontId="16" fillId="0" borderId="30" xfId="0" applyFont="1" applyBorder="1" applyAlignment="1" applyProtection="1">
      <alignment horizontal="center" vertical="top"/>
      <protection locked="0"/>
    </xf>
    <xf numFmtId="0" fontId="16" fillId="0" borderId="30" xfId="0" applyFont="1" applyBorder="1" applyAlignment="1" applyProtection="1">
      <alignment horizontal="left" vertical="top"/>
      <protection locked="0"/>
    </xf>
    <xf numFmtId="14" fontId="16" fillId="0" borderId="30" xfId="0" applyNumberFormat="1" applyFont="1" applyBorder="1" applyAlignment="1" applyProtection="1">
      <alignment horizontal="center" vertical="top"/>
      <protection locked="0"/>
    </xf>
    <xf numFmtId="178" fontId="16" fillId="0" borderId="30" xfId="0" applyNumberFormat="1" applyFont="1" applyBorder="1" applyAlignment="1" applyProtection="1">
      <alignment horizontal="center" vertical="top"/>
      <protection locked="0"/>
    </xf>
    <xf numFmtId="179" fontId="16" fillId="0" borderId="30" xfId="0" applyNumberFormat="1" applyFont="1" applyBorder="1" applyAlignment="1" applyProtection="1">
      <alignment horizontal="center" vertical="top"/>
      <protection locked="0"/>
    </xf>
    <xf numFmtId="1" fontId="16" fillId="0" borderId="30" xfId="0" applyNumberFormat="1" applyFont="1" applyBorder="1" applyAlignment="1" applyProtection="1">
      <alignment horizontal="center" vertical="top"/>
      <protection locked="0"/>
    </xf>
    <xf numFmtId="10" fontId="16" fillId="0" borderId="30" xfId="0" applyNumberFormat="1" applyFont="1" applyBorder="1" applyAlignment="1" applyProtection="1">
      <alignment horizontal="right" vertical="top" wrapText="1"/>
      <protection locked="0"/>
    </xf>
    <xf numFmtId="10" fontId="16" fillId="0" borderId="30" xfId="0" applyNumberFormat="1" applyFont="1" applyBorder="1" applyAlignment="1" applyProtection="1">
      <alignment horizontal="right" vertical="top"/>
      <protection locked="0"/>
    </xf>
    <xf numFmtId="10" fontId="27" fillId="0" borderId="0" xfId="2" applyNumberFormat="1">
      <alignment vertical="center"/>
    </xf>
    <xf numFmtId="10" fontId="27" fillId="15" borderId="0" xfId="2" applyNumberFormat="1" applyFill="1">
      <alignment vertical="center"/>
    </xf>
    <xf numFmtId="10" fontId="53" fillId="15" borderId="0" xfId="2" applyNumberFormat="1" applyFont="1" applyFill="1">
      <alignment vertical="center"/>
    </xf>
    <xf numFmtId="10" fontId="27" fillId="22" borderId="0" xfId="2" applyNumberFormat="1" applyFill="1">
      <alignment vertical="center"/>
    </xf>
    <xf numFmtId="10" fontId="27" fillId="18" borderId="0" xfId="2" applyNumberFormat="1" applyFill="1">
      <alignment vertical="center"/>
    </xf>
    <xf numFmtId="10" fontId="53" fillId="18" borderId="0" xfId="2" applyNumberFormat="1" applyFont="1" applyFill="1">
      <alignment vertical="center"/>
    </xf>
    <xf numFmtId="10" fontId="53" fillId="22" borderId="0" xfId="2" applyNumberFormat="1" applyFont="1" applyFill="1">
      <alignment vertical="center"/>
    </xf>
    <xf numFmtId="10" fontId="27" fillId="23" borderId="0" xfId="2" applyNumberFormat="1" applyFill="1">
      <alignment vertical="center"/>
    </xf>
    <xf numFmtId="0" fontId="16" fillId="0" borderId="22" xfId="0" applyFont="1" applyFill="1" applyBorder="1" applyAlignment="1" applyProtection="1">
      <alignment horizontal="left" vertical="top"/>
      <protection locked="0"/>
    </xf>
    <xf numFmtId="0" fontId="16" fillId="0" borderId="22" xfId="0" applyFont="1" applyFill="1" applyBorder="1" applyAlignment="1" applyProtection="1">
      <alignment horizontal="center" vertical="top"/>
      <protection locked="0"/>
    </xf>
    <xf numFmtId="14" fontId="16" fillId="0" borderId="22" xfId="0" applyNumberFormat="1" applyFont="1" applyFill="1" applyBorder="1" applyAlignment="1" applyProtection="1">
      <alignment horizontal="center" vertical="top"/>
      <protection locked="0"/>
    </xf>
  </cellXfs>
  <cellStyles count="3">
    <cellStyle name="백분율" xfId="2" builtinId="5"/>
    <cellStyle name="표준" xfId="0" builtinId="0"/>
    <cellStyle name="하이퍼링크" xfId="1" builtinId="8"/>
  </cellStyles>
  <dxfs count="17">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font>
      <fill>
        <patternFill>
          <bgColor rgb="FFF2F2F2"/>
        </patternFill>
      </fill>
      <border>
        <left style="thin">
          <color theme="0" tint="-0.14990691854609822"/>
        </left>
        <right style="thin">
          <color theme="0" tint="-0.14990691854609822"/>
        </right>
        <top style="thin">
          <color theme="0" tint="-0.14990691854609822"/>
        </top>
        <bottom style="thin">
          <color theme="0" tint="-0.149906918546098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47</xdr:col>
      <xdr:colOff>0</xdr:colOff>
      <xdr:row>3</xdr:row>
      <xdr:rowOff>76073</xdr:rowOff>
    </xdr:from>
    <xdr:to>
      <xdr:col>47</xdr:col>
      <xdr:colOff>0</xdr:colOff>
      <xdr:row>185</xdr:row>
      <xdr:rowOff>0</xdr:rowOff>
    </xdr:to>
    <xdr:cxnSp macro="">
      <xdr:nvCxnSpPr>
        <xdr:cNvPr id="5042" name="직선 화살표 연결선 5041">
          <a:extLst>
            <a:ext uri="{FF2B5EF4-FFF2-40B4-BE49-F238E27FC236}">
              <a16:creationId xmlns:a16="http://schemas.microsoft.com/office/drawing/2014/main" id="{BE0C9C05-E9CB-DE0B-A247-457D325DDACC}"/>
            </a:ext>
          </a:extLst>
        </xdr:cNvPr>
        <xdr:cNvCxnSpPr/>
      </xdr:nvCxnSpPr>
      <xdr:spPr>
        <a:xfrm>
          <a:off x="25222200" y="819023"/>
          <a:ext cx="0" cy="2758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185</xdr:row>
      <xdr:rowOff>0</xdr:rowOff>
    </xdr:to>
    <xdr:cxnSp macro="">
      <xdr:nvCxnSpPr>
        <xdr:cNvPr id="5043" name="직선 화살표 연결선 5042">
          <a:extLst>
            <a:ext uri="{FF2B5EF4-FFF2-40B4-BE49-F238E27FC236}">
              <a16:creationId xmlns:a16="http://schemas.microsoft.com/office/drawing/2014/main" id="{F41DEF3F-B0FE-7502-A2C7-BEC4F3900B4E}"/>
            </a:ext>
          </a:extLst>
        </xdr:cNvPr>
        <xdr:cNvCxnSpPr/>
      </xdr:nvCxnSpPr>
      <xdr:spPr>
        <a:xfrm>
          <a:off x="37414200" y="819023"/>
          <a:ext cx="0" cy="2758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185</xdr:row>
      <xdr:rowOff>0</xdr:rowOff>
    </xdr:to>
    <xdr:cxnSp macro="">
      <xdr:nvCxnSpPr>
        <xdr:cNvPr id="5044" name="직선 화살표 연결선 5043">
          <a:extLst>
            <a:ext uri="{FF2B5EF4-FFF2-40B4-BE49-F238E27FC236}">
              <a16:creationId xmlns:a16="http://schemas.microsoft.com/office/drawing/2014/main" id="{EE914E64-63AC-EFB0-2A8F-7EAB2986F762}"/>
            </a:ext>
          </a:extLst>
        </xdr:cNvPr>
        <xdr:cNvCxnSpPr/>
      </xdr:nvCxnSpPr>
      <xdr:spPr>
        <a:xfrm>
          <a:off x="49606200" y="819023"/>
          <a:ext cx="0" cy="2758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3</xdr:row>
      <xdr:rowOff>76073</xdr:rowOff>
    </xdr:from>
    <xdr:to>
      <xdr:col>41</xdr:col>
      <xdr:colOff>81643</xdr:colOff>
      <xdr:row>185</xdr:row>
      <xdr:rowOff>0</xdr:rowOff>
    </xdr:to>
    <xdr:cxnSp macro="">
      <xdr:nvCxnSpPr>
        <xdr:cNvPr id="5045" name="직선 화살표 연결선 5044">
          <a:extLst>
            <a:ext uri="{FF2B5EF4-FFF2-40B4-BE49-F238E27FC236}">
              <a16:creationId xmlns:a16="http://schemas.microsoft.com/office/drawing/2014/main" id="{19FD7BE0-91A2-B462-BDEC-EAB7BDB09F92}"/>
            </a:ext>
          </a:extLst>
        </xdr:cNvPr>
        <xdr:cNvCxnSpPr/>
      </xdr:nvCxnSpPr>
      <xdr:spPr>
        <a:xfrm>
          <a:off x="14540593" y="819023"/>
          <a:ext cx="0" cy="27584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20411</xdr:colOff>
      <xdr:row>184</xdr:row>
      <xdr:rowOff>19050</xdr:rowOff>
    </xdr:from>
    <xdr:to>
      <xdr:col>82</xdr:col>
      <xdr:colOff>82913</xdr:colOff>
      <xdr:row>184</xdr:row>
      <xdr:rowOff>133350</xdr:rowOff>
    </xdr:to>
    <xdr:sp macro="" textlink="">
      <xdr:nvSpPr>
        <xdr:cNvPr id="5046" name="181">
          <a:extLst>
            <a:ext uri="{FF2B5EF4-FFF2-40B4-BE49-F238E27FC236}">
              <a16:creationId xmlns:a16="http://schemas.microsoft.com/office/drawing/2014/main" id="{CF3ECE9B-A403-C0B0-36A3-3CD8B4F1D5D2}"/>
            </a:ext>
          </a:extLst>
        </xdr:cNvPr>
        <xdr:cNvSpPr/>
      </xdr:nvSpPr>
      <xdr:spPr>
        <a:xfrm>
          <a:off x="20337236" y="28270200"/>
          <a:ext cx="6250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20411</xdr:colOff>
      <xdr:row>184</xdr:row>
      <xdr:rowOff>76200</xdr:rowOff>
    </xdr:from>
    <xdr:to>
      <xdr:col>82</xdr:col>
      <xdr:colOff>20411</xdr:colOff>
      <xdr:row>184</xdr:row>
      <xdr:rowOff>76200</xdr:rowOff>
    </xdr:to>
    <xdr:cxnSp macro="">
      <xdr:nvCxnSpPr>
        <xdr:cNvPr id="5047" name="직선 화살표 연결선 5046">
          <a:extLst>
            <a:ext uri="{FF2B5EF4-FFF2-40B4-BE49-F238E27FC236}">
              <a16:creationId xmlns:a16="http://schemas.microsoft.com/office/drawing/2014/main" id="{2130623B-B0DE-7F76-5307-A73FCC6F1B06}"/>
            </a:ext>
          </a:extLst>
        </xdr:cNvPr>
        <xdr:cNvCxnSpPr/>
      </xdr:nvCxnSpPr>
      <xdr:spPr>
        <a:xfrm>
          <a:off x="20337236" y="2832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183</xdr:row>
      <xdr:rowOff>19050</xdr:rowOff>
    </xdr:from>
    <xdr:to>
      <xdr:col>81</xdr:col>
      <xdr:colOff>123734</xdr:colOff>
      <xdr:row>183</xdr:row>
      <xdr:rowOff>133350</xdr:rowOff>
    </xdr:to>
    <xdr:sp macro="" textlink="">
      <xdr:nvSpPr>
        <xdr:cNvPr id="5048" name="180">
          <a:extLst>
            <a:ext uri="{FF2B5EF4-FFF2-40B4-BE49-F238E27FC236}">
              <a16:creationId xmlns:a16="http://schemas.microsoft.com/office/drawing/2014/main" id="{43BD549C-D4E2-2CD7-A8E2-36D8CEF8E662}"/>
            </a:ext>
          </a:extLst>
        </xdr:cNvPr>
        <xdr:cNvSpPr/>
      </xdr:nvSpPr>
      <xdr:spPr>
        <a:xfrm>
          <a:off x="20194361" y="28117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183</xdr:row>
      <xdr:rowOff>76200</xdr:rowOff>
    </xdr:from>
    <xdr:to>
      <xdr:col>81</xdr:col>
      <xdr:colOff>20411</xdr:colOff>
      <xdr:row>183</xdr:row>
      <xdr:rowOff>76200</xdr:rowOff>
    </xdr:to>
    <xdr:cxnSp macro="">
      <xdr:nvCxnSpPr>
        <xdr:cNvPr id="5049" name="직선 화살표 연결선 5048">
          <a:extLst>
            <a:ext uri="{FF2B5EF4-FFF2-40B4-BE49-F238E27FC236}">
              <a16:creationId xmlns:a16="http://schemas.microsoft.com/office/drawing/2014/main" id="{46CC0C0F-18F9-9C51-5C1F-D09ABDA762CC}"/>
            </a:ext>
          </a:extLst>
        </xdr:cNvPr>
        <xdr:cNvCxnSpPr/>
      </xdr:nvCxnSpPr>
      <xdr:spPr>
        <a:xfrm>
          <a:off x="20194361" y="2817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182</xdr:row>
      <xdr:rowOff>19050</xdr:rowOff>
    </xdr:from>
    <xdr:to>
      <xdr:col>81</xdr:col>
      <xdr:colOff>123734</xdr:colOff>
      <xdr:row>182</xdr:row>
      <xdr:rowOff>133350</xdr:rowOff>
    </xdr:to>
    <xdr:sp macro="" textlink="">
      <xdr:nvSpPr>
        <xdr:cNvPr id="5050" name="179">
          <a:extLst>
            <a:ext uri="{FF2B5EF4-FFF2-40B4-BE49-F238E27FC236}">
              <a16:creationId xmlns:a16="http://schemas.microsoft.com/office/drawing/2014/main" id="{B3BF3FB1-838A-E606-8913-3254A580A346}"/>
            </a:ext>
          </a:extLst>
        </xdr:cNvPr>
        <xdr:cNvSpPr/>
      </xdr:nvSpPr>
      <xdr:spPr>
        <a:xfrm>
          <a:off x="20194361" y="2796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182</xdr:row>
      <xdr:rowOff>76200</xdr:rowOff>
    </xdr:from>
    <xdr:to>
      <xdr:col>81</xdr:col>
      <xdr:colOff>20411</xdr:colOff>
      <xdr:row>182</xdr:row>
      <xdr:rowOff>76200</xdr:rowOff>
    </xdr:to>
    <xdr:cxnSp macro="">
      <xdr:nvCxnSpPr>
        <xdr:cNvPr id="5051" name="직선 화살표 연결선 5050">
          <a:extLst>
            <a:ext uri="{FF2B5EF4-FFF2-40B4-BE49-F238E27FC236}">
              <a16:creationId xmlns:a16="http://schemas.microsoft.com/office/drawing/2014/main" id="{4E36DB4F-E38F-F56E-63C2-CAAA99EA615C}"/>
            </a:ext>
          </a:extLst>
        </xdr:cNvPr>
        <xdr:cNvCxnSpPr/>
      </xdr:nvCxnSpPr>
      <xdr:spPr>
        <a:xfrm>
          <a:off x="20194361" y="2802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181</xdr:row>
      <xdr:rowOff>19050</xdr:rowOff>
    </xdr:from>
    <xdr:to>
      <xdr:col>82</xdr:col>
      <xdr:colOff>82913</xdr:colOff>
      <xdr:row>181</xdr:row>
      <xdr:rowOff>133350</xdr:rowOff>
    </xdr:to>
    <xdr:sp macro="" textlink="">
      <xdr:nvSpPr>
        <xdr:cNvPr id="5052" name="178">
          <a:extLst>
            <a:ext uri="{FF2B5EF4-FFF2-40B4-BE49-F238E27FC236}">
              <a16:creationId xmlns:a16="http://schemas.microsoft.com/office/drawing/2014/main" id="{36B33AB4-E0ED-C3FE-646C-E66452D6C76E}"/>
            </a:ext>
          </a:extLst>
        </xdr:cNvPr>
        <xdr:cNvSpPr/>
      </xdr:nvSpPr>
      <xdr:spPr>
        <a:xfrm>
          <a:off x="20194361" y="27813000"/>
          <a:ext cx="20537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181</xdr:row>
      <xdr:rowOff>76200</xdr:rowOff>
    </xdr:from>
    <xdr:to>
      <xdr:col>81</xdr:col>
      <xdr:colOff>20411</xdr:colOff>
      <xdr:row>181</xdr:row>
      <xdr:rowOff>76200</xdr:rowOff>
    </xdr:to>
    <xdr:cxnSp macro="">
      <xdr:nvCxnSpPr>
        <xdr:cNvPr id="5053" name="직선 화살표 연결선 5052">
          <a:extLst>
            <a:ext uri="{FF2B5EF4-FFF2-40B4-BE49-F238E27FC236}">
              <a16:creationId xmlns:a16="http://schemas.microsoft.com/office/drawing/2014/main" id="{F807C691-9B1E-1FBB-9A9F-AEA424D137CE}"/>
            </a:ext>
          </a:extLst>
        </xdr:cNvPr>
        <xdr:cNvCxnSpPr/>
      </xdr:nvCxnSpPr>
      <xdr:spPr>
        <a:xfrm>
          <a:off x="20194361" y="2787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180</xdr:row>
      <xdr:rowOff>19050</xdr:rowOff>
    </xdr:from>
    <xdr:to>
      <xdr:col>62</xdr:col>
      <xdr:colOff>103324</xdr:colOff>
      <xdr:row>180</xdr:row>
      <xdr:rowOff>133350</xdr:rowOff>
    </xdr:to>
    <xdr:sp macro="" textlink="">
      <xdr:nvSpPr>
        <xdr:cNvPr id="5054" name="177">
          <a:extLst>
            <a:ext uri="{FF2B5EF4-FFF2-40B4-BE49-F238E27FC236}">
              <a16:creationId xmlns:a16="http://schemas.microsoft.com/office/drawing/2014/main" id="{B2E99EF0-2D9E-5D21-589A-13115EADB1EA}"/>
            </a:ext>
          </a:extLst>
        </xdr:cNvPr>
        <xdr:cNvSpPr/>
      </xdr:nvSpPr>
      <xdr:spPr>
        <a:xfrm>
          <a:off x="17336861" y="276606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180</xdr:row>
      <xdr:rowOff>76200</xdr:rowOff>
    </xdr:from>
    <xdr:to>
      <xdr:col>61</xdr:col>
      <xdr:colOff>20411</xdr:colOff>
      <xdr:row>180</xdr:row>
      <xdr:rowOff>76200</xdr:rowOff>
    </xdr:to>
    <xdr:cxnSp macro="">
      <xdr:nvCxnSpPr>
        <xdr:cNvPr id="5055" name="직선 화살표 연결선 5054">
          <a:extLst>
            <a:ext uri="{FF2B5EF4-FFF2-40B4-BE49-F238E27FC236}">
              <a16:creationId xmlns:a16="http://schemas.microsoft.com/office/drawing/2014/main" id="{4DEEEAC0-475A-6044-0AC8-722C5B3BAE14}"/>
            </a:ext>
          </a:extLst>
        </xdr:cNvPr>
        <xdr:cNvCxnSpPr/>
      </xdr:nvCxnSpPr>
      <xdr:spPr>
        <a:xfrm>
          <a:off x="17336861" y="2771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179</xdr:row>
      <xdr:rowOff>19050</xdr:rowOff>
    </xdr:from>
    <xdr:to>
      <xdr:col>57</xdr:col>
      <xdr:colOff>123734</xdr:colOff>
      <xdr:row>179</xdr:row>
      <xdr:rowOff>133350</xdr:rowOff>
    </xdr:to>
    <xdr:sp macro="" textlink="">
      <xdr:nvSpPr>
        <xdr:cNvPr id="5056" name="176">
          <a:extLst>
            <a:ext uri="{FF2B5EF4-FFF2-40B4-BE49-F238E27FC236}">
              <a16:creationId xmlns:a16="http://schemas.microsoft.com/office/drawing/2014/main" id="{655BDDB9-DE45-BC56-B3F4-9FF0F846EE12}"/>
            </a:ext>
          </a:extLst>
        </xdr:cNvPr>
        <xdr:cNvSpPr/>
      </xdr:nvSpPr>
      <xdr:spPr>
        <a:xfrm>
          <a:off x="16765361" y="2750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179</xdr:row>
      <xdr:rowOff>76200</xdr:rowOff>
    </xdr:from>
    <xdr:to>
      <xdr:col>57</xdr:col>
      <xdr:colOff>20411</xdr:colOff>
      <xdr:row>179</xdr:row>
      <xdr:rowOff>76200</xdr:rowOff>
    </xdr:to>
    <xdr:cxnSp macro="">
      <xdr:nvCxnSpPr>
        <xdr:cNvPr id="5057" name="직선 화살표 연결선 5056">
          <a:extLst>
            <a:ext uri="{FF2B5EF4-FFF2-40B4-BE49-F238E27FC236}">
              <a16:creationId xmlns:a16="http://schemas.microsoft.com/office/drawing/2014/main" id="{76C2E212-8610-E001-FDC5-4674FA6196ED}"/>
            </a:ext>
          </a:extLst>
        </xdr:cNvPr>
        <xdr:cNvCxnSpPr/>
      </xdr:nvCxnSpPr>
      <xdr:spPr>
        <a:xfrm>
          <a:off x="16765361" y="2756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178</xdr:row>
      <xdr:rowOff>19050</xdr:rowOff>
    </xdr:from>
    <xdr:to>
      <xdr:col>57</xdr:col>
      <xdr:colOff>123734</xdr:colOff>
      <xdr:row>178</xdr:row>
      <xdr:rowOff>133350</xdr:rowOff>
    </xdr:to>
    <xdr:sp macro="" textlink="">
      <xdr:nvSpPr>
        <xdr:cNvPr id="5058" name="175">
          <a:extLst>
            <a:ext uri="{FF2B5EF4-FFF2-40B4-BE49-F238E27FC236}">
              <a16:creationId xmlns:a16="http://schemas.microsoft.com/office/drawing/2014/main" id="{6843F306-E658-E488-FCA8-8F180BEE4DBF}"/>
            </a:ext>
          </a:extLst>
        </xdr:cNvPr>
        <xdr:cNvSpPr/>
      </xdr:nvSpPr>
      <xdr:spPr>
        <a:xfrm>
          <a:off x="16765361" y="27355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178</xdr:row>
      <xdr:rowOff>76200</xdr:rowOff>
    </xdr:from>
    <xdr:to>
      <xdr:col>57</xdr:col>
      <xdr:colOff>20411</xdr:colOff>
      <xdr:row>178</xdr:row>
      <xdr:rowOff>76200</xdr:rowOff>
    </xdr:to>
    <xdr:cxnSp macro="">
      <xdr:nvCxnSpPr>
        <xdr:cNvPr id="5059" name="직선 화살표 연결선 5058">
          <a:extLst>
            <a:ext uri="{FF2B5EF4-FFF2-40B4-BE49-F238E27FC236}">
              <a16:creationId xmlns:a16="http://schemas.microsoft.com/office/drawing/2014/main" id="{FA15A5F6-63CD-2C59-AAC1-6CFF1E32BC99}"/>
            </a:ext>
          </a:extLst>
        </xdr:cNvPr>
        <xdr:cNvCxnSpPr/>
      </xdr:nvCxnSpPr>
      <xdr:spPr>
        <a:xfrm>
          <a:off x="16765361" y="2741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177</xdr:row>
      <xdr:rowOff>19050</xdr:rowOff>
    </xdr:from>
    <xdr:to>
      <xdr:col>62</xdr:col>
      <xdr:colOff>103324</xdr:colOff>
      <xdr:row>177</xdr:row>
      <xdr:rowOff>133350</xdr:rowOff>
    </xdr:to>
    <xdr:sp macro="" textlink="">
      <xdr:nvSpPr>
        <xdr:cNvPr id="5060" name="174">
          <a:extLst>
            <a:ext uri="{FF2B5EF4-FFF2-40B4-BE49-F238E27FC236}">
              <a16:creationId xmlns:a16="http://schemas.microsoft.com/office/drawing/2014/main" id="{6657C0C9-5A64-806F-C4E2-2C8C424EA5EF}"/>
            </a:ext>
          </a:extLst>
        </xdr:cNvPr>
        <xdr:cNvSpPr/>
      </xdr:nvSpPr>
      <xdr:spPr>
        <a:xfrm>
          <a:off x="16765361" y="27203400"/>
          <a:ext cx="79728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177</xdr:row>
      <xdr:rowOff>76200</xdr:rowOff>
    </xdr:from>
    <xdr:to>
      <xdr:col>57</xdr:col>
      <xdr:colOff>20411</xdr:colOff>
      <xdr:row>177</xdr:row>
      <xdr:rowOff>76200</xdr:rowOff>
    </xdr:to>
    <xdr:cxnSp macro="">
      <xdr:nvCxnSpPr>
        <xdr:cNvPr id="5061" name="직선 화살표 연결선 5060">
          <a:extLst>
            <a:ext uri="{FF2B5EF4-FFF2-40B4-BE49-F238E27FC236}">
              <a16:creationId xmlns:a16="http://schemas.microsoft.com/office/drawing/2014/main" id="{4BF7076C-3548-957C-D1A1-1EEBB9C32B67}"/>
            </a:ext>
          </a:extLst>
        </xdr:cNvPr>
        <xdr:cNvCxnSpPr/>
      </xdr:nvCxnSpPr>
      <xdr:spPr>
        <a:xfrm>
          <a:off x="16765361" y="2726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176</xdr:row>
      <xdr:rowOff>19050</xdr:rowOff>
    </xdr:from>
    <xdr:to>
      <xdr:col>82</xdr:col>
      <xdr:colOff>82913</xdr:colOff>
      <xdr:row>176</xdr:row>
      <xdr:rowOff>133350</xdr:rowOff>
    </xdr:to>
    <xdr:sp macro="" textlink="">
      <xdr:nvSpPr>
        <xdr:cNvPr id="5062" name="173">
          <a:extLst>
            <a:ext uri="{FF2B5EF4-FFF2-40B4-BE49-F238E27FC236}">
              <a16:creationId xmlns:a16="http://schemas.microsoft.com/office/drawing/2014/main" id="{F22570A4-322F-70BF-BA20-318BF654E6B6}"/>
            </a:ext>
          </a:extLst>
        </xdr:cNvPr>
        <xdr:cNvSpPr/>
      </xdr:nvSpPr>
      <xdr:spPr>
        <a:xfrm>
          <a:off x="16765361" y="27051000"/>
          <a:ext cx="363437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176</xdr:row>
      <xdr:rowOff>76200</xdr:rowOff>
    </xdr:from>
    <xdr:to>
      <xdr:col>57</xdr:col>
      <xdr:colOff>20411</xdr:colOff>
      <xdr:row>176</xdr:row>
      <xdr:rowOff>76200</xdr:rowOff>
    </xdr:to>
    <xdr:cxnSp macro="">
      <xdr:nvCxnSpPr>
        <xdr:cNvPr id="5063" name="직선 화살표 연결선 5062">
          <a:extLst>
            <a:ext uri="{FF2B5EF4-FFF2-40B4-BE49-F238E27FC236}">
              <a16:creationId xmlns:a16="http://schemas.microsoft.com/office/drawing/2014/main" id="{EA27981B-F49C-4FA2-E5E1-7BF144072F01}"/>
            </a:ext>
          </a:extLst>
        </xdr:cNvPr>
        <xdr:cNvCxnSpPr/>
      </xdr:nvCxnSpPr>
      <xdr:spPr>
        <a:xfrm>
          <a:off x="16765361" y="2710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175</xdr:row>
      <xdr:rowOff>19050</xdr:rowOff>
    </xdr:from>
    <xdr:to>
      <xdr:col>56</xdr:col>
      <xdr:colOff>123734</xdr:colOff>
      <xdr:row>175</xdr:row>
      <xdr:rowOff>133350</xdr:rowOff>
    </xdr:to>
    <xdr:sp macro="" textlink="">
      <xdr:nvSpPr>
        <xdr:cNvPr id="5064" name="172">
          <a:extLst>
            <a:ext uri="{FF2B5EF4-FFF2-40B4-BE49-F238E27FC236}">
              <a16:creationId xmlns:a16="http://schemas.microsoft.com/office/drawing/2014/main" id="{678DC972-DEF3-11D0-DCAA-9CB700C1E202}"/>
            </a:ext>
          </a:extLst>
        </xdr:cNvPr>
        <xdr:cNvSpPr/>
      </xdr:nvSpPr>
      <xdr:spPr>
        <a:xfrm>
          <a:off x="16050986" y="26898600"/>
          <a:ext cx="6748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175</xdr:row>
      <xdr:rowOff>76200</xdr:rowOff>
    </xdr:from>
    <xdr:to>
      <xdr:col>52</xdr:col>
      <xdr:colOff>20411</xdr:colOff>
      <xdr:row>175</xdr:row>
      <xdr:rowOff>76200</xdr:rowOff>
    </xdr:to>
    <xdr:cxnSp macro="">
      <xdr:nvCxnSpPr>
        <xdr:cNvPr id="5065" name="직선 화살표 연결선 5064">
          <a:extLst>
            <a:ext uri="{FF2B5EF4-FFF2-40B4-BE49-F238E27FC236}">
              <a16:creationId xmlns:a16="http://schemas.microsoft.com/office/drawing/2014/main" id="{74614E80-179D-E496-0BA2-B605CAFDB39C}"/>
            </a:ext>
          </a:extLst>
        </xdr:cNvPr>
        <xdr:cNvCxnSpPr/>
      </xdr:nvCxnSpPr>
      <xdr:spPr>
        <a:xfrm>
          <a:off x="16050986" y="2695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174</xdr:row>
      <xdr:rowOff>19050</xdr:rowOff>
    </xdr:from>
    <xdr:to>
      <xdr:col>56</xdr:col>
      <xdr:colOff>123734</xdr:colOff>
      <xdr:row>174</xdr:row>
      <xdr:rowOff>133350</xdr:rowOff>
    </xdr:to>
    <xdr:sp macro="" textlink="">
      <xdr:nvSpPr>
        <xdr:cNvPr id="5066" name="171">
          <a:extLst>
            <a:ext uri="{FF2B5EF4-FFF2-40B4-BE49-F238E27FC236}">
              <a16:creationId xmlns:a16="http://schemas.microsoft.com/office/drawing/2014/main" id="{C02AB4DB-220B-11C6-47B7-3E7FF4631EB6}"/>
            </a:ext>
          </a:extLst>
        </xdr:cNvPr>
        <xdr:cNvSpPr/>
      </xdr:nvSpPr>
      <xdr:spPr>
        <a:xfrm>
          <a:off x="16050986" y="26746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174</xdr:row>
      <xdr:rowOff>76200</xdr:rowOff>
    </xdr:from>
    <xdr:to>
      <xdr:col>52</xdr:col>
      <xdr:colOff>20411</xdr:colOff>
      <xdr:row>174</xdr:row>
      <xdr:rowOff>76200</xdr:rowOff>
    </xdr:to>
    <xdr:cxnSp macro="">
      <xdr:nvCxnSpPr>
        <xdr:cNvPr id="5067" name="직선 화살표 연결선 5066">
          <a:extLst>
            <a:ext uri="{FF2B5EF4-FFF2-40B4-BE49-F238E27FC236}">
              <a16:creationId xmlns:a16="http://schemas.microsoft.com/office/drawing/2014/main" id="{35E4E54F-DDFD-E2CE-782B-3F5B87969F9A}"/>
            </a:ext>
          </a:extLst>
        </xdr:cNvPr>
        <xdr:cNvCxnSpPr/>
      </xdr:nvCxnSpPr>
      <xdr:spPr>
        <a:xfrm>
          <a:off x="16050986" y="2680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173</xdr:row>
      <xdr:rowOff>19050</xdr:rowOff>
    </xdr:from>
    <xdr:to>
      <xdr:col>82</xdr:col>
      <xdr:colOff>82913</xdr:colOff>
      <xdr:row>173</xdr:row>
      <xdr:rowOff>133350</xdr:rowOff>
    </xdr:to>
    <xdr:sp macro="" textlink="">
      <xdr:nvSpPr>
        <xdr:cNvPr id="5068" name="170">
          <a:extLst>
            <a:ext uri="{FF2B5EF4-FFF2-40B4-BE49-F238E27FC236}">
              <a16:creationId xmlns:a16="http://schemas.microsoft.com/office/drawing/2014/main" id="{590B7D53-BE5B-9EB0-7B11-29431CDC2870}"/>
            </a:ext>
          </a:extLst>
        </xdr:cNvPr>
        <xdr:cNvSpPr/>
      </xdr:nvSpPr>
      <xdr:spPr>
        <a:xfrm>
          <a:off x="16050986" y="26593800"/>
          <a:ext cx="434875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173</xdr:row>
      <xdr:rowOff>76200</xdr:rowOff>
    </xdr:from>
    <xdr:to>
      <xdr:col>52</xdr:col>
      <xdr:colOff>20411</xdr:colOff>
      <xdr:row>173</xdr:row>
      <xdr:rowOff>76200</xdr:rowOff>
    </xdr:to>
    <xdr:cxnSp macro="">
      <xdr:nvCxnSpPr>
        <xdr:cNvPr id="5069" name="직선 화살표 연결선 5068">
          <a:extLst>
            <a:ext uri="{FF2B5EF4-FFF2-40B4-BE49-F238E27FC236}">
              <a16:creationId xmlns:a16="http://schemas.microsoft.com/office/drawing/2014/main" id="{B26270E5-0FBC-52D8-D36B-839C9211170D}"/>
            </a:ext>
          </a:extLst>
        </xdr:cNvPr>
        <xdr:cNvCxnSpPr/>
      </xdr:nvCxnSpPr>
      <xdr:spPr>
        <a:xfrm>
          <a:off x="16050986" y="2665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172</xdr:row>
      <xdr:rowOff>19050</xdr:rowOff>
    </xdr:from>
    <xdr:to>
      <xdr:col>60</xdr:col>
      <xdr:colOff>123734</xdr:colOff>
      <xdr:row>172</xdr:row>
      <xdr:rowOff>133350</xdr:rowOff>
    </xdr:to>
    <xdr:sp macro="" textlink="">
      <xdr:nvSpPr>
        <xdr:cNvPr id="5070" name="169">
          <a:extLst>
            <a:ext uri="{FF2B5EF4-FFF2-40B4-BE49-F238E27FC236}">
              <a16:creationId xmlns:a16="http://schemas.microsoft.com/office/drawing/2014/main" id="{B5B03972-55E8-1249-3463-AB55B4BC435E}"/>
            </a:ext>
          </a:extLst>
        </xdr:cNvPr>
        <xdr:cNvSpPr/>
      </xdr:nvSpPr>
      <xdr:spPr>
        <a:xfrm>
          <a:off x="16622486" y="26441400"/>
          <a:ext cx="6748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172</xdr:row>
      <xdr:rowOff>76200</xdr:rowOff>
    </xdr:from>
    <xdr:to>
      <xdr:col>56</xdr:col>
      <xdr:colOff>20411</xdr:colOff>
      <xdr:row>172</xdr:row>
      <xdr:rowOff>76200</xdr:rowOff>
    </xdr:to>
    <xdr:cxnSp macro="">
      <xdr:nvCxnSpPr>
        <xdr:cNvPr id="5071" name="직선 화살표 연결선 5070">
          <a:extLst>
            <a:ext uri="{FF2B5EF4-FFF2-40B4-BE49-F238E27FC236}">
              <a16:creationId xmlns:a16="http://schemas.microsoft.com/office/drawing/2014/main" id="{499748C5-A3BD-2D2B-1C52-B253A62D666A}"/>
            </a:ext>
          </a:extLst>
        </xdr:cNvPr>
        <xdr:cNvCxnSpPr/>
      </xdr:nvCxnSpPr>
      <xdr:spPr>
        <a:xfrm>
          <a:off x="16622486" y="2649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171</xdr:row>
      <xdr:rowOff>19050</xdr:rowOff>
    </xdr:from>
    <xdr:to>
      <xdr:col>58</xdr:col>
      <xdr:colOff>123734</xdr:colOff>
      <xdr:row>171</xdr:row>
      <xdr:rowOff>133350</xdr:rowOff>
    </xdr:to>
    <xdr:sp macro="" textlink="">
      <xdr:nvSpPr>
        <xdr:cNvPr id="5072" name="168">
          <a:extLst>
            <a:ext uri="{FF2B5EF4-FFF2-40B4-BE49-F238E27FC236}">
              <a16:creationId xmlns:a16="http://schemas.microsoft.com/office/drawing/2014/main" id="{0B60D10E-2290-9289-E07E-147EE8143C56}"/>
            </a:ext>
          </a:extLst>
        </xdr:cNvPr>
        <xdr:cNvSpPr/>
      </xdr:nvSpPr>
      <xdr:spPr>
        <a:xfrm>
          <a:off x="16479611" y="262890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171</xdr:row>
      <xdr:rowOff>76200</xdr:rowOff>
    </xdr:from>
    <xdr:to>
      <xdr:col>55</xdr:col>
      <xdr:colOff>20411</xdr:colOff>
      <xdr:row>171</xdr:row>
      <xdr:rowOff>76200</xdr:rowOff>
    </xdr:to>
    <xdr:cxnSp macro="">
      <xdr:nvCxnSpPr>
        <xdr:cNvPr id="5073" name="직선 화살표 연결선 5072">
          <a:extLst>
            <a:ext uri="{FF2B5EF4-FFF2-40B4-BE49-F238E27FC236}">
              <a16:creationId xmlns:a16="http://schemas.microsoft.com/office/drawing/2014/main" id="{5824E53D-E8FF-5D78-9DDC-C028D46B54A4}"/>
            </a:ext>
          </a:extLst>
        </xdr:cNvPr>
        <xdr:cNvCxnSpPr/>
      </xdr:nvCxnSpPr>
      <xdr:spPr>
        <a:xfrm>
          <a:off x="16479611" y="2634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170</xdr:row>
      <xdr:rowOff>19050</xdr:rowOff>
    </xdr:from>
    <xdr:to>
      <xdr:col>57</xdr:col>
      <xdr:colOff>123734</xdr:colOff>
      <xdr:row>170</xdr:row>
      <xdr:rowOff>133350</xdr:rowOff>
    </xdr:to>
    <xdr:sp macro="" textlink="">
      <xdr:nvSpPr>
        <xdr:cNvPr id="5074" name="167">
          <a:extLst>
            <a:ext uri="{FF2B5EF4-FFF2-40B4-BE49-F238E27FC236}">
              <a16:creationId xmlns:a16="http://schemas.microsoft.com/office/drawing/2014/main" id="{CD6C5DE6-9897-169F-442F-01DDAB95D2FC}"/>
            </a:ext>
          </a:extLst>
        </xdr:cNvPr>
        <xdr:cNvSpPr/>
      </xdr:nvSpPr>
      <xdr:spPr>
        <a:xfrm>
          <a:off x="16336736" y="261366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170</xdr:row>
      <xdr:rowOff>76200</xdr:rowOff>
    </xdr:from>
    <xdr:to>
      <xdr:col>54</xdr:col>
      <xdr:colOff>20411</xdr:colOff>
      <xdr:row>170</xdr:row>
      <xdr:rowOff>76200</xdr:rowOff>
    </xdr:to>
    <xdr:cxnSp macro="">
      <xdr:nvCxnSpPr>
        <xdr:cNvPr id="5075" name="직선 화살표 연결선 5074">
          <a:extLst>
            <a:ext uri="{FF2B5EF4-FFF2-40B4-BE49-F238E27FC236}">
              <a16:creationId xmlns:a16="http://schemas.microsoft.com/office/drawing/2014/main" id="{0D90FC89-2A13-F86B-343F-5436B23E6472}"/>
            </a:ext>
          </a:extLst>
        </xdr:cNvPr>
        <xdr:cNvCxnSpPr/>
      </xdr:nvCxnSpPr>
      <xdr:spPr>
        <a:xfrm>
          <a:off x="16336736" y="2619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102054</xdr:colOff>
      <xdr:row>169</xdr:row>
      <xdr:rowOff>19050</xdr:rowOff>
    </xdr:from>
    <xdr:to>
      <xdr:col>53</xdr:col>
      <xdr:colOff>123734</xdr:colOff>
      <xdr:row>169</xdr:row>
      <xdr:rowOff>133350</xdr:rowOff>
    </xdr:to>
    <xdr:sp macro="" textlink="">
      <xdr:nvSpPr>
        <xdr:cNvPr id="5076" name="166">
          <a:extLst>
            <a:ext uri="{FF2B5EF4-FFF2-40B4-BE49-F238E27FC236}">
              <a16:creationId xmlns:a16="http://schemas.microsoft.com/office/drawing/2014/main" id="{874C05B9-CE8F-70F0-DCE0-033C30AE5B2A}"/>
            </a:ext>
          </a:extLst>
        </xdr:cNvPr>
        <xdr:cNvSpPr/>
      </xdr:nvSpPr>
      <xdr:spPr>
        <a:xfrm>
          <a:off x="15989754" y="25984200"/>
          <a:ext cx="30743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102054</xdr:colOff>
      <xdr:row>169</xdr:row>
      <xdr:rowOff>76200</xdr:rowOff>
    </xdr:from>
    <xdr:to>
      <xdr:col>51</xdr:col>
      <xdr:colOff>102054</xdr:colOff>
      <xdr:row>169</xdr:row>
      <xdr:rowOff>76200</xdr:rowOff>
    </xdr:to>
    <xdr:cxnSp macro="">
      <xdr:nvCxnSpPr>
        <xdr:cNvPr id="5077" name="직선 화살표 연결선 5076">
          <a:extLst>
            <a:ext uri="{FF2B5EF4-FFF2-40B4-BE49-F238E27FC236}">
              <a16:creationId xmlns:a16="http://schemas.microsoft.com/office/drawing/2014/main" id="{B7D53324-852B-E319-CC0B-9F3817D461E8}"/>
            </a:ext>
          </a:extLst>
        </xdr:cNvPr>
        <xdr:cNvCxnSpPr/>
      </xdr:nvCxnSpPr>
      <xdr:spPr>
        <a:xfrm>
          <a:off x="15989754" y="2604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168</xdr:row>
      <xdr:rowOff>19050</xdr:rowOff>
    </xdr:from>
    <xdr:to>
      <xdr:col>51</xdr:col>
      <xdr:colOff>123734</xdr:colOff>
      <xdr:row>168</xdr:row>
      <xdr:rowOff>133350</xdr:rowOff>
    </xdr:to>
    <xdr:sp macro="" textlink="">
      <xdr:nvSpPr>
        <xdr:cNvPr id="5078" name="165">
          <a:extLst>
            <a:ext uri="{FF2B5EF4-FFF2-40B4-BE49-F238E27FC236}">
              <a16:creationId xmlns:a16="http://schemas.microsoft.com/office/drawing/2014/main" id="{3FBBE0DD-33BB-F967-2AD7-996608E4E7E8}"/>
            </a:ext>
          </a:extLst>
        </xdr:cNvPr>
        <xdr:cNvSpPr/>
      </xdr:nvSpPr>
      <xdr:spPr>
        <a:xfrm>
          <a:off x="15765236" y="25831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168</xdr:row>
      <xdr:rowOff>76200</xdr:rowOff>
    </xdr:from>
    <xdr:to>
      <xdr:col>50</xdr:col>
      <xdr:colOff>20411</xdr:colOff>
      <xdr:row>168</xdr:row>
      <xdr:rowOff>76200</xdr:rowOff>
    </xdr:to>
    <xdr:cxnSp macro="">
      <xdr:nvCxnSpPr>
        <xdr:cNvPr id="5079" name="직선 화살표 연결선 5078">
          <a:extLst>
            <a:ext uri="{FF2B5EF4-FFF2-40B4-BE49-F238E27FC236}">
              <a16:creationId xmlns:a16="http://schemas.microsoft.com/office/drawing/2014/main" id="{597BFE8B-2C45-342D-D5F0-415AC3374CF2}"/>
            </a:ext>
          </a:extLst>
        </xdr:cNvPr>
        <xdr:cNvCxnSpPr/>
      </xdr:nvCxnSpPr>
      <xdr:spPr>
        <a:xfrm>
          <a:off x="15765236" y="2588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167</xdr:row>
      <xdr:rowOff>19050</xdr:rowOff>
    </xdr:from>
    <xdr:to>
      <xdr:col>49</xdr:col>
      <xdr:colOff>123734</xdr:colOff>
      <xdr:row>167</xdr:row>
      <xdr:rowOff>133350</xdr:rowOff>
    </xdr:to>
    <xdr:sp macro="" textlink="">
      <xdr:nvSpPr>
        <xdr:cNvPr id="5080" name="164">
          <a:extLst>
            <a:ext uri="{FF2B5EF4-FFF2-40B4-BE49-F238E27FC236}">
              <a16:creationId xmlns:a16="http://schemas.microsoft.com/office/drawing/2014/main" id="{51F98548-2BA5-DB62-8A69-B59A26F461BE}"/>
            </a:ext>
          </a:extLst>
        </xdr:cNvPr>
        <xdr:cNvSpPr/>
      </xdr:nvSpPr>
      <xdr:spPr>
        <a:xfrm>
          <a:off x="15336611" y="256794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167</xdr:row>
      <xdr:rowOff>76200</xdr:rowOff>
    </xdr:from>
    <xdr:to>
      <xdr:col>47</xdr:col>
      <xdr:colOff>20411</xdr:colOff>
      <xdr:row>167</xdr:row>
      <xdr:rowOff>76200</xdr:rowOff>
    </xdr:to>
    <xdr:cxnSp macro="">
      <xdr:nvCxnSpPr>
        <xdr:cNvPr id="5081" name="직선 화살표 연결선 5080">
          <a:extLst>
            <a:ext uri="{FF2B5EF4-FFF2-40B4-BE49-F238E27FC236}">
              <a16:creationId xmlns:a16="http://schemas.microsoft.com/office/drawing/2014/main" id="{4C10594D-A063-1709-9A56-BAD333357CF7}"/>
            </a:ext>
          </a:extLst>
        </xdr:cNvPr>
        <xdr:cNvCxnSpPr/>
      </xdr:nvCxnSpPr>
      <xdr:spPr>
        <a:xfrm>
          <a:off x="15336611" y="2573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166</xdr:row>
      <xdr:rowOff>19050</xdr:rowOff>
    </xdr:from>
    <xdr:to>
      <xdr:col>46</xdr:col>
      <xdr:colOff>123734</xdr:colOff>
      <xdr:row>166</xdr:row>
      <xdr:rowOff>133350</xdr:rowOff>
    </xdr:to>
    <xdr:sp macro="" textlink="">
      <xdr:nvSpPr>
        <xdr:cNvPr id="5082" name="163">
          <a:extLst>
            <a:ext uri="{FF2B5EF4-FFF2-40B4-BE49-F238E27FC236}">
              <a16:creationId xmlns:a16="http://schemas.microsoft.com/office/drawing/2014/main" id="{8A7E1200-3EA4-15F1-61E1-514AE3F0A794}"/>
            </a:ext>
          </a:extLst>
        </xdr:cNvPr>
        <xdr:cNvSpPr/>
      </xdr:nvSpPr>
      <xdr:spPr>
        <a:xfrm>
          <a:off x="14765111" y="255270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166</xdr:row>
      <xdr:rowOff>76200</xdr:rowOff>
    </xdr:from>
    <xdr:to>
      <xdr:col>43</xdr:col>
      <xdr:colOff>20411</xdr:colOff>
      <xdr:row>166</xdr:row>
      <xdr:rowOff>76200</xdr:rowOff>
    </xdr:to>
    <xdr:cxnSp macro="">
      <xdr:nvCxnSpPr>
        <xdr:cNvPr id="5083" name="직선 화살표 연결선 5082">
          <a:extLst>
            <a:ext uri="{FF2B5EF4-FFF2-40B4-BE49-F238E27FC236}">
              <a16:creationId xmlns:a16="http://schemas.microsoft.com/office/drawing/2014/main" id="{DD58E54A-9BED-7730-0321-FB5132BCFA0A}"/>
            </a:ext>
          </a:extLst>
        </xdr:cNvPr>
        <xdr:cNvCxnSpPr/>
      </xdr:nvCxnSpPr>
      <xdr:spPr>
        <a:xfrm>
          <a:off x="14765111" y="2558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165</xdr:row>
      <xdr:rowOff>19050</xdr:rowOff>
    </xdr:from>
    <xdr:to>
      <xdr:col>44</xdr:col>
      <xdr:colOff>123734</xdr:colOff>
      <xdr:row>165</xdr:row>
      <xdr:rowOff>133350</xdr:rowOff>
    </xdr:to>
    <xdr:sp macro="" textlink="">
      <xdr:nvSpPr>
        <xdr:cNvPr id="5084" name="162">
          <a:extLst>
            <a:ext uri="{FF2B5EF4-FFF2-40B4-BE49-F238E27FC236}">
              <a16:creationId xmlns:a16="http://schemas.microsoft.com/office/drawing/2014/main" id="{D1227B6B-BBC3-EDCC-7D81-03B610A0A230}"/>
            </a:ext>
          </a:extLst>
        </xdr:cNvPr>
        <xdr:cNvSpPr/>
      </xdr:nvSpPr>
      <xdr:spPr>
        <a:xfrm>
          <a:off x="14479361" y="253746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165</xdr:row>
      <xdr:rowOff>76200</xdr:rowOff>
    </xdr:from>
    <xdr:to>
      <xdr:col>41</xdr:col>
      <xdr:colOff>20411</xdr:colOff>
      <xdr:row>165</xdr:row>
      <xdr:rowOff>76200</xdr:rowOff>
    </xdr:to>
    <xdr:cxnSp macro="">
      <xdr:nvCxnSpPr>
        <xdr:cNvPr id="5085" name="직선 화살표 연결선 5084">
          <a:extLst>
            <a:ext uri="{FF2B5EF4-FFF2-40B4-BE49-F238E27FC236}">
              <a16:creationId xmlns:a16="http://schemas.microsoft.com/office/drawing/2014/main" id="{67DBC026-21CE-1121-124F-B7614351A525}"/>
            </a:ext>
          </a:extLst>
        </xdr:cNvPr>
        <xdr:cNvCxnSpPr/>
      </xdr:nvCxnSpPr>
      <xdr:spPr>
        <a:xfrm>
          <a:off x="14479361" y="2543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164</xdr:row>
      <xdr:rowOff>19050</xdr:rowOff>
    </xdr:from>
    <xdr:to>
      <xdr:col>60</xdr:col>
      <xdr:colOff>123734</xdr:colOff>
      <xdr:row>164</xdr:row>
      <xdr:rowOff>133350</xdr:rowOff>
    </xdr:to>
    <xdr:sp macro="" textlink="">
      <xdr:nvSpPr>
        <xdr:cNvPr id="5086" name="161">
          <a:extLst>
            <a:ext uri="{FF2B5EF4-FFF2-40B4-BE49-F238E27FC236}">
              <a16:creationId xmlns:a16="http://schemas.microsoft.com/office/drawing/2014/main" id="{AA39A175-4850-539A-7C1A-E593F17DFCA1}"/>
            </a:ext>
          </a:extLst>
        </xdr:cNvPr>
        <xdr:cNvSpPr/>
      </xdr:nvSpPr>
      <xdr:spPr>
        <a:xfrm>
          <a:off x="14479361" y="25222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164</xdr:row>
      <xdr:rowOff>76200</xdr:rowOff>
    </xdr:from>
    <xdr:to>
      <xdr:col>41</xdr:col>
      <xdr:colOff>20411</xdr:colOff>
      <xdr:row>164</xdr:row>
      <xdr:rowOff>76200</xdr:rowOff>
    </xdr:to>
    <xdr:cxnSp macro="">
      <xdr:nvCxnSpPr>
        <xdr:cNvPr id="5087" name="직선 화살표 연결선 5086">
          <a:extLst>
            <a:ext uri="{FF2B5EF4-FFF2-40B4-BE49-F238E27FC236}">
              <a16:creationId xmlns:a16="http://schemas.microsoft.com/office/drawing/2014/main" id="{B9080737-AA68-284B-2BAE-45B951AFB802}"/>
            </a:ext>
          </a:extLst>
        </xdr:cNvPr>
        <xdr:cNvCxnSpPr/>
      </xdr:nvCxnSpPr>
      <xdr:spPr>
        <a:xfrm>
          <a:off x="14479361" y="2527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163</xdr:row>
      <xdr:rowOff>19050</xdr:rowOff>
    </xdr:from>
    <xdr:to>
      <xdr:col>41</xdr:col>
      <xdr:colOff>123734</xdr:colOff>
      <xdr:row>163</xdr:row>
      <xdr:rowOff>133350</xdr:rowOff>
    </xdr:to>
    <xdr:sp macro="" textlink="">
      <xdr:nvSpPr>
        <xdr:cNvPr id="5088" name="160">
          <a:extLst>
            <a:ext uri="{FF2B5EF4-FFF2-40B4-BE49-F238E27FC236}">
              <a16:creationId xmlns:a16="http://schemas.microsoft.com/office/drawing/2014/main" id="{D3725ABC-B789-9F0E-6661-545B2C2F7D4B}"/>
            </a:ext>
          </a:extLst>
        </xdr:cNvPr>
        <xdr:cNvSpPr/>
      </xdr:nvSpPr>
      <xdr:spPr>
        <a:xfrm>
          <a:off x="14540593" y="250698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163</xdr:row>
      <xdr:rowOff>76200</xdr:rowOff>
    </xdr:from>
    <xdr:to>
      <xdr:col>41</xdr:col>
      <xdr:colOff>81643</xdr:colOff>
      <xdr:row>163</xdr:row>
      <xdr:rowOff>76200</xdr:rowOff>
    </xdr:to>
    <xdr:cxnSp macro="">
      <xdr:nvCxnSpPr>
        <xdr:cNvPr id="5089" name="직선 화살표 연결선 5088">
          <a:extLst>
            <a:ext uri="{FF2B5EF4-FFF2-40B4-BE49-F238E27FC236}">
              <a16:creationId xmlns:a16="http://schemas.microsoft.com/office/drawing/2014/main" id="{EBD9DCD2-1BAC-EAA8-2917-4F91940284FF}"/>
            </a:ext>
          </a:extLst>
        </xdr:cNvPr>
        <xdr:cNvCxnSpPr/>
      </xdr:nvCxnSpPr>
      <xdr:spPr>
        <a:xfrm>
          <a:off x="14540593" y="2512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162</xdr:row>
      <xdr:rowOff>19050</xdr:rowOff>
    </xdr:from>
    <xdr:to>
      <xdr:col>41</xdr:col>
      <xdr:colOff>21681</xdr:colOff>
      <xdr:row>162</xdr:row>
      <xdr:rowOff>133350</xdr:rowOff>
    </xdr:to>
    <xdr:sp macro="" textlink="">
      <xdr:nvSpPr>
        <xdr:cNvPr id="5090" name="159">
          <a:extLst>
            <a:ext uri="{FF2B5EF4-FFF2-40B4-BE49-F238E27FC236}">
              <a16:creationId xmlns:a16="http://schemas.microsoft.com/office/drawing/2014/main" id="{46BB8017-3577-475A-4749-D1BF545BA096}"/>
            </a:ext>
          </a:extLst>
        </xdr:cNvPr>
        <xdr:cNvSpPr/>
      </xdr:nvSpPr>
      <xdr:spPr>
        <a:xfrm>
          <a:off x="14316075" y="249174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162</xdr:row>
      <xdr:rowOff>76200</xdr:rowOff>
    </xdr:from>
    <xdr:to>
      <xdr:col>41</xdr:col>
      <xdr:colOff>20411</xdr:colOff>
      <xdr:row>162</xdr:row>
      <xdr:rowOff>76200</xdr:rowOff>
    </xdr:to>
    <xdr:cxnSp macro="">
      <xdr:nvCxnSpPr>
        <xdr:cNvPr id="5091" name="직선 화살표 연결선 5090">
          <a:extLst>
            <a:ext uri="{FF2B5EF4-FFF2-40B4-BE49-F238E27FC236}">
              <a16:creationId xmlns:a16="http://schemas.microsoft.com/office/drawing/2014/main" id="{2E4620BA-D3DC-EF35-9F49-585E030FDB1B}"/>
            </a:ext>
          </a:extLst>
        </xdr:cNvPr>
        <xdr:cNvCxnSpPr/>
      </xdr:nvCxnSpPr>
      <xdr:spPr>
        <a:xfrm>
          <a:off x="14316075" y="24974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161</xdr:row>
      <xdr:rowOff>19050</xdr:rowOff>
    </xdr:from>
    <xdr:to>
      <xdr:col>39</xdr:col>
      <xdr:colOff>123734</xdr:colOff>
      <xdr:row>161</xdr:row>
      <xdr:rowOff>133350</xdr:rowOff>
    </xdr:to>
    <xdr:sp macro="" textlink="">
      <xdr:nvSpPr>
        <xdr:cNvPr id="5092" name="158">
          <a:extLst>
            <a:ext uri="{FF2B5EF4-FFF2-40B4-BE49-F238E27FC236}">
              <a16:creationId xmlns:a16="http://schemas.microsoft.com/office/drawing/2014/main" id="{8FF1FDC7-67C7-35BC-1A13-0E1688476586}"/>
            </a:ext>
          </a:extLst>
        </xdr:cNvPr>
        <xdr:cNvSpPr/>
      </xdr:nvSpPr>
      <xdr:spPr>
        <a:xfrm>
          <a:off x="14193611" y="24765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161</xdr:row>
      <xdr:rowOff>76200</xdr:rowOff>
    </xdr:from>
    <xdr:to>
      <xdr:col>39</xdr:col>
      <xdr:colOff>122464</xdr:colOff>
      <xdr:row>161</xdr:row>
      <xdr:rowOff>76200</xdr:rowOff>
    </xdr:to>
    <xdr:cxnSp macro="">
      <xdr:nvCxnSpPr>
        <xdr:cNvPr id="5093" name="직선 화살표 연결선 5092">
          <a:extLst>
            <a:ext uri="{FF2B5EF4-FFF2-40B4-BE49-F238E27FC236}">
              <a16:creationId xmlns:a16="http://schemas.microsoft.com/office/drawing/2014/main" id="{F48F9DF8-C5DE-1DCE-460E-1AF42FBDE306}"/>
            </a:ext>
          </a:extLst>
        </xdr:cNvPr>
        <xdr:cNvCxnSpPr/>
      </xdr:nvCxnSpPr>
      <xdr:spPr>
        <a:xfrm>
          <a:off x="14193611" y="24822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160</xdr:row>
      <xdr:rowOff>19050</xdr:rowOff>
    </xdr:from>
    <xdr:to>
      <xdr:col>38</xdr:col>
      <xdr:colOff>123734</xdr:colOff>
      <xdr:row>160</xdr:row>
      <xdr:rowOff>133350</xdr:rowOff>
    </xdr:to>
    <xdr:sp macro="" textlink="">
      <xdr:nvSpPr>
        <xdr:cNvPr id="5094" name="157">
          <a:extLst>
            <a:ext uri="{FF2B5EF4-FFF2-40B4-BE49-F238E27FC236}">
              <a16:creationId xmlns:a16="http://schemas.microsoft.com/office/drawing/2014/main" id="{E7394FD2-6E4A-75DD-7E31-FCC6CCB2192F}"/>
            </a:ext>
          </a:extLst>
        </xdr:cNvPr>
        <xdr:cNvSpPr/>
      </xdr:nvSpPr>
      <xdr:spPr>
        <a:xfrm>
          <a:off x="14050736" y="24612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160</xdr:row>
      <xdr:rowOff>76200</xdr:rowOff>
    </xdr:from>
    <xdr:to>
      <xdr:col>38</xdr:col>
      <xdr:colOff>122464</xdr:colOff>
      <xdr:row>160</xdr:row>
      <xdr:rowOff>76200</xdr:rowOff>
    </xdr:to>
    <xdr:cxnSp macro="">
      <xdr:nvCxnSpPr>
        <xdr:cNvPr id="5095" name="직선 화살표 연결선 5094">
          <a:extLst>
            <a:ext uri="{FF2B5EF4-FFF2-40B4-BE49-F238E27FC236}">
              <a16:creationId xmlns:a16="http://schemas.microsoft.com/office/drawing/2014/main" id="{07906357-1B76-3052-E0D4-BFB79ED8D1FB}"/>
            </a:ext>
          </a:extLst>
        </xdr:cNvPr>
        <xdr:cNvCxnSpPr/>
      </xdr:nvCxnSpPr>
      <xdr:spPr>
        <a:xfrm>
          <a:off x="14050736" y="24669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159</xdr:row>
      <xdr:rowOff>19050</xdr:rowOff>
    </xdr:from>
    <xdr:to>
      <xdr:col>41</xdr:col>
      <xdr:colOff>123734</xdr:colOff>
      <xdr:row>159</xdr:row>
      <xdr:rowOff>133350</xdr:rowOff>
    </xdr:to>
    <xdr:sp macro="" textlink="">
      <xdr:nvSpPr>
        <xdr:cNvPr id="5096" name="156">
          <a:extLst>
            <a:ext uri="{FF2B5EF4-FFF2-40B4-BE49-F238E27FC236}">
              <a16:creationId xmlns:a16="http://schemas.microsoft.com/office/drawing/2014/main" id="{AABE8DC4-8DEF-2229-62B2-5CF9FEB509A1}"/>
            </a:ext>
          </a:extLst>
        </xdr:cNvPr>
        <xdr:cNvSpPr/>
      </xdr:nvSpPr>
      <xdr:spPr>
        <a:xfrm>
          <a:off x="14050736" y="24460200"/>
          <a:ext cx="531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159</xdr:row>
      <xdr:rowOff>76200</xdr:rowOff>
    </xdr:from>
    <xdr:to>
      <xdr:col>41</xdr:col>
      <xdr:colOff>56130</xdr:colOff>
      <xdr:row>159</xdr:row>
      <xdr:rowOff>76200</xdr:rowOff>
    </xdr:to>
    <xdr:cxnSp macro="">
      <xdr:nvCxnSpPr>
        <xdr:cNvPr id="5097" name="직선 화살표 연결선 5096">
          <a:extLst>
            <a:ext uri="{FF2B5EF4-FFF2-40B4-BE49-F238E27FC236}">
              <a16:creationId xmlns:a16="http://schemas.microsoft.com/office/drawing/2014/main" id="{E45B54C8-00E4-8477-C4F8-E4DF40E64CF2}"/>
            </a:ext>
          </a:extLst>
        </xdr:cNvPr>
        <xdr:cNvCxnSpPr/>
      </xdr:nvCxnSpPr>
      <xdr:spPr>
        <a:xfrm>
          <a:off x="14050736" y="24517350"/>
          <a:ext cx="4643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158</xdr:row>
      <xdr:rowOff>19050</xdr:rowOff>
    </xdr:from>
    <xdr:to>
      <xdr:col>60</xdr:col>
      <xdr:colOff>123734</xdr:colOff>
      <xdr:row>158</xdr:row>
      <xdr:rowOff>133350</xdr:rowOff>
    </xdr:to>
    <xdr:sp macro="" textlink="">
      <xdr:nvSpPr>
        <xdr:cNvPr id="5098" name="155">
          <a:extLst>
            <a:ext uri="{FF2B5EF4-FFF2-40B4-BE49-F238E27FC236}">
              <a16:creationId xmlns:a16="http://schemas.microsoft.com/office/drawing/2014/main" id="{0536A130-5FEA-1664-4DD6-DE5CF5164832}"/>
            </a:ext>
          </a:extLst>
        </xdr:cNvPr>
        <xdr:cNvSpPr/>
      </xdr:nvSpPr>
      <xdr:spPr>
        <a:xfrm>
          <a:off x="14050736" y="24307800"/>
          <a:ext cx="32465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158</xdr:row>
      <xdr:rowOff>76200</xdr:rowOff>
    </xdr:from>
    <xdr:to>
      <xdr:col>40</xdr:col>
      <xdr:colOff>45855</xdr:colOff>
      <xdr:row>158</xdr:row>
      <xdr:rowOff>76200</xdr:rowOff>
    </xdr:to>
    <xdr:cxnSp macro="">
      <xdr:nvCxnSpPr>
        <xdr:cNvPr id="5099" name="직선 화살표 연결선 5098">
          <a:extLst>
            <a:ext uri="{FF2B5EF4-FFF2-40B4-BE49-F238E27FC236}">
              <a16:creationId xmlns:a16="http://schemas.microsoft.com/office/drawing/2014/main" id="{1C106E37-D813-0124-1A28-F052058A4437}"/>
            </a:ext>
          </a:extLst>
        </xdr:cNvPr>
        <xdr:cNvCxnSpPr/>
      </xdr:nvCxnSpPr>
      <xdr:spPr>
        <a:xfrm>
          <a:off x="14050736" y="24364950"/>
          <a:ext cx="311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154</xdr:row>
      <xdr:rowOff>19050</xdr:rowOff>
    </xdr:from>
    <xdr:to>
      <xdr:col>79</xdr:col>
      <xdr:colOff>123734</xdr:colOff>
      <xdr:row>154</xdr:row>
      <xdr:rowOff>133350</xdr:rowOff>
    </xdr:to>
    <xdr:sp macro="" textlink="">
      <xdr:nvSpPr>
        <xdr:cNvPr id="5100" name="151">
          <a:extLst>
            <a:ext uri="{FF2B5EF4-FFF2-40B4-BE49-F238E27FC236}">
              <a16:creationId xmlns:a16="http://schemas.microsoft.com/office/drawing/2014/main" id="{26A4C1EB-27DF-179B-9321-D32267A0F3BB}"/>
            </a:ext>
          </a:extLst>
        </xdr:cNvPr>
        <xdr:cNvSpPr/>
      </xdr:nvSpPr>
      <xdr:spPr>
        <a:xfrm>
          <a:off x="17336861" y="236982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154</xdr:row>
      <xdr:rowOff>76200</xdr:rowOff>
    </xdr:from>
    <xdr:to>
      <xdr:col>61</xdr:col>
      <xdr:colOff>20411</xdr:colOff>
      <xdr:row>154</xdr:row>
      <xdr:rowOff>76200</xdr:rowOff>
    </xdr:to>
    <xdr:cxnSp macro="">
      <xdr:nvCxnSpPr>
        <xdr:cNvPr id="5101" name="직선 화살표 연결선 5100">
          <a:extLst>
            <a:ext uri="{FF2B5EF4-FFF2-40B4-BE49-F238E27FC236}">
              <a16:creationId xmlns:a16="http://schemas.microsoft.com/office/drawing/2014/main" id="{8CECCD79-C939-B244-CC07-91DB8BF09BD0}"/>
            </a:ext>
          </a:extLst>
        </xdr:cNvPr>
        <xdr:cNvCxnSpPr/>
      </xdr:nvCxnSpPr>
      <xdr:spPr>
        <a:xfrm>
          <a:off x="17336861" y="2375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81643</xdr:colOff>
      <xdr:row>153</xdr:row>
      <xdr:rowOff>19050</xdr:rowOff>
    </xdr:from>
    <xdr:to>
      <xdr:col>79</xdr:col>
      <xdr:colOff>123734</xdr:colOff>
      <xdr:row>153</xdr:row>
      <xdr:rowOff>133350</xdr:rowOff>
    </xdr:to>
    <xdr:sp macro="" textlink="">
      <xdr:nvSpPr>
        <xdr:cNvPr id="5102" name="150">
          <a:extLst>
            <a:ext uri="{FF2B5EF4-FFF2-40B4-BE49-F238E27FC236}">
              <a16:creationId xmlns:a16="http://schemas.microsoft.com/office/drawing/2014/main" id="{BFF47784-C7C1-B772-DCBE-41C19C8D1B19}"/>
            </a:ext>
          </a:extLst>
        </xdr:cNvPr>
        <xdr:cNvSpPr/>
      </xdr:nvSpPr>
      <xdr:spPr>
        <a:xfrm>
          <a:off x="19398343" y="23545800"/>
          <a:ext cx="6135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81643</xdr:colOff>
      <xdr:row>153</xdr:row>
      <xdr:rowOff>76200</xdr:rowOff>
    </xdr:from>
    <xdr:to>
      <xdr:col>75</xdr:col>
      <xdr:colOff>81643</xdr:colOff>
      <xdr:row>153</xdr:row>
      <xdr:rowOff>76200</xdr:rowOff>
    </xdr:to>
    <xdr:cxnSp macro="">
      <xdr:nvCxnSpPr>
        <xdr:cNvPr id="5103" name="직선 화살표 연결선 5102">
          <a:extLst>
            <a:ext uri="{FF2B5EF4-FFF2-40B4-BE49-F238E27FC236}">
              <a16:creationId xmlns:a16="http://schemas.microsoft.com/office/drawing/2014/main" id="{ADB2C0A9-424A-1A01-F3FD-79545ED1ED77}"/>
            </a:ext>
          </a:extLst>
        </xdr:cNvPr>
        <xdr:cNvCxnSpPr/>
      </xdr:nvCxnSpPr>
      <xdr:spPr>
        <a:xfrm>
          <a:off x="19398343" y="2360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81643</xdr:colOff>
      <xdr:row>152</xdr:row>
      <xdr:rowOff>19050</xdr:rowOff>
    </xdr:from>
    <xdr:to>
      <xdr:col>75</xdr:col>
      <xdr:colOff>82913</xdr:colOff>
      <xdr:row>152</xdr:row>
      <xdr:rowOff>133350</xdr:rowOff>
    </xdr:to>
    <xdr:sp macro="" textlink="">
      <xdr:nvSpPr>
        <xdr:cNvPr id="5104" name="149">
          <a:extLst>
            <a:ext uri="{FF2B5EF4-FFF2-40B4-BE49-F238E27FC236}">
              <a16:creationId xmlns:a16="http://schemas.microsoft.com/office/drawing/2014/main" id="{77FBF0B8-BDC1-765E-BA28-177F5E389507}"/>
            </a:ext>
          </a:extLst>
        </xdr:cNvPr>
        <xdr:cNvSpPr/>
      </xdr:nvSpPr>
      <xdr:spPr>
        <a:xfrm>
          <a:off x="18683968" y="23393400"/>
          <a:ext cx="71564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81643</xdr:colOff>
      <xdr:row>152</xdr:row>
      <xdr:rowOff>76200</xdr:rowOff>
    </xdr:from>
    <xdr:to>
      <xdr:col>70</xdr:col>
      <xdr:colOff>81643</xdr:colOff>
      <xdr:row>152</xdr:row>
      <xdr:rowOff>76200</xdr:rowOff>
    </xdr:to>
    <xdr:cxnSp macro="">
      <xdr:nvCxnSpPr>
        <xdr:cNvPr id="5105" name="직선 화살표 연결선 5104">
          <a:extLst>
            <a:ext uri="{FF2B5EF4-FFF2-40B4-BE49-F238E27FC236}">
              <a16:creationId xmlns:a16="http://schemas.microsoft.com/office/drawing/2014/main" id="{C8983CBC-D40F-F592-6986-9DB60F95318D}"/>
            </a:ext>
          </a:extLst>
        </xdr:cNvPr>
        <xdr:cNvCxnSpPr/>
      </xdr:nvCxnSpPr>
      <xdr:spPr>
        <a:xfrm>
          <a:off x="18683968" y="2345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151</xdr:row>
      <xdr:rowOff>19050</xdr:rowOff>
    </xdr:from>
    <xdr:to>
      <xdr:col>70</xdr:col>
      <xdr:colOff>82913</xdr:colOff>
      <xdr:row>151</xdr:row>
      <xdr:rowOff>133350</xdr:rowOff>
    </xdr:to>
    <xdr:sp macro="" textlink="">
      <xdr:nvSpPr>
        <xdr:cNvPr id="5106" name="148">
          <a:extLst>
            <a:ext uri="{FF2B5EF4-FFF2-40B4-BE49-F238E27FC236}">
              <a16:creationId xmlns:a16="http://schemas.microsoft.com/office/drawing/2014/main" id="{D66526C2-9CB2-B408-0C40-484C60DE3B74}"/>
            </a:ext>
          </a:extLst>
        </xdr:cNvPr>
        <xdr:cNvSpPr/>
      </xdr:nvSpPr>
      <xdr:spPr>
        <a:xfrm>
          <a:off x="17949182" y="23241000"/>
          <a:ext cx="7360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151</xdr:row>
      <xdr:rowOff>76200</xdr:rowOff>
    </xdr:from>
    <xdr:to>
      <xdr:col>65</xdr:col>
      <xdr:colOff>61232</xdr:colOff>
      <xdr:row>151</xdr:row>
      <xdr:rowOff>76200</xdr:rowOff>
    </xdr:to>
    <xdr:cxnSp macro="">
      <xdr:nvCxnSpPr>
        <xdr:cNvPr id="5107" name="직선 화살표 연결선 5106">
          <a:extLst>
            <a:ext uri="{FF2B5EF4-FFF2-40B4-BE49-F238E27FC236}">
              <a16:creationId xmlns:a16="http://schemas.microsoft.com/office/drawing/2014/main" id="{C88F492C-2FAA-46A5-D2EE-1E6FD91FB855}"/>
            </a:ext>
          </a:extLst>
        </xdr:cNvPr>
        <xdr:cNvCxnSpPr/>
      </xdr:nvCxnSpPr>
      <xdr:spPr>
        <a:xfrm>
          <a:off x="17949182" y="2329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150</xdr:row>
      <xdr:rowOff>19050</xdr:rowOff>
    </xdr:from>
    <xdr:to>
      <xdr:col>65</xdr:col>
      <xdr:colOff>62502</xdr:colOff>
      <xdr:row>150</xdr:row>
      <xdr:rowOff>133350</xdr:rowOff>
    </xdr:to>
    <xdr:sp macro="" textlink="">
      <xdr:nvSpPr>
        <xdr:cNvPr id="5108" name="147">
          <a:extLst>
            <a:ext uri="{FF2B5EF4-FFF2-40B4-BE49-F238E27FC236}">
              <a16:creationId xmlns:a16="http://schemas.microsoft.com/office/drawing/2014/main" id="{6657B96B-4717-2E52-5152-BC15573907D8}"/>
            </a:ext>
          </a:extLst>
        </xdr:cNvPr>
        <xdr:cNvSpPr/>
      </xdr:nvSpPr>
      <xdr:spPr>
        <a:xfrm>
          <a:off x="17193986" y="23088600"/>
          <a:ext cx="7564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150</xdr:row>
      <xdr:rowOff>76200</xdr:rowOff>
    </xdr:from>
    <xdr:to>
      <xdr:col>60</xdr:col>
      <xdr:colOff>20411</xdr:colOff>
      <xdr:row>150</xdr:row>
      <xdr:rowOff>76200</xdr:rowOff>
    </xdr:to>
    <xdr:cxnSp macro="">
      <xdr:nvCxnSpPr>
        <xdr:cNvPr id="5109" name="직선 화살표 연결선 5108">
          <a:extLst>
            <a:ext uri="{FF2B5EF4-FFF2-40B4-BE49-F238E27FC236}">
              <a16:creationId xmlns:a16="http://schemas.microsoft.com/office/drawing/2014/main" id="{274C6729-A251-45E2-1583-03C182DC93E8}"/>
            </a:ext>
          </a:extLst>
        </xdr:cNvPr>
        <xdr:cNvCxnSpPr/>
      </xdr:nvCxnSpPr>
      <xdr:spPr>
        <a:xfrm>
          <a:off x="17193986" y="2314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149</xdr:row>
      <xdr:rowOff>19050</xdr:rowOff>
    </xdr:from>
    <xdr:to>
      <xdr:col>79</xdr:col>
      <xdr:colOff>123734</xdr:colOff>
      <xdr:row>149</xdr:row>
      <xdr:rowOff>133350</xdr:rowOff>
    </xdr:to>
    <xdr:sp macro="" textlink="">
      <xdr:nvSpPr>
        <xdr:cNvPr id="5110" name="146">
          <a:extLst>
            <a:ext uri="{FF2B5EF4-FFF2-40B4-BE49-F238E27FC236}">
              <a16:creationId xmlns:a16="http://schemas.microsoft.com/office/drawing/2014/main" id="{0C505321-AB49-35C1-DB00-84741836196F}"/>
            </a:ext>
          </a:extLst>
        </xdr:cNvPr>
        <xdr:cNvSpPr/>
      </xdr:nvSpPr>
      <xdr:spPr>
        <a:xfrm>
          <a:off x="17193986" y="22936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149</xdr:row>
      <xdr:rowOff>76200</xdr:rowOff>
    </xdr:from>
    <xdr:to>
      <xdr:col>60</xdr:col>
      <xdr:colOff>20411</xdr:colOff>
      <xdr:row>149</xdr:row>
      <xdr:rowOff>76200</xdr:rowOff>
    </xdr:to>
    <xdr:cxnSp macro="">
      <xdr:nvCxnSpPr>
        <xdr:cNvPr id="5111" name="직선 화살표 연결선 5110">
          <a:extLst>
            <a:ext uri="{FF2B5EF4-FFF2-40B4-BE49-F238E27FC236}">
              <a16:creationId xmlns:a16="http://schemas.microsoft.com/office/drawing/2014/main" id="{EA441A83-F0BB-E1F0-0823-6EAB9FEFD3CD}"/>
            </a:ext>
          </a:extLst>
        </xdr:cNvPr>
        <xdr:cNvCxnSpPr/>
      </xdr:nvCxnSpPr>
      <xdr:spPr>
        <a:xfrm>
          <a:off x="17193986" y="2299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148</xdr:row>
      <xdr:rowOff>19050</xdr:rowOff>
    </xdr:from>
    <xdr:to>
      <xdr:col>79</xdr:col>
      <xdr:colOff>123734</xdr:colOff>
      <xdr:row>148</xdr:row>
      <xdr:rowOff>133350</xdr:rowOff>
    </xdr:to>
    <xdr:sp macro="" textlink="">
      <xdr:nvSpPr>
        <xdr:cNvPr id="5112" name="145">
          <a:extLst>
            <a:ext uri="{FF2B5EF4-FFF2-40B4-BE49-F238E27FC236}">
              <a16:creationId xmlns:a16="http://schemas.microsoft.com/office/drawing/2014/main" id="{3AB7D74C-4E61-0CAD-0F16-DB9DA7FC9A59}"/>
            </a:ext>
          </a:extLst>
        </xdr:cNvPr>
        <xdr:cNvSpPr/>
      </xdr:nvSpPr>
      <xdr:spPr>
        <a:xfrm>
          <a:off x="17193986" y="227838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148</xdr:row>
      <xdr:rowOff>76200</xdr:rowOff>
    </xdr:from>
    <xdr:to>
      <xdr:col>60</xdr:col>
      <xdr:colOff>20411</xdr:colOff>
      <xdr:row>148</xdr:row>
      <xdr:rowOff>76200</xdr:rowOff>
    </xdr:to>
    <xdr:cxnSp macro="">
      <xdr:nvCxnSpPr>
        <xdr:cNvPr id="5113" name="직선 화살표 연결선 5112">
          <a:extLst>
            <a:ext uri="{FF2B5EF4-FFF2-40B4-BE49-F238E27FC236}">
              <a16:creationId xmlns:a16="http://schemas.microsoft.com/office/drawing/2014/main" id="{DC71C8F9-66EB-45CC-5F2F-54CEA3B795CB}"/>
            </a:ext>
          </a:extLst>
        </xdr:cNvPr>
        <xdr:cNvCxnSpPr/>
      </xdr:nvCxnSpPr>
      <xdr:spPr>
        <a:xfrm>
          <a:off x="17193986" y="2284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147</xdr:row>
      <xdr:rowOff>19050</xdr:rowOff>
    </xdr:from>
    <xdr:to>
      <xdr:col>79</xdr:col>
      <xdr:colOff>123734</xdr:colOff>
      <xdr:row>147</xdr:row>
      <xdr:rowOff>133350</xdr:rowOff>
    </xdr:to>
    <xdr:sp macro="" textlink="">
      <xdr:nvSpPr>
        <xdr:cNvPr id="5114" name="144">
          <a:extLst>
            <a:ext uri="{FF2B5EF4-FFF2-40B4-BE49-F238E27FC236}">
              <a16:creationId xmlns:a16="http://schemas.microsoft.com/office/drawing/2014/main" id="{31E7A173-22E0-7CD9-D10F-256BD1FE7354}"/>
            </a:ext>
          </a:extLst>
        </xdr:cNvPr>
        <xdr:cNvSpPr/>
      </xdr:nvSpPr>
      <xdr:spPr>
        <a:xfrm>
          <a:off x="17336861" y="226314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147</xdr:row>
      <xdr:rowOff>76200</xdr:rowOff>
    </xdr:from>
    <xdr:to>
      <xdr:col>61</xdr:col>
      <xdr:colOff>20411</xdr:colOff>
      <xdr:row>147</xdr:row>
      <xdr:rowOff>76200</xdr:rowOff>
    </xdr:to>
    <xdr:cxnSp macro="">
      <xdr:nvCxnSpPr>
        <xdr:cNvPr id="5115" name="직선 화살표 연결선 5114">
          <a:extLst>
            <a:ext uri="{FF2B5EF4-FFF2-40B4-BE49-F238E27FC236}">
              <a16:creationId xmlns:a16="http://schemas.microsoft.com/office/drawing/2014/main" id="{EBCDD556-6811-866C-2D61-C4B3B6B1C3FF}"/>
            </a:ext>
          </a:extLst>
        </xdr:cNvPr>
        <xdr:cNvCxnSpPr/>
      </xdr:nvCxnSpPr>
      <xdr:spPr>
        <a:xfrm>
          <a:off x="17336861" y="2268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146</xdr:row>
      <xdr:rowOff>19050</xdr:rowOff>
    </xdr:from>
    <xdr:to>
      <xdr:col>79</xdr:col>
      <xdr:colOff>123734</xdr:colOff>
      <xdr:row>146</xdr:row>
      <xdr:rowOff>133350</xdr:rowOff>
    </xdr:to>
    <xdr:sp macro="" textlink="">
      <xdr:nvSpPr>
        <xdr:cNvPr id="5116" name="143">
          <a:extLst>
            <a:ext uri="{FF2B5EF4-FFF2-40B4-BE49-F238E27FC236}">
              <a16:creationId xmlns:a16="http://schemas.microsoft.com/office/drawing/2014/main" id="{43D83465-E3D5-9DFB-2A78-81384A6A15C0}"/>
            </a:ext>
          </a:extLst>
        </xdr:cNvPr>
        <xdr:cNvSpPr/>
      </xdr:nvSpPr>
      <xdr:spPr>
        <a:xfrm>
          <a:off x="17193986" y="224790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146</xdr:row>
      <xdr:rowOff>76200</xdr:rowOff>
    </xdr:from>
    <xdr:to>
      <xdr:col>60</xdr:col>
      <xdr:colOff>20411</xdr:colOff>
      <xdr:row>146</xdr:row>
      <xdr:rowOff>76200</xdr:rowOff>
    </xdr:to>
    <xdr:cxnSp macro="">
      <xdr:nvCxnSpPr>
        <xdr:cNvPr id="5117" name="직선 화살표 연결선 5116">
          <a:extLst>
            <a:ext uri="{FF2B5EF4-FFF2-40B4-BE49-F238E27FC236}">
              <a16:creationId xmlns:a16="http://schemas.microsoft.com/office/drawing/2014/main" id="{18BAEF79-2988-2B6C-D509-6F31D4E8818C}"/>
            </a:ext>
          </a:extLst>
        </xdr:cNvPr>
        <xdr:cNvCxnSpPr/>
      </xdr:nvCxnSpPr>
      <xdr:spPr>
        <a:xfrm>
          <a:off x="17193986" y="2253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145</xdr:row>
      <xdr:rowOff>19050</xdr:rowOff>
    </xdr:from>
    <xdr:to>
      <xdr:col>79</xdr:col>
      <xdr:colOff>123734</xdr:colOff>
      <xdr:row>145</xdr:row>
      <xdr:rowOff>133350</xdr:rowOff>
    </xdr:to>
    <xdr:sp macro="" textlink="">
      <xdr:nvSpPr>
        <xdr:cNvPr id="5118" name="142">
          <a:extLst>
            <a:ext uri="{FF2B5EF4-FFF2-40B4-BE49-F238E27FC236}">
              <a16:creationId xmlns:a16="http://schemas.microsoft.com/office/drawing/2014/main" id="{9C7CDEBD-8054-6544-5187-10368943353A}"/>
            </a:ext>
          </a:extLst>
        </xdr:cNvPr>
        <xdr:cNvSpPr/>
      </xdr:nvSpPr>
      <xdr:spPr>
        <a:xfrm>
          <a:off x="17193986" y="22326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145</xdr:row>
      <xdr:rowOff>76200</xdr:rowOff>
    </xdr:from>
    <xdr:to>
      <xdr:col>60</xdr:col>
      <xdr:colOff>20411</xdr:colOff>
      <xdr:row>145</xdr:row>
      <xdr:rowOff>76200</xdr:rowOff>
    </xdr:to>
    <xdr:cxnSp macro="">
      <xdr:nvCxnSpPr>
        <xdr:cNvPr id="5119" name="직선 화살표 연결선 5118">
          <a:extLst>
            <a:ext uri="{FF2B5EF4-FFF2-40B4-BE49-F238E27FC236}">
              <a16:creationId xmlns:a16="http://schemas.microsoft.com/office/drawing/2014/main" id="{9FEDFA75-8D24-8773-8F9C-59004AD7AFCE}"/>
            </a:ext>
          </a:extLst>
        </xdr:cNvPr>
        <xdr:cNvCxnSpPr/>
      </xdr:nvCxnSpPr>
      <xdr:spPr>
        <a:xfrm>
          <a:off x="17193986" y="2238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144</xdr:row>
      <xdr:rowOff>19050</xdr:rowOff>
    </xdr:from>
    <xdr:to>
      <xdr:col>79</xdr:col>
      <xdr:colOff>123734</xdr:colOff>
      <xdr:row>144</xdr:row>
      <xdr:rowOff>133350</xdr:rowOff>
    </xdr:to>
    <xdr:sp macro="" textlink="">
      <xdr:nvSpPr>
        <xdr:cNvPr id="5120" name="141">
          <a:extLst>
            <a:ext uri="{FF2B5EF4-FFF2-40B4-BE49-F238E27FC236}">
              <a16:creationId xmlns:a16="http://schemas.microsoft.com/office/drawing/2014/main" id="{469FDBBD-0D3F-138A-E196-29B136594616}"/>
            </a:ext>
          </a:extLst>
        </xdr:cNvPr>
        <xdr:cNvSpPr/>
      </xdr:nvSpPr>
      <xdr:spPr>
        <a:xfrm>
          <a:off x="17336861" y="221742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144</xdr:row>
      <xdr:rowOff>76200</xdr:rowOff>
    </xdr:from>
    <xdr:to>
      <xdr:col>61</xdr:col>
      <xdr:colOff>20411</xdr:colOff>
      <xdr:row>144</xdr:row>
      <xdr:rowOff>76200</xdr:rowOff>
    </xdr:to>
    <xdr:cxnSp macro="">
      <xdr:nvCxnSpPr>
        <xdr:cNvPr id="5121" name="직선 화살표 연결선 5120">
          <a:extLst>
            <a:ext uri="{FF2B5EF4-FFF2-40B4-BE49-F238E27FC236}">
              <a16:creationId xmlns:a16="http://schemas.microsoft.com/office/drawing/2014/main" id="{F63A3895-6BBD-9A1E-BEA7-1CFF49C9BB23}"/>
            </a:ext>
          </a:extLst>
        </xdr:cNvPr>
        <xdr:cNvCxnSpPr/>
      </xdr:nvCxnSpPr>
      <xdr:spPr>
        <a:xfrm>
          <a:off x="17336861" y="2223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143</xdr:row>
      <xdr:rowOff>19050</xdr:rowOff>
    </xdr:from>
    <xdr:to>
      <xdr:col>70</xdr:col>
      <xdr:colOff>123734</xdr:colOff>
      <xdr:row>143</xdr:row>
      <xdr:rowOff>133350</xdr:rowOff>
    </xdr:to>
    <xdr:sp macro="" textlink="">
      <xdr:nvSpPr>
        <xdr:cNvPr id="5122" name="140">
          <a:extLst>
            <a:ext uri="{FF2B5EF4-FFF2-40B4-BE49-F238E27FC236}">
              <a16:creationId xmlns:a16="http://schemas.microsoft.com/office/drawing/2014/main" id="{037A922A-88FC-FDB7-3718-D20DEFDD3BA8}"/>
            </a:ext>
          </a:extLst>
        </xdr:cNvPr>
        <xdr:cNvSpPr/>
      </xdr:nvSpPr>
      <xdr:spPr>
        <a:xfrm>
          <a:off x="17193986" y="220218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143</xdr:row>
      <xdr:rowOff>76200</xdr:rowOff>
    </xdr:from>
    <xdr:to>
      <xdr:col>60</xdr:col>
      <xdr:colOff>20411</xdr:colOff>
      <xdr:row>143</xdr:row>
      <xdr:rowOff>76200</xdr:rowOff>
    </xdr:to>
    <xdr:cxnSp macro="">
      <xdr:nvCxnSpPr>
        <xdr:cNvPr id="5123" name="직선 화살표 연결선 5122">
          <a:extLst>
            <a:ext uri="{FF2B5EF4-FFF2-40B4-BE49-F238E27FC236}">
              <a16:creationId xmlns:a16="http://schemas.microsoft.com/office/drawing/2014/main" id="{EDB2FC57-1653-5060-E026-746FB4EF0735}"/>
            </a:ext>
          </a:extLst>
        </xdr:cNvPr>
        <xdr:cNvCxnSpPr/>
      </xdr:nvCxnSpPr>
      <xdr:spPr>
        <a:xfrm>
          <a:off x="17193986" y="2207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20411</xdr:colOff>
      <xdr:row>142</xdr:row>
      <xdr:rowOff>19050</xdr:rowOff>
    </xdr:from>
    <xdr:to>
      <xdr:col>79</xdr:col>
      <xdr:colOff>123734</xdr:colOff>
      <xdr:row>142</xdr:row>
      <xdr:rowOff>133350</xdr:rowOff>
    </xdr:to>
    <xdr:sp macro="" textlink="">
      <xdr:nvSpPr>
        <xdr:cNvPr id="5124" name="139">
          <a:extLst>
            <a:ext uri="{FF2B5EF4-FFF2-40B4-BE49-F238E27FC236}">
              <a16:creationId xmlns:a16="http://schemas.microsoft.com/office/drawing/2014/main" id="{37050924-1BA5-B173-A1C8-1659C53AC27A}"/>
            </a:ext>
          </a:extLst>
        </xdr:cNvPr>
        <xdr:cNvSpPr/>
      </xdr:nvSpPr>
      <xdr:spPr>
        <a:xfrm>
          <a:off x="19765736" y="218694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20411</xdr:colOff>
      <xdr:row>142</xdr:row>
      <xdr:rowOff>76200</xdr:rowOff>
    </xdr:from>
    <xdr:to>
      <xdr:col>78</xdr:col>
      <xdr:colOff>20411</xdr:colOff>
      <xdr:row>142</xdr:row>
      <xdr:rowOff>76200</xdr:rowOff>
    </xdr:to>
    <xdr:cxnSp macro="">
      <xdr:nvCxnSpPr>
        <xdr:cNvPr id="5125" name="직선 화살표 연결선 5124">
          <a:extLst>
            <a:ext uri="{FF2B5EF4-FFF2-40B4-BE49-F238E27FC236}">
              <a16:creationId xmlns:a16="http://schemas.microsoft.com/office/drawing/2014/main" id="{8EE26AC5-5C17-B5CB-174A-CBA45C4B7F3A}"/>
            </a:ext>
          </a:extLst>
        </xdr:cNvPr>
        <xdr:cNvCxnSpPr/>
      </xdr:nvCxnSpPr>
      <xdr:spPr>
        <a:xfrm>
          <a:off x="19765736" y="2192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81643</xdr:colOff>
      <xdr:row>141</xdr:row>
      <xdr:rowOff>19050</xdr:rowOff>
    </xdr:from>
    <xdr:to>
      <xdr:col>77</xdr:col>
      <xdr:colOff>123734</xdr:colOff>
      <xdr:row>141</xdr:row>
      <xdr:rowOff>133350</xdr:rowOff>
    </xdr:to>
    <xdr:sp macro="" textlink="">
      <xdr:nvSpPr>
        <xdr:cNvPr id="5126" name="138">
          <a:extLst>
            <a:ext uri="{FF2B5EF4-FFF2-40B4-BE49-F238E27FC236}">
              <a16:creationId xmlns:a16="http://schemas.microsoft.com/office/drawing/2014/main" id="{9F81E56F-77DE-1327-5BB6-34646A8348BA}"/>
            </a:ext>
          </a:extLst>
        </xdr:cNvPr>
        <xdr:cNvSpPr/>
      </xdr:nvSpPr>
      <xdr:spPr>
        <a:xfrm>
          <a:off x="19255468" y="21717000"/>
          <a:ext cx="4707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81643</xdr:colOff>
      <xdr:row>141</xdr:row>
      <xdr:rowOff>76200</xdr:rowOff>
    </xdr:from>
    <xdr:to>
      <xdr:col>74</xdr:col>
      <xdr:colOff>81643</xdr:colOff>
      <xdr:row>141</xdr:row>
      <xdr:rowOff>76200</xdr:rowOff>
    </xdr:to>
    <xdr:cxnSp macro="">
      <xdr:nvCxnSpPr>
        <xdr:cNvPr id="5127" name="직선 화살표 연결선 5126">
          <a:extLst>
            <a:ext uri="{FF2B5EF4-FFF2-40B4-BE49-F238E27FC236}">
              <a16:creationId xmlns:a16="http://schemas.microsoft.com/office/drawing/2014/main" id="{539335DF-DD3D-63C4-A5D5-ECB9FA88AC16}"/>
            </a:ext>
          </a:extLst>
        </xdr:cNvPr>
        <xdr:cNvCxnSpPr/>
      </xdr:nvCxnSpPr>
      <xdr:spPr>
        <a:xfrm>
          <a:off x="19255468" y="2177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81643</xdr:colOff>
      <xdr:row>140</xdr:row>
      <xdr:rowOff>19050</xdr:rowOff>
    </xdr:from>
    <xdr:to>
      <xdr:col>74</xdr:col>
      <xdr:colOff>82913</xdr:colOff>
      <xdr:row>140</xdr:row>
      <xdr:rowOff>133350</xdr:rowOff>
    </xdr:to>
    <xdr:sp macro="" textlink="">
      <xdr:nvSpPr>
        <xdr:cNvPr id="5128" name="137">
          <a:extLst>
            <a:ext uri="{FF2B5EF4-FFF2-40B4-BE49-F238E27FC236}">
              <a16:creationId xmlns:a16="http://schemas.microsoft.com/office/drawing/2014/main" id="{1D4BED61-3904-341A-B5C1-4BA7C8367E61}"/>
            </a:ext>
          </a:extLst>
        </xdr:cNvPr>
        <xdr:cNvSpPr/>
      </xdr:nvSpPr>
      <xdr:spPr>
        <a:xfrm>
          <a:off x="18541093" y="21564600"/>
          <a:ext cx="71564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81643</xdr:colOff>
      <xdr:row>140</xdr:row>
      <xdr:rowOff>76200</xdr:rowOff>
    </xdr:from>
    <xdr:to>
      <xdr:col>69</xdr:col>
      <xdr:colOff>81643</xdr:colOff>
      <xdr:row>140</xdr:row>
      <xdr:rowOff>76200</xdr:rowOff>
    </xdr:to>
    <xdr:cxnSp macro="">
      <xdr:nvCxnSpPr>
        <xdr:cNvPr id="5129" name="직선 화살표 연결선 5128">
          <a:extLst>
            <a:ext uri="{FF2B5EF4-FFF2-40B4-BE49-F238E27FC236}">
              <a16:creationId xmlns:a16="http://schemas.microsoft.com/office/drawing/2014/main" id="{8D6872E1-572F-46E7-98B3-BEE196313934}"/>
            </a:ext>
          </a:extLst>
        </xdr:cNvPr>
        <xdr:cNvCxnSpPr/>
      </xdr:nvCxnSpPr>
      <xdr:spPr>
        <a:xfrm>
          <a:off x="18541093" y="2162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139</xdr:row>
      <xdr:rowOff>19050</xdr:rowOff>
    </xdr:from>
    <xdr:to>
      <xdr:col>69</xdr:col>
      <xdr:colOff>82913</xdr:colOff>
      <xdr:row>139</xdr:row>
      <xdr:rowOff>133350</xdr:rowOff>
    </xdr:to>
    <xdr:sp macro="" textlink="">
      <xdr:nvSpPr>
        <xdr:cNvPr id="5130" name="136">
          <a:extLst>
            <a:ext uri="{FF2B5EF4-FFF2-40B4-BE49-F238E27FC236}">
              <a16:creationId xmlns:a16="http://schemas.microsoft.com/office/drawing/2014/main" id="{35454D0A-1F0E-C732-77B7-CAF3411D1CC2}"/>
            </a:ext>
          </a:extLst>
        </xdr:cNvPr>
        <xdr:cNvSpPr/>
      </xdr:nvSpPr>
      <xdr:spPr>
        <a:xfrm>
          <a:off x="17949182" y="21412200"/>
          <a:ext cx="5931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139</xdr:row>
      <xdr:rowOff>76200</xdr:rowOff>
    </xdr:from>
    <xdr:to>
      <xdr:col>65</xdr:col>
      <xdr:colOff>61232</xdr:colOff>
      <xdr:row>139</xdr:row>
      <xdr:rowOff>76200</xdr:rowOff>
    </xdr:to>
    <xdr:cxnSp macro="">
      <xdr:nvCxnSpPr>
        <xdr:cNvPr id="5131" name="직선 화살표 연결선 5130">
          <a:extLst>
            <a:ext uri="{FF2B5EF4-FFF2-40B4-BE49-F238E27FC236}">
              <a16:creationId xmlns:a16="http://schemas.microsoft.com/office/drawing/2014/main" id="{C47DDEB6-6293-800C-EE53-C47422051066}"/>
            </a:ext>
          </a:extLst>
        </xdr:cNvPr>
        <xdr:cNvCxnSpPr/>
      </xdr:nvCxnSpPr>
      <xdr:spPr>
        <a:xfrm>
          <a:off x="17949182" y="2146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138</xdr:row>
      <xdr:rowOff>19050</xdr:rowOff>
    </xdr:from>
    <xdr:to>
      <xdr:col>65</xdr:col>
      <xdr:colOff>62502</xdr:colOff>
      <xdr:row>138</xdr:row>
      <xdr:rowOff>133350</xdr:rowOff>
    </xdr:to>
    <xdr:sp macro="" textlink="">
      <xdr:nvSpPr>
        <xdr:cNvPr id="5132" name="135">
          <a:extLst>
            <a:ext uri="{FF2B5EF4-FFF2-40B4-BE49-F238E27FC236}">
              <a16:creationId xmlns:a16="http://schemas.microsoft.com/office/drawing/2014/main" id="{013BC68D-2E6A-D648-8632-5C750B6ED2EF}"/>
            </a:ext>
          </a:extLst>
        </xdr:cNvPr>
        <xdr:cNvSpPr/>
      </xdr:nvSpPr>
      <xdr:spPr>
        <a:xfrm>
          <a:off x="17193986" y="21259800"/>
          <a:ext cx="7564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138</xdr:row>
      <xdr:rowOff>76200</xdr:rowOff>
    </xdr:from>
    <xdr:to>
      <xdr:col>60</xdr:col>
      <xdr:colOff>20411</xdr:colOff>
      <xdr:row>138</xdr:row>
      <xdr:rowOff>76200</xdr:rowOff>
    </xdr:to>
    <xdr:cxnSp macro="">
      <xdr:nvCxnSpPr>
        <xdr:cNvPr id="5133" name="직선 화살표 연결선 5132">
          <a:extLst>
            <a:ext uri="{FF2B5EF4-FFF2-40B4-BE49-F238E27FC236}">
              <a16:creationId xmlns:a16="http://schemas.microsoft.com/office/drawing/2014/main" id="{316B682C-9740-35D7-48FC-2771234231FA}"/>
            </a:ext>
          </a:extLst>
        </xdr:cNvPr>
        <xdr:cNvCxnSpPr/>
      </xdr:nvCxnSpPr>
      <xdr:spPr>
        <a:xfrm>
          <a:off x="17193986" y="2131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137</xdr:row>
      <xdr:rowOff>19050</xdr:rowOff>
    </xdr:from>
    <xdr:to>
      <xdr:col>79</xdr:col>
      <xdr:colOff>123734</xdr:colOff>
      <xdr:row>137</xdr:row>
      <xdr:rowOff>133350</xdr:rowOff>
    </xdr:to>
    <xdr:sp macro="" textlink="">
      <xdr:nvSpPr>
        <xdr:cNvPr id="5134" name="134">
          <a:extLst>
            <a:ext uri="{FF2B5EF4-FFF2-40B4-BE49-F238E27FC236}">
              <a16:creationId xmlns:a16="http://schemas.microsoft.com/office/drawing/2014/main" id="{18A2BA85-8B04-991E-C033-B3814F53E7CF}"/>
            </a:ext>
          </a:extLst>
        </xdr:cNvPr>
        <xdr:cNvSpPr/>
      </xdr:nvSpPr>
      <xdr:spPr>
        <a:xfrm>
          <a:off x="17193986" y="21107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137</xdr:row>
      <xdr:rowOff>76200</xdr:rowOff>
    </xdr:from>
    <xdr:to>
      <xdr:col>60</xdr:col>
      <xdr:colOff>20411</xdr:colOff>
      <xdr:row>137</xdr:row>
      <xdr:rowOff>76200</xdr:rowOff>
    </xdr:to>
    <xdr:cxnSp macro="">
      <xdr:nvCxnSpPr>
        <xdr:cNvPr id="5135" name="직선 화살표 연결선 5134">
          <a:extLst>
            <a:ext uri="{FF2B5EF4-FFF2-40B4-BE49-F238E27FC236}">
              <a16:creationId xmlns:a16="http://schemas.microsoft.com/office/drawing/2014/main" id="{60D1FC36-FC83-D194-719B-D5E7D055DEA1}"/>
            </a:ext>
          </a:extLst>
        </xdr:cNvPr>
        <xdr:cNvCxnSpPr/>
      </xdr:nvCxnSpPr>
      <xdr:spPr>
        <a:xfrm>
          <a:off x="17193986" y="2116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136</xdr:row>
      <xdr:rowOff>19050</xdr:rowOff>
    </xdr:from>
    <xdr:to>
      <xdr:col>79</xdr:col>
      <xdr:colOff>123734</xdr:colOff>
      <xdr:row>136</xdr:row>
      <xdr:rowOff>133350</xdr:rowOff>
    </xdr:to>
    <xdr:sp macro="" textlink="">
      <xdr:nvSpPr>
        <xdr:cNvPr id="5136" name="133">
          <a:extLst>
            <a:ext uri="{FF2B5EF4-FFF2-40B4-BE49-F238E27FC236}">
              <a16:creationId xmlns:a16="http://schemas.microsoft.com/office/drawing/2014/main" id="{327DE513-3221-3AEE-0C7A-BA67FB7DDCA7}"/>
            </a:ext>
          </a:extLst>
        </xdr:cNvPr>
        <xdr:cNvSpPr/>
      </xdr:nvSpPr>
      <xdr:spPr>
        <a:xfrm>
          <a:off x="17193986" y="209550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136</xdr:row>
      <xdr:rowOff>76200</xdr:rowOff>
    </xdr:from>
    <xdr:to>
      <xdr:col>60</xdr:col>
      <xdr:colOff>20411</xdr:colOff>
      <xdr:row>136</xdr:row>
      <xdr:rowOff>76200</xdr:rowOff>
    </xdr:to>
    <xdr:cxnSp macro="">
      <xdr:nvCxnSpPr>
        <xdr:cNvPr id="5137" name="직선 화살표 연결선 5136">
          <a:extLst>
            <a:ext uri="{FF2B5EF4-FFF2-40B4-BE49-F238E27FC236}">
              <a16:creationId xmlns:a16="http://schemas.microsoft.com/office/drawing/2014/main" id="{F267ABB1-9B0B-AB83-4D87-18BEA5507BD3}"/>
            </a:ext>
          </a:extLst>
        </xdr:cNvPr>
        <xdr:cNvCxnSpPr/>
      </xdr:nvCxnSpPr>
      <xdr:spPr>
        <a:xfrm>
          <a:off x="17193986" y="2101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135</xdr:row>
      <xdr:rowOff>19050</xdr:rowOff>
    </xdr:from>
    <xdr:to>
      <xdr:col>79</xdr:col>
      <xdr:colOff>123734</xdr:colOff>
      <xdr:row>135</xdr:row>
      <xdr:rowOff>133350</xdr:rowOff>
    </xdr:to>
    <xdr:sp macro="" textlink="">
      <xdr:nvSpPr>
        <xdr:cNvPr id="5138" name="132">
          <a:extLst>
            <a:ext uri="{FF2B5EF4-FFF2-40B4-BE49-F238E27FC236}">
              <a16:creationId xmlns:a16="http://schemas.microsoft.com/office/drawing/2014/main" id="{346E330F-7C04-2B01-FD3D-F4FE22ABBE86}"/>
            </a:ext>
          </a:extLst>
        </xdr:cNvPr>
        <xdr:cNvSpPr/>
      </xdr:nvSpPr>
      <xdr:spPr>
        <a:xfrm>
          <a:off x="17336861" y="208026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135</xdr:row>
      <xdr:rowOff>76200</xdr:rowOff>
    </xdr:from>
    <xdr:to>
      <xdr:col>61</xdr:col>
      <xdr:colOff>20411</xdr:colOff>
      <xdr:row>135</xdr:row>
      <xdr:rowOff>76200</xdr:rowOff>
    </xdr:to>
    <xdr:cxnSp macro="">
      <xdr:nvCxnSpPr>
        <xdr:cNvPr id="5139" name="직선 화살표 연결선 5138">
          <a:extLst>
            <a:ext uri="{FF2B5EF4-FFF2-40B4-BE49-F238E27FC236}">
              <a16:creationId xmlns:a16="http://schemas.microsoft.com/office/drawing/2014/main" id="{56B7110A-6BF2-10A6-E1C8-8B51B07958C0}"/>
            </a:ext>
          </a:extLst>
        </xdr:cNvPr>
        <xdr:cNvCxnSpPr/>
      </xdr:nvCxnSpPr>
      <xdr:spPr>
        <a:xfrm>
          <a:off x="17336861" y="2085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102054</xdr:colOff>
      <xdr:row>134</xdr:row>
      <xdr:rowOff>19050</xdr:rowOff>
    </xdr:from>
    <xdr:to>
      <xdr:col>79</xdr:col>
      <xdr:colOff>123734</xdr:colOff>
      <xdr:row>134</xdr:row>
      <xdr:rowOff>133350</xdr:rowOff>
    </xdr:to>
    <xdr:sp macro="" textlink="">
      <xdr:nvSpPr>
        <xdr:cNvPr id="5140" name="131">
          <a:extLst>
            <a:ext uri="{FF2B5EF4-FFF2-40B4-BE49-F238E27FC236}">
              <a16:creationId xmlns:a16="http://schemas.microsoft.com/office/drawing/2014/main" id="{724BC5AC-CC93-B5A7-EAC2-45CD4E8BD939}"/>
            </a:ext>
          </a:extLst>
        </xdr:cNvPr>
        <xdr:cNvSpPr/>
      </xdr:nvSpPr>
      <xdr:spPr>
        <a:xfrm>
          <a:off x="19561629" y="20650200"/>
          <a:ext cx="45030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102054</xdr:colOff>
      <xdr:row>134</xdr:row>
      <xdr:rowOff>76200</xdr:rowOff>
    </xdr:from>
    <xdr:to>
      <xdr:col>76</xdr:col>
      <xdr:colOff>102054</xdr:colOff>
      <xdr:row>134</xdr:row>
      <xdr:rowOff>76200</xdr:rowOff>
    </xdr:to>
    <xdr:cxnSp macro="">
      <xdr:nvCxnSpPr>
        <xdr:cNvPr id="5141" name="직선 화살표 연결선 5140">
          <a:extLst>
            <a:ext uri="{FF2B5EF4-FFF2-40B4-BE49-F238E27FC236}">
              <a16:creationId xmlns:a16="http://schemas.microsoft.com/office/drawing/2014/main" id="{A17CCC36-CE8D-B333-5539-B1E18EC1D2B0}"/>
            </a:ext>
          </a:extLst>
        </xdr:cNvPr>
        <xdr:cNvCxnSpPr/>
      </xdr:nvCxnSpPr>
      <xdr:spPr>
        <a:xfrm>
          <a:off x="19561629" y="2070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81643</xdr:colOff>
      <xdr:row>133</xdr:row>
      <xdr:rowOff>19050</xdr:rowOff>
    </xdr:from>
    <xdr:to>
      <xdr:col>76</xdr:col>
      <xdr:colOff>103324</xdr:colOff>
      <xdr:row>133</xdr:row>
      <xdr:rowOff>133350</xdr:rowOff>
    </xdr:to>
    <xdr:sp macro="" textlink="">
      <xdr:nvSpPr>
        <xdr:cNvPr id="5142" name="130">
          <a:extLst>
            <a:ext uri="{FF2B5EF4-FFF2-40B4-BE49-F238E27FC236}">
              <a16:creationId xmlns:a16="http://schemas.microsoft.com/office/drawing/2014/main" id="{6F8A53DE-378A-94A5-AA8F-F8FC2E60E020}"/>
            </a:ext>
          </a:extLst>
        </xdr:cNvPr>
        <xdr:cNvSpPr/>
      </xdr:nvSpPr>
      <xdr:spPr>
        <a:xfrm>
          <a:off x="18969718" y="20497800"/>
          <a:ext cx="5931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81643</xdr:colOff>
      <xdr:row>133</xdr:row>
      <xdr:rowOff>76200</xdr:rowOff>
    </xdr:from>
    <xdr:to>
      <xdr:col>72</xdr:col>
      <xdr:colOff>81643</xdr:colOff>
      <xdr:row>133</xdr:row>
      <xdr:rowOff>76200</xdr:rowOff>
    </xdr:to>
    <xdr:cxnSp macro="">
      <xdr:nvCxnSpPr>
        <xdr:cNvPr id="5143" name="직선 화살표 연결선 5142">
          <a:extLst>
            <a:ext uri="{FF2B5EF4-FFF2-40B4-BE49-F238E27FC236}">
              <a16:creationId xmlns:a16="http://schemas.microsoft.com/office/drawing/2014/main" id="{832627C3-2AC0-C0DF-B511-A4F60485BA63}"/>
            </a:ext>
          </a:extLst>
        </xdr:cNvPr>
        <xdr:cNvCxnSpPr/>
      </xdr:nvCxnSpPr>
      <xdr:spPr>
        <a:xfrm>
          <a:off x="18969718" y="2055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81643</xdr:colOff>
      <xdr:row>132</xdr:row>
      <xdr:rowOff>19050</xdr:rowOff>
    </xdr:from>
    <xdr:to>
      <xdr:col>72</xdr:col>
      <xdr:colOff>82913</xdr:colOff>
      <xdr:row>132</xdr:row>
      <xdr:rowOff>133350</xdr:rowOff>
    </xdr:to>
    <xdr:sp macro="" textlink="">
      <xdr:nvSpPr>
        <xdr:cNvPr id="5144" name="129">
          <a:extLst>
            <a:ext uri="{FF2B5EF4-FFF2-40B4-BE49-F238E27FC236}">
              <a16:creationId xmlns:a16="http://schemas.microsoft.com/office/drawing/2014/main" id="{955D897A-A16A-35EE-E9F4-45D889234163}"/>
            </a:ext>
          </a:extLst>
        </xdr:cNvPr>
        <xdr:cNvSpPr/>
      </xdr:nvSpPr>
      <xdr:spPr>
        <a:xfrm>
          <a:off x="18255343" y="20345400"/>
          <a:ext cx="71564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81643</xdr:colOff>
      <xdr:row>132</xdr:row>
      <xdr:rowOff>76200</xdr:rowOff>
    </xdr:from>
    <xdr:to>
      <xdr:col>67</xdr:col>
      <xdr:colOff>81643</xdr:colOff>
      <xdr:row>132</xdr:row>
      <xdr:rowOff>76200</xdr:rowOff>
    </xdr:to>
    <xdr:cxnSp macro="">
      <xdr:nvCxnSpPr>
        <xdr:cNvPr id="5145" name="직선 화살표 연결선 5144">
          <a:extLst>
            <a:ext uri="{FF2B5EF4-FFF2-40B4-BE49-F238E27FC236}">
              <a16:creationId xmlns:a16="http://schemas.microsoft.com/office/drawing/2014/main" id="{82A50ABF-684B-6423-6CD9-46CA06DF6BD2}"/>
            </a:ext>
          </a:extLst>
        </xdr:cNvPr>
        <xdr:cNvCxnSpPr/>
      </xdr:nvCxnSpPr>
      <xdr:spPr>
        <a:xfrm>
          <a:off x="18255343" y="2040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131</xdr:row>
      <xdr:rowOff>19050</xdr:rowOff>
    </xdr:from>
    <xdr:to>
      <xdr:col>67</xdr:col>
      <xdr:colOff>82913</xdr:colOff>
      <xdr:row>131</xdr:row>
      <xdr:rowOff>133350</xdr:rowOff>
    </xdr:to>
    <xdr:sp macro="" textlink="">
      <xdr:nvSpPr>
        <xdr:cNvPr id="5146" name="128">
          <a:extLst>
            <a:ext uri="{FF2B5EF4-FFF2-40B4-BE49-F238E27FC236}">
              <a16:creationId xmlns:a16="http://schemas.microsoft.com/office/drawing/2014/main" id="{E6324D69-231B-27BB-ACE9-9E0D2B806260}"/>
            </a:ext>
          </a:extLst>
        </xdr:cNvPr>
        <xdr:cNvSpPr/>
      </xdr:nvSpPr>
      <xdr:spPr>
        <a:xfrm>
          <a:off x="17193986" y="20193000"/>
          <a:ext cx="10626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131</xdr:row>
      <xdr:rowOff>76200</xdr:rowOff>
    </xdr:from>
    <xdr:to>
      <xdr:col>60</xdr:col>
      <xdr:colOff>20411</xdr:colOff>
      <xdr:row>131</xdr:row>
      <xdr:rowOff>76200</xdr:rowOff>
    </xdr:to>
    <xdr:cxnSp macro="">
      <xdr:nvCxnSpPr>
        <xdr:cNvPr id="5147" name="직선 화살표 연결선 5146">
          <a:extLst>
            <a:ext uri="{FF2B5EF4-FFF2-40B4-BE49-F238E27FC236}">
              <a16:creationId xmlns:a16="http://schemas.microsoft.com/office/drawing/2014/main" id="{3417E4A6-3597-9E61-6EE3-53951334F9D4}"/>
            </a:ext>
          </a:extLst>
        </xdr:cNvPr>
        <xdr:cNvCxnSpPr/>
      </xdr:nvCxnSpPr>
      <xdr:spPr>
        <a:xfrm>
          <a:off x="17193986" y="2025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130</xdr:row>
      <xdr:rowOff>19050</xdr:rowOff>
    </xdr:from>
    <xdr:to>
      <xdr:col>79</xdr:col>
      <xdr:colOff>123734</xdr:colOff>
      <xdr:row>130</xdr:row>
      <xdr:rowOff>133350</xdr:rowOff>
    </xdr:to>
    <xdr:sp macro="" textlink="">
      <xdr:nvSpPr>
        <xdr:cNvPr id="5148" name="127">
          <a:extLst>
            <a:ext uri="{FF2B5EF4-FFF2-40B4-BE49-F238E27FC236}">
              <a16:creationId xmlns:a16="http://schemas.microsoft.com/office/drawing/2014/main" id="{09F9CF30-3C2E-6593-1004-C70FBE3AB7C1}"/>
            </a:ext>
          </a:extLst>
        </xdr:cNvPr>
        <xdr:cNvSpPr/>
      </xdr:nvSpPr>
      <xdr:spPr>
        <a:xfrm>
          <a:off x="17193986" y="20040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130</xdr:row>
      <xdr:rowOff>76200</xdr:rowOff>
    </xdr:from>
    <xdr:to>
      <xdr:col>60</xdr:col>
      <xdr:colOff>20411</xdr:colOff>
      <xdr:row>130</xdr:row>
      <xdr:rowOff>76200</xdr:rowOff>
    </xdr:to>
    <xdr:cxnSp macro="">
      <xdr:nvCxnSpPr>
        <xdr:cNvPr id="5149" name="직선 화살표 연결선 5148">
          <a:extLst>
            <a:ext uri="{FF2B5EF4-FFF2-40B4-BE49-F238E27FC236}">
              <a16:creationId xmlns:a16="http://schemas.microsoft.com/office/drawing/2014/main" id="{EE540F76-39F6-C1F1-E960-0A32F7F4D2EE}"/>
            </a:ext>
          </a:extLst>
        </xdr:cNvPr>
        <xdr:cNvCxnSpPr/>
      </xdr:nvCxnSpPr>
      <xdr:spPr>
        <a:xfrm>
          <a:off x="17193986" y="2009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129</xdr:row>
      <xdr:rowOff>19050</xdr:rowOff>
    </xdr:from>
    <xdr:to>
      <xdr:col>79</xdr:col>
      <xdr:colOff>123734</xdr:colOff>
      <xdr:row>129</xdr:row>
      <xdr:rowOff>133350</xdr:rowOff>
    </xdr:to>
    <xdr:sp macro="" textlink="">
      <xdr:nvSpPr>
        <xdr:cNvPr id="5150" name="126">
          <a:extLst>
            <a:ext uri="{FF2B5EF4-FFF2-40B4-BE49-F238E27FC236}">
              <a16:creationId xmlns:a16="http://schemas.microsoft.com/office/drawing/2014/main" id="{F1FFB853-AE26-2A8D-56EB-1DDB64281032}"/>
            </a:ext>
          </a:extLst>
        </xdr:cNvPr>
        <xdr:cNvSpPr/>
      </xdr:nvSpPr>
      <xdr:spPr>
        <a:xfrm>
          <a:off x="17193986" y="19888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129</xdr:row>
      <xdr:rowOff>76200</xdr:rowOff>
    </xdr:from>
    <xdr:to>
      <xdr:col>60</xdr:col>
      <xdr:colOff>20411</xdr:colOff>
      <xdr:row>129</xdr:row>
      <xdr:rowOff>76200</xdr:rowOff>
    </xdr:to>
    <xdr:cxnSp macro="">
      <xdr:nvCxnSpPr>
        <xdr:cNvPr id="5151" name="직선 화살표 연결선 5150">
          <a:extLst>
            <a:ext uri="{FF2B5EF4-FFF2-40B4-BE49-F238E27FC236}">
              <a16:creationId xmlns:a16="http://schemas.microsoft.com/office/drawing/2014/main" id="{2F2007FB-2004-5696-9E4D-0497D14E7523}"/>
            </a:ext>
          </a:extLst>
        </xdr:cNvPr>
        <xdr:cNvCxnSpPr/>
      </xdr:nvCxnSpPr>
      <xdr:spPr>
        <a:xfrm>
          <a:off x="17193986" y="1994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128</xdr:row>
      <xdr:rowOff>19050</xdr:rowOff>
    </xdr:from>
    <xdr:to>
      <xdr:col>79</xdr:col>
      <xdr:colOff>123734</xdr:colOff>
      <xdr:row>128</xdr:row>
      <xdr:rowOff>133350</xdr:rowOff>
    </xdr:to>
    <xdr:sp macro="" textlink="">
      <xdr:nvSpPr>
        <xdr:cNvPr id="5152" name="125">
          <a:extLst>
            <a:ext uri="{FF2B5EF4-FFF2-40B4-BE49-F238E27FC236}">
              <a16:creationId xmlns:a16="http://schemas.microsoft.com/office/drawing/2014/main" id="{05E16485-4F9E-6876-D87A-4CF25FA54461}"/>
            </a:ext>
          </a:extLst>
        </xdr:cNvPr>
        <xdr:cNvSpPr/>
      </xdr:nvSpPr>
      <xdr:spPr>
        <a:xfrm>
          <a:off x="17336861" y="197358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128</xdr:row>
      <xdr:rowOff>76200</xdr:rowOff>
    </xdr:from>
    <xdr:to>
      <xdr:col>61</xdr:col>
      <xdr:colOff>20411</xdr:colOff>
      <xdr:row>128</xdr:row>
      <xdr:rowOff>76200</xdr:rowOff>
    </xdr:to>
    <xdr:cxnSp macro="">
      <xdr:nvCxnSpPr>
        <xdr:cNvPr id="5153" name="직선 화살표 연결선 5152">
          <a:extLst>
            <a:ext uri="{FF2B5EF4-FFF2-40B4-BE49-F238E27FC236}">
              <a16:creationId xmlns:a16="http://schemas.microsoft.com/office/drawing/2014/main" id="{9BA34EA5-2B3C-C6B3-FD80-F658B6840FE1}"/>
            </a:ext>
          </a:extLst>
        </xdr:cNvPr>
        <xdr:cNvCxnSpPr/>
      </xdr:nvCxnSpPr>
      <xdr:spPr>
        <a:xfrm>
          <a:off x="17336861" y="1979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40821</xdr:colOff>
      <xdr:row>127</xdr:row>
      <xdr:rowOff>19050</xdr:rowOff>
    </xdr:from>
    <xdr:to>
      <xdr:col>79</xdr:col>
      <xdr:colOff>123734</xdr:colOff>
      <xdr:row>127</xdr:row>
      <xdr:rowOff>133350</xdr:rowOff>
    </xdr:to>
    <xdr:sp macro="" textlink="">
      <xdr:nvSpPr>
        <xdr:cNvPr id="5154" name="124">
          <a:extLst>
            <a:ext uri="{FF2B5EF4-FFF2-40B4-BE49-F238E27FC236}">
              <a16:creationId xmlns:a16="http://schemas.microsoft.com/office/drawing/2014/main" id="{6024159F-1635-A54F-B1BB-703EF49FE1AD}"/>
            </a:ext>
          </a:extLst>
        </xdr:cNvPr>
        <xdr:cNvSpPr/>
      </xdr:nvSpPr>
      <xdr:spPr>
        <a:xfrm>
          <a:off x="18643146" y="19583400"/>
          <a:ext cx="1368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40821</xdr:colOff>
      <xdr:row>127</xdr:row>
      <xdr:rowOff>76200</xdr:rowOff>
    </xdr:from>
    <xdr:to>
      <xdr:col>70</xdr:col>
      <xdr:colOff>40821</xdr:colOff>
      <xdr:row>127</xdr:row>
      <xdr:rowOff>76200</xdr:rowOff>
    </xdr:to>
    <xdr:cxnSp macro="">
      <xdr:nvCxnSpPr>
        <xdr:cNvPr id="5155" name="직선 화살표 연결선 5154">
          <a:extLst>
            <a:ext uri="{FF2B5EF4-FFF2-40B4-BE49-F238E27FC236}">
              <a16:creationId xmlns:a16="http://schemas.microsoft.com/office/drawing/2014/main" id="{A5344D80-A109-DFF4-BCD4-3FBA3FDEF899}"/>
            </a:ext>
          </a:extLst>
        </xdr:cNvPr>
        <xdr:cNvCxnSpPr/>
      </xdr:nvCxnSpPr>
      <xdr:spPr>
        <a:xfrm>
          <a:off x="18643146" y="1964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126</xdr:row>
      <xdr:rowOff>19050</xdr:rowOff>
    </xdr:from>
    <xdr:to>
      <xdr:col>70</xdr:col>
      <xdr:colOff>42090</xdr:colOff>
      <xdr:row>126</xdr:row>
      <xdr:rowOff>133350</xdr:rowOff>
    </xdr:to>
    <xdr:sp macro="" textlink="">
      <xdr:nvSpPr>
        <xdr:cNvPr id="5156" name="123">
          <a:extLst>
            <a:ext uri="{FF2B5EF4-FFF2-40B4-BE49-F238E27FC236}">
              <a16:creationId xmlns:a16="http://schemas.microsoft.com/office/drawing/2014/main" id="{27F1829D-FFDD-39ED-0522-BB23255A6BA2}"/>
            </a:ext>
          </a:extLst>
        </xdr:cNvPr>
        <xdr:cNvSpPr/>
      </xdr:nvSpPr>
      <xdr:spPr>
        <a:xfrm>
          <a:off x="17193986" y="19431000"/>
          <a:ext cx="145042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126</xdr:row>
      <xdr:rowOff>76200</xdr:rowOff>
    </xdr:from>
    <xdr:to>
      <xdr:col>60</xdr:col>
      <xdr:colOff>20411</xdr:colOff>
      <xdr:row>126</xdr:row>
      <xdr:rowOff>76200</xdr:rowOff>
    </xdr:to>
    <xdr:cxnSp macro="">
      <xdr:nvCxnSpPr>
        <xdr:cNvPr id="5157" name="직선 화살표 연결선 5156">
          <a:extLst>
            <a:ext uri="{FF2B5EF4-FFF2-40B4-BE49-F238E27FC236}">
              <a16:creationId xmlns:a16="http://schemas.microsoft.com/office/drawing/2014/main" id="{3493022E-9184-FC02-438B-F4785E8B81C1}"/>
            </a:ext>
          </a:extLst>
        </xdr:cNvPr>
        <xdr:cNvCxnSpPr/>
      </xdr:nvCxnSpPr>
      <xdr:spPr>
        <a:xfrm>
          <a:off x="17193986" y="1948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125</xdr:row>
      <xdr:rowOff>19050</xdr:rowOff>
    </xdr:from>
    <xdr:to>
      <xdr:col>79</xdr:col>
      <xdr:colOff>123734</xdr:colOff>
      <xdr:row>125</xdr:row>
      <xdr:rowOff>133350</xdr:rowOff>
    </xdr:to>
    <xdr:sp macro="" textlink="">
      <xdr:nvSpPr>
        <xdr:cNvPr id="5158" name="122">
          <a:extLst>
            <a:ext uri="{FF2B5EF4-FFF2-40B4-BE49-F238E27FC236}">
              <a16:creationId xmlns:a16="http://schemas.microsoft.com/office/drawing/2014/main" id="{86B9CF30-07C7-5C0E-95F2-9031C06663F7}"/>
            </a:ext>
          </a:extLst>
        </xdr:cNvPr>
        <xdr:cNvSpPr/>
      </xdr:nvSpPr>
      <xdr:spPr>
        <a:xfrm>
          <a:off x="17193986" y="19278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125</xdr:row>
      <xdr:rowOff>76200</xdr:rowOff>
    </xdr:from>
    <xdr:to>
      <xdr:col>60</xdr:col>
      <xdr:colOff>20411</xdr:colOff>
      <xdr:row>125</xdr:row>
      <xdr:rowOff>76200</xdr:rowOff>
    </xdr:to>
    <xdr:cxnSp macro="">
      <xdr:nvCxnSpPr>
        <xdr:cNvPr id="5159" name="직선 화살표 연결선 5158">
          <a:extLst>
            <a:ext uri="{FF2B5EF4-FFF2-40B4-BE49-F238E27FC236}">
              <a16:creationId xmlns:a16="http://schemas.microsoft.com/office/drawing/2014/main" id="{9DBEFB96-3992-7061-9C78-506497D72FF7}"/>
            </a:ext>
          </a:extLst>
        </xdr:cNvPr>
        <xdr:cNvCxnSpPr/>
      </xdr:nvCxnSpPr>
      <xdr:spPr>
        <a:xfrm>
          <a:off x="17193986" y="1933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124</xdr:row>
      <xdr:rowOff>19050</xdr:rowOff>
    </xdr:from>
    <xdr:to>
      <xdr:col>79</xdr:col>
      <xdr:colOff>123734</xdr:colOff>
      <xdr:row>124</xdr:row>
      <xdr:rowOff>133350</xdr:rowOff>
    </xdr:to>
    <xdr:sp macro="" textlink="">
      <xdr:nvSpPr>
        <xdr:cNvPr id="5160" name="121">
          <a:extLst>
            <a:ext uri="{FF2B5EF4-FFF2-40B4-BE49-F238E27FC236}">
              <a16:creationId xmlns:a16="http://schemas.microsoft.com/office/drawing/2014/main" id="{3BACB825-1DA9-706B-A8D8-411E010153B4}"/>
            </a:ext>
          </a:extLst>
        </xdr:cNvPr>
        <xdr:cNvSpPr/>
      </xdr:nvSpPr>
      <xdr:spPr>
        <a:xfrm>
          <a:off x="17193986" y="19126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124</xdr:row>
      <xdr:rowOff>76200</xdr:rowOff>
    </xdr:from>
    <xdr:to>
      <xdr:col>60</xdr:col>
      <xdr:colOff>20411</xdr:colOff>
      <xdr:row>124</xdr:row>
      <xdr:rowOff>76200</xdr:rowOff>
    </xdr:to>
    <xdr:cxnSp macro="">
      <xdr:nvCxnSpPr>
        <xdr:cNvPr id="5161" name="직선 화살표 연결선 5160">
          <a:extLst>
            <a:ext uri="{FF2B5EF4-FFF2-40B4-BE49-F238E27FC236}">
              <a16:creationId xmlns:a16="http://schemas.microsoft.com/office/drawing/2014/main" id="{80B478E4-3441-39AE-49A3-D45DBA2E83FC}"/>
            </a:ext>
          </a:extLst>
        </xdr:cNvPr>
        <xdr:cNvCxnSpPr/>
      </xdr:nvCxnSpPr>
      <xdr:spPr>
        <a:xfrm>
          <a:off x="17193986" y="1918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123</xdr:row>
      <xdr:rowOff>19050</xdr:rowOff>
    </xdr:from>
    <xdr:to>
      <xdr:col>79</xdr:col>
      <xdr:colOff>123734</xdr:colOff>
      <xdr:row>123</xdr:row>
      <xdr:rowOff>133350</xdr:rowOff>
    </xdr:to>
    <xdr:sp macro="" textlink="">
      <xdr:nvSpPr>
        <xdr:cNvPr id="5162" name="120">
          <a:extLst>
            <a:ext uri="{FF2B5EF4-FFF2-40B4-BE49-F238E27FC236}">
              <a16:creationId xmlns:a16="http://schemas.microsoft.com/office/drawing/2014/main" id="{106A6EBD-6BC0-C450-61A8-5E7F2DD51A2A}"/>
            </a:ext>
          </a:extLst>
        </xdr:cNvPr>
        <xdr:cNvSpPr/>
      </xdr:nvSpPr>
      <xdr:spPr>
        <a:xfrm>
          <a:off x="17336861" y="189738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123</xdr:row>
      <xdr:rowOff>76200</xdr:rowOff>
    </xdr:from>
    <xdr:to>
      <xdr:col>61</xdr:col>
      <xdr:colOff>20411</xdr:colOff>
      <xdr:row>123</xdr:row>
      <xdr:rowOff>76200</xdr:rowOff>
    </xdr:to>
    <xdr:cxnSp macro="">
      <xdr:nvCxnSpPr>
        <xdr:cNvPr id="5163" name="직선 화살표 연결선 5162">
          <a:extLst>
            <a:ext uri="{FF2B5EF4-FFF2-40B4-BE49-F238E27FC236}">
              <a16:creationId xmlns:a16="http://schemas.microsoft.com/office/drawing/2014/main" id="{6D90506E-33AC-A322-C42B-9F383240CF32}"/>
            </a:ext>
          </a:extLst>
        </xdr:cNvPr>
        <xdr:cNvCxnSpPr/>
      </xdr:nvCxnSpPr>
      <xdr:spPr>
        <a:xfrm>
          <a:off x="17336861" y="1903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81643</xdr:colOff>
      <xdr:row>122</xdr:row>
      <xdr:rowOff>19050</xdr:rowOff>
    </xdr:from>
    <xdr:to>
      <xdr:col>79</xdr:col>
      <xdr:colOff>123734</xdr:colOff>
      <xdr:row>122</xdr:row>
      <xdr:rowOff>133350</xdr:rowOff>
    </xdr:to>
    <xdr:sp macro="" textlink="">
      <xdr:nvSpPr>
        <xdr:cNvPr id="5164" name="119">
          <a:extLst>
            <a:ext uri="{FF2B5EF4-FFF2-40B4-BE49-F238E27FC236}">
              <a16:creationId xmlns:a16="http://schemas.microsoft.com/office/drawing/2014/main" id="{99033332-88AD-6B55-3BE1-8F8C6B43CFC7}"/>
            </a:ext>
          </a:extLst>
        </xdr:cNvPr>
        <xdr:cNvSpPr/>
      </xdr:nvSpPr>
      <xdr:spPr>
        <a:xfrm>
          <a:off x="19398343" y="18821400"/>
          <a:ext cx="6135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81643</xdr:colOff>
      <xdr:row>122</xdr:row>
      <xdr:rowOff>76200</xdr:rowOff>
    </xdr:from>
    <xdr:to>
      <xdr:col>75</xdr:col>
      <xdr:colOff>81643</xdr:colOff>
      <xdr:row>122</xdr:row>
      <xdr:rowOff>76200</xdr:rowOff>
    </xdr:to>
    <xdr:cxnSp macro="">
      <xdr:nvCxnSpPr>
        <xdr:cNvPr id="5165" name="직선 화살표 연결선 5164">
          <a:extLst>
            <a:ext uri="{FF2B5EF4-FFF2-40B4-BE49-F238E27FC236}">
              <a16:creationId xmlns:a16="http://schemas.microsoft.com/office/drawing/2014/main" id="{AA77A779-12E8-02F7-987C-A487DA061311}"/>
            </a:ext>
          </a:extLst>
        </xdr:cNvPr>
        <xdr:cNvCxnSpPr/>
      </xdr:nvCxnSpPr>
      <xdr:spPr>
        <a:xfrm>
          <a:off x="19398343" y="1887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81643</xdr:colOff>
      <xdr:row>121</xdr:row>
      <xdr:rowOff>19050</xdr:rowOff>
    </xdr:from>
    <xdr:to>
      <xdr:col>75</xdr:col>
      <xdr:colOff>82913</xdr:colOff>
      <xdr:row>121</xdr:row>
      <xdr:rowOff>133350</xdr:rowOff>
    </xdr:to>
    <xdr:sp macro="" textlink="">
      <xdr:nvSpPr>
        <xdr:cNvPr id="5166" name="118">
          <a:extLst>
            <a:ext uri="{FF2B5EF4-FFF2-40B4-BE49-F238E27FC236}">
              <a16:creationId xmlns:a16="http://schemas.microsoft.com/office/drawing/2014/main" id="{D1489B9A-11AC-ED4D-3A76-8FB4B568E934}"/>
            </a:ext>
          </a:extLst>
        </xdr:cNvPr>
        <xdr:cNvSpPr/>
      </xdr:nvSpPr>
      <xdr:spPr>
        <a:xfrm>
          <a:off x="18683968" y="18669000"/>
          <a:ext cx="71564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81643</xdr:colOff>
      <xdr:row>121</xdr:row>
      <xdr:rowOff>76200</xdr:rowOff>
    </xdr:from>
    <xdr:to>
      <xdr:col>70</xdr:col>
      <xdr:colOff>81643</xdr:colOff>
      <xdr:row>121</xdr:row>
      <xdr:rowOff>76200</xdr:rowOff>
    </xdr:to>
    <xdr:cxnSp macro="">
      <xdr:nvCxnSpPr>
        <xdr:cNvPr id="5167" name="직선 화살표 연결선 5166">
          <a:extLst>
            <a:ext uri="{FF2B5EF4-FFF2-40B4-BE49-F238E27FC236}">
              <a16:creationId xmlns:a16="http://schemas.microsoft.com/office/drawing/2014/main" id="{AD2AF05C-CCDA-3F3D-E661-5F41514B6DC6}"/>
            </a:ext>
          </a:extLst>
        </xdr:cNvPr>
        <xdr:cNvCxnSpPr/>
      </xdr:nvCxnSpPr>
      <xdr:spPr>
        <a:xfrm>
          <a:off x="18683968" y="1872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120</xdr:row>
      <xdr:rowOff>19050</xdr:rowOff>
    </xdr:from>
    <xdr:to>
      <xdr:col>70</xdr:col>
      <xdr:colOff>82913</xdr:colOff>
      <xdr:row>120</xdr:row>
      <xdr:rowOff>133350</xdr:rowOff>
    </xdr:to>
    <xdr:sp macro="" textlink="">
      <xdr:nvSpPr>
        <xdr:cNvPr id="5168" name="117">
          <a:extLst>
            <a:ext uri="{FF2B5EF4-FFF2-40B4-BE49-F238E27FC236}">
              <a16:creationId xmlns:a16="http://schemas.microsoft.com/office/drawing/2014/main" id="{B48D0F19-683A-74D3-AFAA-CE9A13DC37A6}"/>
            </a:ext>
          </a:extLst>
        </xdr:cNvPr>
        <xdr:cNvSpPr/>
      </xdr:nvSpPr>
      <xdr:spPr>
        <a:xfrm>
          <a:off x="18092057" y="18516600"/>
          <a:ext cx="5931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120</xdr:row>
      <xdr:rowOff>76200</xdr:rowOff>
    </xdr:from>
    <xdr:to>
      <xdr:col>66</xdr:col>
      <xdr:colOff>61232</xdr:colOff>
      <xdr:row>120</xdr:row>
      <xdr:rowOff>76200</xdr:rowOff>
    </xdr:to>
    <xdr:cxnSp macro="">
      <xdr:nvCxnSpPr>
        <xdr:cNvPr id="5169" name="직선 화살표 연결선 5168">
          <a:extLst>
            <a:ext uri="{FF2B5EF4-FFF2-40B4-BE49-F238E27FC236}">
              <a16:creationId xmlns:a16="http://schemas.microsoft.com/office/drawing/2014/main" id="{980ACAC8-DBC8-2ECA-6E6F-7EDEBFB9AA89}"/>
            </a:ext>
          </a:extLst>
        </xdr:cNvPr>
        <xdr:cNvCxnSpPr/>
      </xdr:nvCxnSpPr>
      <xdr:spPr>
        <a:xfrm>
          <a:off x="18092057" y="1857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119</xdr:row>
      <xdr:rowOff>19050</xdr:rowOff>
    </xdr:from>
    <xdr:to>
      <xdr:col>66</xdr:col>
      <xdr:colOff>62502</xdr:colOff>
      <xdr:row>119</xdr:row>
      <xdr:rowOff>133350</xdr:rowOff>
    </xdr:to>
    <xdr:sp macro="" textlink="">
      <xdr:nvSpPr>
        <xdr:cNvPr id="5170" name="116">
          <a:extLst>
            <a:ext uri="{FF2B5EF4-FFF2-40B4-BE49-F238E27FC236}">
              <a16:creationId xmlns:a16="http://schemas.microsoft.com/office/drawing/2014/main" id="{18AD0656-84B2-018D-1AE8-896E6ABF3B65}"/>
            </a:ext>
          </a:extLst>
        </xdr:cNvPr>
        <xdr:cNvSpPr/>
      </xdr:nvSpPr>
      <xdr:spPr>
        <a:xfrm>
          <a:off x="17193986" y="18364200"/>
          <a:ext cx="89934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119</xdr:row>
      <xdr:rowOff>76200</xdr:rowOff>
    </xdr:from>
    <xdr:to>
      <xdr:col>60</xdr:col>
      <xdr:colOff>20411</xdr:colOff>
      <xdr:row>119</xdr:row>
      <xdr:rowOff>76200</xdr:rowOff>
    </xdr:to>
    <xdr:cxnSp macro="">
      <xdr:nvCxnSpPr>
        <xdr:cNvPr id="5171" name="직선 화살표 연결선 5170">
          <a:extLst>
            <a:ext uri="{FF2B5EF4-FFF2-40B4-BE49-F238E27FC236}">
              <a16:creationId xmlns:a16="http://schemas.microsoft.com/office/drawing/2014/main" id="{5E4B6B88-177A-8A0C-9C29-EA9EBB187BDD}"/>
            </a:ext>
          </a:extLst>
        </xdr:cNvPr>
        <xdr:cNvCxnSpPr/>
      </xdr:nvCxnSpPr>
      <xdr:spPr>
        <a:xfrm>
          <a:off x="17193986" y="1842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118</xdr:row>
      <xdr:rowOff>19050</xdr:rowOff>
    </xdr:from>
    <xdr:to>
      <xdr:col>79</xdr:col>
      <xdr:colOff>123734</xdr:colOff>
      <xdr:row>118</xdr:row>
      <xdr:rowOff>133350</xdr:rowOff>
    </xdr:to>
    <xdr:sp macro="" textlink="">
      <xdr:nvSpPr>
        <xdr:cNvPr id="5172" name="115">
          <a:extLst>
            <a:ext uri="{FF2B5EF4-FFF2-40B4-BE49-F238E27FC236}">
              <a16:creationId xmlns:a16="http://schemas.microsoft.com/office/drawing/2014/main" id="{083BD626-F79D-E743-D16B-39F4F1650AA5}"/>
            </a:ext>
          </a:extLst>
        </xdr:cNvPr>
        <xdr:cNvSpPr/>
      </xdr:nvSpPr>
      <xdr:spPr>
        <a:xfrm>
          <a:off x="17193986" y="182118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118</xdr:row>
      <xdr:rowOff>76200</xdr:rowOff>
    </xdr:from>
    <xdr:to>
      <xdr:col>60</xdr:col>
      <xdr:colOff>20411</xdr:colOff>
      <xdr:row>118</xdr:row>
      <xdr:rowOff>76200</xdr:rowOff>
    </xdr:to>
    <xdr:cxnSp macro="">
      <xdr:nvCxnSpPr>
        <xdr:cNvPr id="5173" name="직선 화살표 연결선 5172">
          <a:extLst>
            <a:ext uri="{FF2B5EF4-FFF2-40B4-BE49-F238E27FC236}">
              <a16:creationId xmlns:a16="http://schemas.microsoft.com/office/drawing/2014/main" id="{60EED485-51BA-36B8-1250-65445D6EAA56}"/>
            </a:ext>
          </a:extLst>
        </xdr:cNvPr>
        <xdr:cNvCxnSpPr/>
      </xdr:nvCxnSpPr>
      <xdr:spPr>
        <a:xfrm>
          <a:off x="17193986" y="1826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117</xdr:row>
      <xdr:rowOff>19050</xdr:rowOff>
    </xdr:from>
    <xdr:to>
      <xdr:col>79</xdr:col>
      <xdr:colOff>123734</xdr:colOff>
      <xdr:row>117</xdr:row>
      <xdr:rowOff>133350</xdr:rowOff>
    </xdr:to>
    <xdr:sp macro="" textlink="">
      <xdr:nvSpPr>
        <xdr:cNvPr id="5174" name="114">
          <a:extLst>
            <a:ext uri="{FF2B5EF4-FFF2-40B4-BE49-F238E27FC236}">
              <a16:creationId xmlns:a16="http://schemas.microsoft.com/office/drawing/2014/main" id="{8B61425E-E3BD-982C-A890-4BC2512F4AEF}"/>
            </a:ext>
          </a:extLst>
        </xdr:cNvPr>
        <xdr:cNvSpPr/>
      </xdr:nvSpPr>
      <xdr:spPr>
        <a:xfrm>
          <a:off x="17193986" y="18059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117</xdr:row>
      <xdr:rowOff>76200</xdr:rowOff>
    </xdr:from>
    <xdr:to>
      <xdr:col>60</xdr:col>
      <xdr:colOff>20411</xdr:colOff>
      <xdr:row>117</xdr:row>
      <xdr:rowOff>76200</xdr:rowOff>
    </xdr:to>
    <xdr:cxnSp macro="">
      <xdr:nvCxnSpPr>
        <xdr:cNvPr id="5175" name="직선 화살표 연결선 5174">
          <a:extLst>
            <a:ext uri="{FF2B5EF4-FFF2-40B4-BE49-F238E27FC236}">
              <a16:creationId xmlns:a16="http://schemas.microsoft.com/office/drawing/2014/main" id="{FDD6C59B-B5C7-AF8C-330B-EAA48CBFA163}"/>
            </a:ext>
          </a:extLst>
        </xdr:cNvPr>
        <xdr:cNvCxnSpPr/>
      </xdr:nvCxnSpPr>
      <xdr:spPr>
        <a:xfrm>
          <a:off x="17193986" y="1811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116</xdr:row>
      <xdr:rowOff>19050</xdr:rowOff>
    </xdr:from>
    <xdr:to>
      <xdr:col>79</xdr:col>
      <xdr:colOff>123734</xdr:colOff>
      <xdr:row>116</xdr:row>
      <xdr:rowOff>133350</xdr:rowOff>
    </xdr:to>
    <xdr:sp macro="" textlink="">
      <xdr:nvSpPr>
        <xdr:cNvPr id="5176" name="113">
          <a:extLst>
            <a:ext uri="{FF2B5EF4-FFF2-40B4-BE49-F238E27FC236}">
              <a16:creationId xmlns:a16="http://schemas.microsoft.com/office/drawing/2014/main" id="{50E15958-240A-E6F4-0F63-A1F4090AFC7F}"/>
            </a:ext>
          </a:extLst>
        </xdr:cNvPr>
        <xdr:cNvSpPr/>
      </xdr:nvSpPr>
      <xdr:spPr>
        <a:xfrm>
          <a:off x="17336861" y="179070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116</xdr:row>
      <xdr:rowOff>76200</xdr:rowOff>
    </xdr:from>
    <xdr:to>
      <xdr:col>61</xdr:col>
      <xdr:colOff>20411</xdr:colOff>
      <xdr:row>116</xdr:row>
      <xdr:rowOff>76200</xdr:rowOff>
    </xdr:to>
    <xdr:cxnSp macro="">
      <xdr:nvCxnSpPr>
        <xdr:cNvPr id="5177" name="직선 화살표 연결선 5176">
          <a:extLst>
            <a:ext uri="{FF2B5EF4-FFF2-40B4-BE49-F238E27FC236}">
              <a16:creationId xmlns:a16="http://schemas.microsoft.com/office/drawing/2014/main" id="{A524F1B8-F7BC-77FC-2514-599BA912C4D6}"/>
            </a:ext>
          </a:extLst>
        </xdr:cNvPr>
        <xdr:cNvCxnSpPr/>
      </xdr:nvCxnSpPr>
      <xdr:spPr>
        <a:xfrm>
          <a:off x="17336861" y="1796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40821</xdr:colOff>
      <xdr:row>115</xdr:row>
      <xdr:rowOff>19050</xdr:rowOff>
    </xdr:from>
    <xdr:to>
      <xdr:col>79</xdr:col>
      <xdr:colOff>123734</xdr:colOff>
      <xdr:row>115</xdr:row>
      <xdr:rowOff>133350</xdr:rowOff>
    </xdr:to>
    <xdr:sp macro="" textlink="">
      <xdr:nvSpPr>
        <xdr:cNvPr id="5178" name="112">
          <a:extLst>
            <a:ext uri="{FF2B5EF4-FFF2-40B4-BE49-F238E27FC236}">
              <a16:creationId xmlns:a16="http://schemas.microsoft.com/office/drawing/2014/main" id="{08F931EB-517F-6BC1-5036-50E233BFA210}"/>
            </a:ext>
          </a:extLst>
        </xdr:cNvPr>
        <xdr:cNvSpPr/>
      </xdr:nvSpPr>
      <xdr:spPr>
        <a:xfrm>
          <a:off x="18643146" y="17754600"/>
          <a:ext cx="1368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40821</xdr:colOff>
      <xdr:row>115</xdr:row>
      <xdr:rowOff>76200</xdr:rowOff>
    </xdr:from>
    <xdr:to>
      <xdr:col>70</xdr:col>
      <xdr:colOff>40821</xdr:colOff>
      <xdr:row>115</xdr:row>
      <xdr:rowOff>76200</xdr:rowOff>
    </xdr:to>
    <xdr:cxnSp macro="">
      <xdr:nvCxnSpPr>
        <xdr:cNvPr id="5179" name="직선 화살표 연결선 5178">
          <a:extLst>
            <a:ext uri="{FF2B5EF4-FFF2-40B4-BE49-F238E27FC236}">
              <a16:creationId xmlns:a16="http://schemas.microsoft.com/office/drawing/2014/main" id="{0E65BFF0-E93F-D799-E0AC-A823BE8BF46E}"/>
            </a:ext>
          </a:extLst>
        </xdr:cNvPr>
        <xdr:cNvCxnSpPr/>
      </xdr:nvCxnSpPr>
      <xdr:spPr>
        <a:xfrm>
          <a:off x="18643146" y="1781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114</xdr:row>
      <xdr:rowOff>19050</xdr:rowOff>
    </xdr:from>
    <xdr:to>
      <xdr:col>70</xdr:col>
      <xdr:colOff>42090</xdr:colOff>
      <xdr:row>114</xdr:row>
      <xdr:rowOff>133350</xdr:rowOff>
    </xdr:to>
    <xdr:sp macro="" textlink="">
      <xdr:nvSpPr>
        <xdr:cNvPr id="5180" name="111">
          <a:extLst>
            <a:ext uri="{FF2B5EF4-FFF2-40B4-BE49-F238E27FC236}">
              <a16:creationId xmlns:a16="http://schemas.microsoft.com/office/drawing/2014/main" id="{D6AD3D44-E18D-1A5E-74AC-BDE5A9DA73E4}"/>
            </a:ext>
          </a:extLst>
        </xdr:cNvPr>
        <xdr:cNvSpPr/>
      </xdr:nvSpPr>
      <xdr:spPr>
        <a:xfrm>
          <a:off x="17193986" y="17602200"/>
          <a:ext cx="145042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114</xdr:row>
      <xdr:rowOff>76200</xdr:rowOff>
    </xdr:from>
    <xdr:to>
      <xdr:col>60</xdr:col>
      <xdr:colOff>20411</xdr:colOff>
      <xdr:row>114</xdr:row>
      <xdr:rowOff>76200</xdr:rowOff>
    </xdr:to>
    <xdr:cxnSp macro="">
      <xdr:nvCxnSpPr>
        <xdr:cNvPr id="5181" name="직선 화살표 연결선 5180">
          <a:extLst>
            <a:ext uri="{FF2B5EF4-FFF2-40B4-BE49-F238E27FC236}">
              <a16:creationId xmlns:a16="http://schemas.microsoft.com/office/drawing/2014/main" id="{2EC9E47D-DB4F-ED4E-6ADA-28015D5120E0}"/>
            </a:ext>
          </a:extLst>
        </xdr:cNvPr>
        <xdr:cNvCxnSpPr/>
      </xdr:nvCxnSpPr>
      <xdr:spPr>
        <a:xfrm>
          <a:off x="17193986" y="1765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113</xdr:row>
      <xdr:rowOff>19050</xdr:rowOff>
    </xdr:from>
    <xdr:to>
      <xdr:col>79</xdr:col>
      <xdr:colOff>123734</xdr:colOff>
      <xdr:row>113</xdr:row>
      <xdr:rowOff>133350</xdr:rowOff>
    </xdr:to>
    <xdr:sp macro="" textlink="">
      <xdr:nvSpPr>
        <xdr:cNvPr id="5182" name="110">
          <a:extLst>
            <a:ext uri="{FF2B5EF4-FFF2-40B4-BE49-F238E27FC236}">
              <a16:creationId xmlns:a16="http://schemas.microsoft.com/office/drawing/2014/main" id="{F8226445-CB79-6B9C-3580-9883D7266412}"/>
            </a:ext>
          </a:extLst>
        </xdr:cNvPr>
        <xdr:cNvSpPr/>
      </xdr:nvSpPr>
      <xdr:spPr>
        <a:xfrm>
          <a:off x="17193986" y="174498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113</xdr:row>
      <xdr:rowOff>76200</xdr:rowOff>
    </xdr:from>
    <xdr:to>
      <xdr:col>60</xdr:col>
      <xdr:colOff>20411</xdr:colOff>
      <xdr:row>113</xdr:row>
      <xdr:rowOff>76200</xdr:rowOff>
    </xdr:to>
    <xdr:cxnSp macro="">
      <xdr:nvCxnSpPr>
        <xdr:cNvPr id="5183" name="직선 화살표 연결선 5182">
          <a:extLst>
            <a:ext uri="{FF2B5EF4-FFF2-40B4-BE49-F238E27FC236}">
              <a16:creationId xmlns:a16="http://schemas.microsoft.com/office/drawing/2014/main" id="{7A118056-9290-5E3A-C73A-A9D25AA363D6}"/>
            </a:ext>
          </a:extLst>
        </xdr:cNvPr>
        <xdr:cNvCxnSpPr/>
      </xdr:nvCxnSpPr>
      <xdr:spPr>
        <a:xfrm>
          <a:off x="17193986" y="1750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112</xdr:row>
      <xdr:rowOff>19050</xdr:rowOff>
    </xdr:from>
    <xdr:to>
      <xdr:col>79</xdr:col>
      <xdr:colOff>123734</xdr:colOff>
      <xdr:row>112</xdr:row>
      <xdr:rowOff>133350</xdr:rowOff>
    </xdr:to>
    <xdr:sp macro="" textlink="">
      <xdr:nvSpPr>
        <xdr:cNvPr id="5184" name="109">
          <a:extLst>
            <a:ext uri="{FF2B5EF4-FFF2-40B4-BE49-F238E27FC236}">
              <a16:creationId xmlns:a16="http://schemas.microsoft.com/office/drawing/2014/main" id="{0A5DAB53-ACF0-E821-BFAA-154ACCDB87D2}"/>
            </a:ext>
          </a:extLst>
        </xdr:cNvPr>
        <xdr:cNvSpPr/>
      </xdr:nvSpPr>
      <xdr:spPr>
        <a:xfrm>
          <a:off x="17193986" y="17297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112</xdr:row>
      <xdr:rowOff>76200</xdr:rowOff>
    </xdr:from>
    <xdr:to>
      <xdr:col>60</xdr:col>
      <xdr:colOff>20411</xdr:colOff>
      <xdr:row>112</xdr:row>
      <xdr:rowOff>76200</xdr:rowOff>
    </xdr:to>
    <xdr:cxnSp macro="">
      <xdr:nvCxnSpPr>
        <xdr:cNvPr id="5185" name="직선 화살표 연결선 5184">
          <a:extLst>
            <a:ext uri="{FF2B5EF4-FFF2-40B4-BE49-F238E27FC236}">
              <a16:creationId xmlns:a16="http://schemas.microsoft.com/office/drawing/2014/main" id="{D51364BA-262F-9FAF-8573-EC46792F1CA2}"/>
            </a:ext>
          </a:extLst>
        </xdr:cNvPr>
        <xdr:cNvCxnSpPr/>
      </xdr:nvCxnSpPr>
      <xdr:spPr>
        <a:xfrm>
          <a:off x="17193986" y="1735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111</xdr:row>
      <xdr:rowOff>19050</xdr:rowOff>
    </xdr:from>
    <xdr:to>
      <xdr:col>79</xdr:col>
      <xdr:colOff>123734</xdr:colOff>
      <xdr:row>111</xdr:row>
      <xdr:rowOff>133350</xdr:rowOff>
    </xdr:to>
    <xdr:sp macro="" textlink="">
      <xdr:nvSpPr>
        <xdr:cNvPr id="5186" name="108">
          <a:extLst>
            <a:ext uri="{FF2B5EF4-FFF2-40B4-BE49-F238E27FC236}">
              <a16:creationId xmlns:a16="http://schemas.microsoft.com/office/drawing/2014/main" id="{A1DE8748-B0AD-F43D-F695-480003A2A340}"/>
            </a:ext>
          </a:extLst>
        </xdr:cNvPr>
        <xdr:cNvSpPr/>
      </xdr:nvSpPr>
      <xdr:spPr>
        <a:xfrm>
          <a:off x="17193986" y="171450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111</xdr:row>
      <xdr:rowOff>76200</xdr:rowOff>
    </xdr:from>
    <xdr:to>
      <xdr:col>60</xdr:col>
      <xdr:colOff>20411</xdr:colOff>
      <xdr:row>111</xdr:row>
      <xdr:rowOff>76200</xdr:rowOff>
    </xdr:to>
    <xdr:cxnSp macro="">
      <xdr:nvCxnSpPr>
        <xdr:cNvPr id="5187" name="직선 화살표 연결선 5186">
          <a:extLst>
            <a:ext uri="{FF2B5EF4-FFF2-40B4-BE49-F238E27FC236}">
              <a16:creationId xmlns:a16="http://schemas.microsoft.com/office/drawing/2014/main" id="{C6D8E29F-1991-D0AA-6DA5-9C54DD9437CC}"/>
            </a:ext>
          </a:extLst>
        </xdr:cNvPr>
        <xdr:cNvCxnSpPr/>
      </xdr:nvCxnSpPr>
      <xdr:spPr>
        <a:xfrm>
          <a:off x="17193986" y="1720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110</xdr:row>
      <xdr:rowOff>19050</xdr:rowOff>
    </xdr:from>
    <xdr:to>
      <xdr:col>79</xdr:col>
      <xdr:colOff>123734</xdr:colOff>
      <xdr:row>110</xdr:row>
      <xdr:rowOff>133350</xdr:rowOff>
    </xdr:to>
    <xdr:sp macro="" textlink="">
      <xdr:nvSpPr>
        <xdr:cNvPr id="5188" name="107">
          <a:extLst>
            <a:ext uri="{FF2B5EF4-FFF2-40B4-BE49-F238E27FC236}">
              <a16:creationId xmlns:a16="http://schemas.microsoft.com/office/drawing/2014/main" id="{6AD05651-9F88-503F-BFBB-F615C875F2BD}"/>
            </a:ext>
          </a:extLst>
        </xdr:cNvPr>
        <xdr:cNvSpPr/>
      </xdr:nvSpPr>
      <xdr:spPr>
        <a:xfrm>
          <a:off x="17193986" y="16992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110</xdr:row>
      <xdr:rowOff>76200</xdr:rowOff>
    </xdr:from>
    <xdr:to>
      <xdr:col>60</xdr:col>
      <xdr:colOff>20411</xdr:colOff>
      <xdr:row>110</xdr:row>
      <xdr:rowOff>76200</xdr:rowOff>
    </xdr:to>
    <xdr:cxnSp macro="">
      <xdr:nvCxnSpPr>
        <xdr:cNvPr id="5189" name="직선 화살표 연결선 5188">
          <a:extLst>
            <a:ext uri="{FF2B5EF4-FFF2-40B4-BE49-F238E27FC236}">
              <a16:creationId xmlns:a16="http://schemas.microsoft.com/office/drawing/2014/main" id="{76B88CA2-9BE8-C04D-5DDC-47BB2D8C7F59}"/>
            </a:ext>
          </a:extLst>
        </xdr:cNvPr>
        <xdr:cNvCxnSpPr/>
      </xdr:nvCxnSpPr>
      <xdr:spPr>
        <a:xfrm>
          <a:off x="17193986" y="1704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109</xdr:row>
      <xdr:rowOff>19050</xdr:rowOff>
    </xdr:from>
    <xdr:to>
      <xdr:col>79</xdr:col>
      <xdr:colOff>123734</xdr:colOff>
      <xdr:row>109</xdr:row>
      <xdr:rowOff>133350</xdr:rowOff>
    </xdr:to>
    <xdr:sp macro="" textlink="">
      <xdr:nvSpPr>
        <xdr:cNvPr id="5190" name="106">
          <a:extLst>
            <a:ext uri="{FF2B5EF4-FFF2-40B4-BE49-F238E27FC236}">
              <a16:creationId xmlns:a16="http://schemas.microsoft.com/office/drawing/2014/main" id="{8985B14C-5FF0-7209-9C4F-60C05F94BD3F}"/>
            </a:ext>
          </a:extLst>
        </xdr:cNvPr>
        <xdr:cNvSpPr/>
      </xdr:nvSpPr>
      <xdr:spPr>
        <a:xfrm>
          <a:off x="17193986" y="16840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109</xdr:row>
      <xdr:rowOff>76200</xdr:rowOff>
    </xdr:from>
    <xdr:to>
      <xdr:col>60</xdr:col>
      <xdr:colOff>20411</xdr:colOff>
      <xdr:row>109</xdr:row>
      <xdr:rowOff>76200</xdr:rowOff>
    </xdr:to>
    <xdr:cxnSp macro="">
      <xdr:nvCxnSpPr>
        <xdr:cNvPr id="5191" name="직선 화살표 연결선 5190">
          <a:extLst>
            <a:ext uri="{FF2B5EF4-FFF2-40B4-BE49-F238E27FC236}">
              <a16:creationId xmlns:a16="http://schemas.microsoft.com/office/drawing/2014/main" id="{8C8E5438-BEE8-4F32-253E-734608601216}"/>
            </a:ext>
          </a:extLst>
        </xdr:cNvPr>
        <xdr:cNvCxnSpPr/>
      </xdr:nvCxnSpPr>
      <xdr:spPr>
        <a:xfrm>
          <a:off x="17193986" y="1689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108</xdr:row>
      <xdr:rowOff>19050</xdr:rowOff>
    </xdr:from>
    <xdr:to>
      <xdr:col>79</xdr:col>
      <xdr:colOff>123734</xdr:colOff>
      <xdr:row>108</xdr:row>
      <xdr:rowOff>133350</xdr:rowOff>
    </xdr:to>
    <xdr:sp macro="" textlink="">
      <xdr:nvSpPr>
        <xdr:cNvPr id="5192" name="105">
          <a:extLst>
            <a:ext uri="{FF2B5EF4-FFF2-40B4-BE49-F238E27FC236}">
              <a16:creationId xmlns:a16="http://schemas.microsoft.com/office/drawing/2014/main" id="{BEF034EB-4EC0-4218-7381-7E5227507F4D}"/>
            </a:ext>
          </a:extLst>
        </xdr:cNvPr>
        <xdr:cNvSpPr/>
      </xdr:nvSpPr>
      <xdr:spPr>
        <a:xfrm>
          <a:off x="17193986" y="166878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108</xdr:row>
      <xdr:rowOff>76200</xdr:rowOff>
    </xdr:from>
    <xdr:to>
      <xdr:col>60</xdr:col>
      <xdr:colOff>20411</xdr:colOff>
      <xdr:row>108</xdr:row>
      <xdr:rowOff>76200</xdr:rowOff>
    </xdr:to>
    <xdr:cxnSp macro="">
      <xdr:nvCxnSpPr>
        <xdr:cNvPr id="5193" name="직선 화살표 연결선 5192">
          <a:extLst>
            <a:ext uri="{FF2B5EF4-FFF2-40B4-BE49-F238E27FC236}">
              <a16:creationId xmlns:a16="http://schemas.microsoft.com/office/drawing/2014/main" id="{CFB22C79-0891-F9CC-C57C-85123A3B26D6}"/>
            </a:ext>
          </a:extLst>
        </xdr:cNvPr>
        <xdr:cNvCxnSpPr/>
      </xdr:nvCxnSpPr>
      <xdr:spPr>
        <a:xfrm>
          <a:off x="17193986" y="1674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107</xdr:row>
      <xdr:rowOff>19050</xdr:rowOff>
    </xdr:from>
    <xdr:to>
      <xdr:col>45</xdr:col>
      <xdr:colOff>123734</xdr:colOff>
      <xdr:row>107</xdr:row>
      <xdr:rowOff>133350</xdr:rowOff>
    </xdr:to>
    <xdr:sp macro="" textlink="">
      <xdr:nvSpPr>
        <xdr:cNvPr id="5194" name="104">
          <a:extLst>
            <a:ext uri="{FF2B5EF4-FFF2-40B4-BE49-F238E27FC236}">
              <a16:creationId xmlns:a16="http://schemas.microsoft.com/office/drawing/2014/main" id="{EF2A162E-9EDC-4D20-D83F-6F3B0DF08755}"/>
            </a:ext>
          </a:extLst>
        </xdr:cNvPr>
        <xdr:cNvSpPr/>
      </xdr:nvSpPr>
      <xdr:spPr>
        <a:xfrm>
          <a:off x="15050861" y="1653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107</xdr:row>
      <xdr:rowOff>76200</xdr:rowOff>
    </xdr:from>
    <xdr:to>
      <xdr:col>45</xdr:col>
      <xdr:colOff>20411</xdr:colOff>
      <xdr:row>107</xdr:row>
      <xdr:rowOff>76200</xdr:rowOff>
    </xdr:to>
    <xdr:cxnSp macro="">
      <xdr:nvCxnSpPr>
        <xdr:cNvPr id="5195" name="직선 화살표 연결선 5194">
          <a:extLst>
            <a:ext uri="{FF2B5EF4-FFF2-40B4-BE49-F238E27FC236}">
              <a16:creationId xmlns:a16="http://schemas.microsoft.com/office/drawing/2014/main" id="{502D39E7-D53B-5601-8815-D81280F07F60}"/>
            </a:ext>
          </a:extLst>
        </xdr:cNvPr>
        <xdr:cNvCxnSpPr/>
      </xdr:nvCxnSpPr>
      <xdr:spPr>
        <a:xfrm>
          <a:off x="15050861" y="1659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106</xdr:row>
      <xdr:rowOff>19050</xdr:rowOff>
    </xdr:from>
    <xdr:to>
      <xdr:col>45</xdr:col>
      <xdr:colOff>123734</xdr:colOff>
      <xdr:row>106</xdr:row>
      <xdr:rowOff>133350</xdr:rowOff>
    </xdr:to>
    <xdr:sp macro="" textlink="">
      <xdr:nvSpPr>
        <xdr:cNvPr id="5196" name="103">
          <a:extLst>
            <a:ext uri="{FF2B5EF4-FFF2-40B4-BE49-F238E27FC236}">
              <a16:creationId xmlns:a16="http://schemas.microsoft.com/office/drawing/2014/main" id="{A9CEEC1D-44AF-5431-199D-51A5186FAA61}"/>
            </a:ext>
          </a:extLst>
        </xdr:cNvPr>
        <xdr:cNvSpPr/>
      </xdr:nvSpPr>
      <xdr:spPr>
        <a:xfrm>
          <a:off x="15050861" y="163830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106</xdr:row>
      <xdr:rowOff>76200</xdr:rowOff>
    </xdr:from>
    <xdr:to>
      <xdr:col>45</xdr:col>
      <xdr:colOff>20411</xdr:colOff>
      <xdr:row>106</xdr:row>
      <xdr:rowOff>76200</xdr:rowOff>
    </xdr:to>
    <xdr:cxnSp macro="">
      <xdr:nvCxnSpPr>
        <xdr:cNvPr id="5197" name="직선 화살표 연결선 5196">
          <a:extLst>
            <a:ext uri="{FF2B5EF4-FFF2-40B4-BE49-F238E27FC236}">
              <a16:creationId xmlns:a16="http://schemas.microsoft.com/office/drawing/2014/main" id="{BEF56CD5-092F-D898-E765-83F9A41EFF41}"/>
            </a:ext>
          </a:extLst>
        </xdr:cNvPr>
        <xdr:cNvCxnSpPr/>
      </xdr:nvCxnSpPr>
      <xdr:spPr>
        <a:xfrm>
          <a:off x="15050861" y="1644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105</xdr:row>
      <xdr:rowOff>19050</xdr:rowOff>
    </xdr:from>
    <xdr:to>
      <xdr:col>62</xdr:col>
      <xdr:colOff>123734</xdr:colOff>
      <xdr:row>105</xdr:row>
      <xdr:rowOff>133350</xdr:rowOff>
    </xdr:to>
    <xdr:sp macro="" textlink="">
      <xdr:nvSpPr>
        <xdr:cNvPr id="5198" name="102">
          <a:extLst>
            <a:ext uri="{FF2B5EF4-FFF2-40B4-BE49-F238E27FC236}">
              <a16:creationId xmlns:a16="http://schemas.microsoft.com/office/drawing/2014/main" id="{10B15501-65B9-2CC7-F1AE-3AFD47FE0E5B}"/>
            </a:ext>
          </a:extLst>
        </xdr:cNvPr>
        <xdr:cNvSpPr/>
      </xdr:nvSpPr>
      <xdr:spPr>
        <a:xfrm>
          <a:off x="17051111" y="162306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105</xdr:row>
      <xdr:rowOff>76200</xdr:rowOff>
    </xdr:from>
    <xdr:to>
      <xdr:col>59</xdr:col>
      <xdr:colOff>20411</xdr:colOff>
      <xdr:row>105</xdr:row>
      <xdr:rowOff>76200</xdr:rowOff>
    </xdr:to>
    <xdr:cxnSp macro="">
      <xdr:nvCxnSpPr>
        <xdr:cNvPr id="5199" name="직선 화살표 연결선 5198">
          <a:extLst>
            <a:ext uri="{FF2B5EF4-FFF2-40B4-BE49-F238E27FC236}">
              <a16:creationId xmlns:a16="http://schemas.microsoft.com/office/drawing/2014/main" id="{769240AC-880A-676C-5F96-6F3BD001CEFA}"/>
            </a:ext>
          </a:extLst>
        </xdr:cNvPr>
        <xdr:cNvCxnSpPr/>
      </xdr:nvCxnSpPr>
      <xdr:spPr>
        <a:xfrm>
          <a:off x="17051111" y="1628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20411</xdr:colOff>
      <xdr:row>104</xdr:row>
      <xdr:rowOff>19050</xdr:rowOff>
    </xdr:from>
    <xdr:to>
      <xdr:col>58</xdr:col>
      <xdr:colOff>123734</xdr:colOff>
      <xdr:row>104</xdr:row>
      <xdr:rowOff>133350</xdr:rowOff>
    </xdr:to>
    <xdr:sp macro="" textlink="">
      <xdr:nvSpPr>
        <xdr:cNvPr id="5200" name="101">
          <a:extLst>
            <a:ext uri="{FF2B5EF4-FFF2-40B4-BE49-F238E27FC236}">
              <a16:creationId xmlns:a16="http://schemas.microsoft.com/office/drawing/2014/main" id="{244D95DF-9205-169F-4013-F41460EC5A29}"/>
            </a:ext>
          </a:extLst>
        </xdr:cNvPr>
        <xdr:cNvSpPr/>
      </xdr:nvSpPr>
      <xdr:spPr>
        <a:xfrm>
          <a:off x="16908236" y="1607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20411</xdr:colOff>
      <xdr:row>104</xdr:row>
      <xdr:rowOff>76200</xdr:rowOff>
    </xdr:from>
    <xdr:to>
      <xdr:col>58</xdr:col>
      <xdr:colOff>20411</xdr:colOff>
      <xdr:row>104</xdr:row>
      <xdr:rowOff>76200</xdr:rowOff>
    </xdr:to>
    <xdr:cxnSp macro="">
      <xdr:nvCxnSpPr>
        <xdr:cNvPr id="5201" name="직선 화살표 연결선 5200">
          <a:extLst>
            <a:ext uri="{FF2B5EF4-FFF2-40B4-BE49-F238E27FC236}">
              <a16:creationId xmlns:a16="http://schemas.microsoft.com/office/drawing/2014/main" id="{D1BF0BC3-75B8-0EAA-66CE-79A7693EDB1B}"/>
            </a:ext>
          </a:extLst>
        </xdr:cNvPr>
        <xdr:cNvCxnSpPr/>
      </xdr:nvCxnSpPr>
      <xdr:spPr>
        <a:xfrm>
          <a:off x="16908236" y="1613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20411</xdr:colOff>
      <xdr:row>103</xdr:row>
      <xdr:rowOff>19050</xdr:rowOff>
    </xdr:from>
    <xdr:to>
      <xdr:col>62</xdr:col>
      <xdr:colOff>123734</xdr:colOff>
      <xdr:row>103</xdr:row>
      <xdr:rowOff>133350</xdr:rowOff>
    </xdr:to>
    <xdr:sp macro="" textlink="">
      <xdr:nvSpPr>
        <xdr:cNvPr id="5202" name="100">
          <a:extLst>
            <a:ext uri="{FF2B5EF4-FFF2-40B4-BE49-F238E27FC236}">
              <a16:creationId xmlns:a16="http://schemas.microsoft.com/office/drawing/2014/main" id="{A2F5C7EB-58EB-62FC-F1D3-D74D4C690562}"/>
            </a:ext>
          </a:extLst>
        </xdr:cNvPr>
        <xdr:cNvSpPr/>
      </xdr:nvSpPr>
      <xdr:spPr>
        <a:xfrm>
          <a:off x="16908236" y="159258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20411</xdr:colOff>
      <xdr:row>103</xdr:row>
      <xdr:rowOff>76200</xdr:rowOff>
    </xdr:from>
    <xdr:to>
      <xdr:col>58</xdr:col>
      <xdr:colOff>20411</xdr:colOff>
      <xdr:row>103</xdr:row>
      <xdr:rowOff>76200</xdr:rowOff>
    </xdr:to>
    <xdr:cxnSp macro="">
      <xdr:nvCxnSpPr>
        <xdr:cNvPr id="5203" name="직선 화살표 연결선 5202">
          <a:extLst>
            <a:ext uri="{FF2B5EF4-FFF2-40B4-BE49-F238E27FC236}">
              <a16:creationId xmlns:a16="http://schemas.microsoft.com/office/drawing/2014/main" id="{EA73C121-1CCA-0A2A-7373-5C8DFF466E53}"/>
            </a:ext>
          </a:extLst>
        </xdr:cNvPr>
        <xdr:cNvCxnSpPr/>
      </xdr:nvCxnSpPr>
      <xdr:spPr>
        <a:xfrm>
          <a:off x="16908236" y="1598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102</xdr:row>
      <xdr:rowOff>19050</xdr:rowOff>
    </xdr:from>
    <xdr:to>
      <xdr:col>56</xdr:col>
      <xdr:colOff>123734</xdr:colOff>
      <xdr:row>102</xdr:row>
      <xdr:rowOff>133350</xdr:rowOff>
    </xdr:to>
    <xdr:sp macro="" textlink="">
      <xdr:nvSpPr>
        <xdr:cNvPr id="5204" name="99">
          <a:extLst>
            <a:ext uri="{FF2B5EF4-FFF2-40B4-BE49-F238E27FC236}">
              <a16:creationId xmlns:a16="http://schemas.microsoft.com/office/drawing/2014/main" id="{50D65AC0-A938-0ACE-962F-2A05383B5EA6}"/>
            </a:ext>
          </a:extLst>
        </xdr:cNvPr>
        <xdr:cNvSpPr/>
      </xdr:nvSpPr>
      <xdr:spPr>
        <a:xfrm>
          <a:off x="16336736" y="157734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102</xdr:row>
      <xdr:rowOff>76200</xdr:rowOff>
    </xdr:from>
    <xdr:to>
      <xdr:col>54</xdr:col>
      <xdr:colOff>20411</xdr:colOff>
      <xdr:row>102</xdr:row>
      <xdr:rowOff>76200</xdr:rowOff>
    </xdr:to>
    <xdr:cxnSp macro="">
      <xdr:nvCxnSpPr>
        <xdr:cNvPr id="5205" name="직선 화살표 연결선 5204">
          <a:extLst>
            <a:ext uri="{FF2B5EF4-FFF2-40B4-BE49-F238E27FC236}">
              <a16:creationId xmlns:a16="http://schemas.microsoft.com/office/drawing/2014/main" id="{02539C77-D76F-EBB7-2844-0C3FD6A0435F}"/>
            </a:ext>
          </a:extLst>
        </xdr:cNvPr>
        <xdr:cNvCxnSpPr/>
      </xdr:nvCxnSpPr>
      <xdr:spPr>
        <a:xfrm>
          <a:off x="16336736" y="1583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40821</xdr:colOff>
      <xdr:row>101</xdr:row>
      <xdr:rowOff>19050</xdr:rowOff>
    </xdr:from>
    <xdr:to>
      <xdr:col>56</xdr:col>
      <xdr:colOff>123734</xdr:colOff>
      <xdr:row>101</xdr:row>
      <xdr:rowOff>133350</xdr:rowOff>
    </xdr:to>
    <xdr:sp macro="" textlink="">
      <xdr:nvSpPr>
        <xdr:cNvPr id="5206" name="98">
          <a:extLst>
            <a:ext uri="{FF2B5EF4-FFF2-40B4-BE49-F238E27FC236}">
              <a16:creationId xmlns:a16="http://schemas.microsoft.com/office/drawing/2014/main" id="{66B04F4A-BDE9-33F0-CD65-80A634B44F8E}"/>
            </a:ext>
          </a:extLst>
        </xdr:cNvPr>
        <xdr:cNvSpPr/>
      </xdr:nvSpPr>
      <xdr:spPr>
        <a:xfrm>
          <a:off x="16642896" y="15621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40821</xdr:colOff>
      <xdr:row>101</xdr:row>
      <xdr:rowOff>76200</xdr:rowOff>
    </xdr:from>
    <xdr:to>
      <xdr:col>56</xdr:col>
      <xdr:colOff>40821</xdr:colOff>
      <xdr:row>101</xdr:row>
      <xdr:rowOff>76200</xdr:rowOff>
    </xdr:to>
    <xdr:cxnSp macro="">
      <xdr:nvCxnSpPr>
        <xdr:cNvPr id="5207" name="직선 화살표 연결선 5206">
          <a:extLst>
            <a:ext uri="{FF2B5EF4-FFF2-40B4-BE49-F238E27FC236}">
              <a16:creationId xmlns:a16="http://schemas.microsoft.com/office/drawing/2014/main" id="{ACC95EC8-CD22-D898-29F8-F82461D082B0}"/>
            </a:ext>
          </a:extLst>
        </xdr:cNvPr>
        <xdr:cNvCxnSpPr/>
      </xdr:nvCxnSpPr>
      <xdr:spPr>
        <a:xfrm>
          <a:off x="16642896" y="1567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40821</xdr:colOff>
      <xdr:row>100</xdr:row>
      <xdr:rowOff>19050</xdr:rowOff>
    </xdr:from>
    <xdr:to>
      <xdr:col>56</xdr:col>
      <xdr:colOff>42090</xdr:colOff>
      <xdr:row>100</xdr:row>
      <xdr:rowOff>133350</xdr:rowOff>
    </xdr:to>
    <xdr:sp macro="" textlink="">
      <xdr:nvSpPr>
        <xdr:cNvPr id="5208" name="97">
          <a:extLst>
            <a:ext uri="{FF2B5EF4-FFF2-40B4-BE49-F238E27FC236}">
              <a16:creationId xmlns:a16="http://schemas.microsoft.com/office/drawing/2014/main" id="{FDBFE440-AB31-A266-456C-24E690698AFB}"/>
            </a:ext>
          </a:extLst>
        </xdr:cNvPr>
        <xdr:cNvSpPr/>
      </xdr:nvSpPr>
      <xdr:spPr>
        <a:xfrm>
          <a:off x="16500021" y="15468600"/>
          <a:ext cx="14414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40821</xdr:colOff>
      <xdr:row>100</xdr:row>
      <xdr:rowOff>76200</xdr:rowOff>
    </xdr:from>
    <xdr:to>
      <xdr:col>55</xdr:col>
      <xdr:colOff>40821</xdr:colOff>
      <xdr:row>100</xdr:row>
      <xdr:rowOff>76200</xdr:rowOff>
    </xdr:to>
    <xdr:cxnSp macro="">
      <xdr:nvCxnSpPr>
        <xdr:cNvPr id="5209" name="직선 화살표 연결선 5208">
          <a:extLst>
            <a:ext uri="{FF2B5EF4-FFF2-40B4-BE49-F238E27FC236}">
              <a16:creationId xmlns:a16="http://schemas.microsoft.com/office/drawing/2014/main" id="{C3F6E544-71CC-A0A3-0455-C818FCAF68ED}"/>
            </a:ext>
          </a:extLst>
        </xdr:cNvPr>
        <xdr:cNvCxnSpPr/>
      </xdr:nvCxnSpPr>
      <xdr:spPr>
        <a:xfrm>
          <a:off x="16500021" y="1552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99</xdr:row>
      <xdr:rowOff>19050</xdr:rowOff>
    </xdr:from>
    <xdr:to>
      <xdr:col>55</xdr:col>
      <xdr:colOff>42090</xdr:colOff>
      <xdr:row>99</xdr:row>
      <xdr:rowOff>133350</xdr:rowOff>
    </xdr:to>
    <xdr:sp macro="" textlink="">
      <xdr:nvSpPr>
        <xdr:cNvPr id="5210" name="96">
          <a:extLst>
            <a:ext uri="{FF2B5EF4-FFF2-40B4-BE49-F238E27FC236}">
              <a16:creationId xmlns:a16="http://schemas.microsoft.com/office/drawing/2014/main" id="{EE73F5A2-9163-D93D-A309-7C3586235C8A}"/>
            </a:ext>
          </a:extLst>
        </xdr:cNvPr>
        <xdr:cNvSpPr/>
      </xdr:nvSpPr>
      <xdr:spPr>
        <a:xfrm>
          <a:off x="16336736" y="15316200"/>
          <a:ext cx="16455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99</xdr:row>
      <xdr:rowOff>76200</xdr:rowOff>
    </xdr:from>
    <xdr:to>
      <xdr:col>54</xdr:col>
      <xdr:colOff>20411</xdr:colOff>
      <xdr:row>99</xdr:row>
      <xdr:rowOff>76200</xdr:rowOff>
    </xdr:to>
    <xdr:cxnSp macro="">
      <xdr:nvCxnSpPr>
        <xdr:cNvPr id="5211" name="직선 화살표 연결선 5210">
          <a:extLst>
            <a:ext uri="{FF2B5EF4-FFF2-40B4-BE49-F238E27FC236}">
              <a16:creationId xmlns:a16="http://schemas.microsoft.com/office/drawing/2014/main" id="{BAC2FA0A-0982-A31F-9777-362293039206}"/>
            </a:ext>
          </a:extLst>
        </xdr:cNvPr>
        <xdr:cNvCxnSpPr/>
      </xdr:nvCxnSpPr>
      <xdr:spPr>
        <a:xfrm>
          <a:off x="16336736" y="1537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98</xdr:row>
      <xdr:rowOff>19050</xdr:rowOff>
    </xdr:from>
    <xdr:to>
      <xdr:col>56</xdr:col>
      <xdr:colOff>123734</xdr:colOff>
      <xdr:row>98</xdr:row>
      <xdr:rowOff>133350</xdr:rowOff>
    </xdr:to>
    <xdr:sp macro="" textlink="">
      <xdr:nvSpPr>
        <xdr:cNvPr id="5212" name="95">
          <a:extLst>
            <a:ext uri="{FF2B5EF4-FFF2-40B4-BE49-F238E27FC236}">
              <a16:creationId xmlns:a16="http://schemas.microsoft.com/office/drawing/2014/main" id="{D41AD46B-65DF-3B6B-323D-222A70204C52}"/>
            </a:ext>
          </a:extLst>
        </xdr:cNvPr>
        <xdr:cNvSpPr/>
      </xdr:nvSpPr>
      <xdr:spPr>
        <a:xfrm>
          <a:off x="16336736" y="151638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98</xdr:row>
      <xdr:rowOff>76200</xdr:rowOff>
    </xdr:from>
    <xdr:to>
      <xdr:col>54</xdr:col>
      <xdr:colOff>20411</xdr:colOff>
      <xdr:row>98</xdr:row>
      <xdr:rowOff>76200</xdr:rowOff>
    </xdr:to>
    <xdr:cxnSp macro="">
      <xdr:nvCxnSpPr>
        <xdr:cNvPr id="5213" name="직선 화살표 연결선 5212">
          <a:extLst>
            <a:ext uri="{FF2B5EF4-FFF2-40B4-BE49-F238E27FC236}">
              <a16:creationId xmlns:a16="http://schemas.microsoft.com/office/drawing/2014/main" id="{748C5561-6C45-86FD-9C78-7DF5766518EE}"/>
            </a:ext>
          </a:extLst>
        </xdr:cNvPr>
        <xdr:cNvCxnSpPr/>
      </xdr:nvCxnSpPr>
      <xdr:spPr>
        <a:xfrm>
          <a:off x="16336736" y="1522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97</xdr:row>
      <xdr:rowOff>19050</xdr:rowOff>
    </xdr:from>
    <xdr:to>
      <xdr:col>56</xdr:col>
      <xdr:colOff>123734</xdr:colOff>
      <xdr:row>97</xdr:row>
      <xdr:rowOff>133350</xdr:rowOff>
    </xdr:to>
    <xdr:sp macro="" textlink="">
      <xdr:nvSpPr>
        <xdr:cNvPr id="5214" name="94">
          <a:extLst>
            <a:ext uri="{FF2B5EF4-FFF2-40B4-BE49-F238E27FC236}">
              <a16:creationId xmlns:a16="http://schemas.microsoft.com/office/drawing/2014/main" id="{FBB1AEA2-03A5-60E3-4AC0-16073E6BCEC3}"/>
            </a:ext>
          </a:extLst>
        </xdr:cNvPr>
        <xdr:cNvSpPr/>
      </xdr:nvSpPr>
      <xdr:spPr>
        <a:xfrm>
          <a:off x="16336736" y="150114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97</xdr:row>
      <xdr:rowOff>76200</xdr:rowOff>
    </xdr:from>
    <xdr:to>
      <xdr:col>54</xdr:col>
      <xdr:colOff>20411</xdr:colOff>
      <xdr:row>97</xdr:row>
      <xdr:rowOff>76200</xdr:rowOff>
    </xdr:to>
    <xdr:cxnSp macro="">
      <xdr:nvCxnSpPr>
        <xdr:cNvPr id="5215" name="직선 화살표 연결선 5214">
          <a:extLst>
            <a:ext uri="{FF2B5EF4-FFF2-40B4-BE49-F238E27FC236}">
              <a16:creationId xmlns:a16="http://schemas.microsoft.com/office/drawing/2014/main" id="{A8DC5AB1-4149-000D-0754-2AF300871A44}"/>
            </a:ext>
          </a:extLst>
        </xdr:cNvPr>
        <xdr:cNvCxnSpPr/>
      </xdr:nvCxnSpPr>
      <xdr:spPr>
        <a:xfrm>
          <a:off x="16336736" y="1506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96</xdr:row>
      <xdr:rowOff>19050</xdr:rowOff>
    </xdr:from>
    <xdr:to>
      <xdr:col>56</xdr:col>
      <xdr:colOff>123734</xdr:colOff>
      <xdr:row>96</xdr:row>
      <xdr:rowOff>133350</xdr:rowOff>
    </xdr:to>
    <xdr:sp macro="" textlink="">
      <xdr:nvSpPr>
        <xdr:cNvPr id="5216" name="93">
          <a:extLst>
            <a:ext uri="{FF2B5EF4-FFF2-40B4-BE49-F238E27FC236}">
              <a16:creationId xmlns:a16="http://schemas.microsoft.com/office/drawing/2014/main" id="{9FB47C43-57A7-F7C3-87D0-B81F834FF2BA}"/>
            </a:ext>
          </a:extLst>
        </xdr:cNvPr>
        <xdr:cNvSpPr/>
      </xdr:nvSpPr>
      <xdr:spPr>
        <a:xfrm>
          <a:off x="15193736" y="148590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96</xdr:row>
      <xdr:rowOff>76200</xdr:rowOff>
    </xdr:from>
    <xdr:to>
      <xdr:col>46</xdr:col>
      <xdr:colOff>20411</xdr:colOff>
      <xdr:row>96</xdr:row>
      <xdr:rowOff>76200</xdr:rowOff>
    </xdr:to>
    <xdr:cxnSp macro="">
      <xdr:nvCxnSpPr>
        <xdr:cNvPr id="5217" name="직선 화살표 연결선 5216">
          <a:extLst>
            <a:ext uri="{FF2B5EF4-FFF2-40B4-BE49-F238E27FC236}">
              <a16:creationId xmlns:a16="http://schemas.microsoft.com/office/drawing/2014/main" id="{279EABA6-D149-3EC2-9BAD-40B6CA16456A}"/>
            </a:ext>
          </a:extLst>
        </xdr:cNvPr>
        <xdr:cNvCxnSpPr/>
      </xdr:nvCxnSpPr>
      <xdr:spPr>
        <a:xfrm>
          <a:off x="15193736" y="1491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102054</xdr:colOff>
      <xdr:row>95</xdr:row>
      <xdr:rowOff>19050</xdr:rowOff>
    </xdr:from>
    <xdr:to>
      <xdr:col>56</xdr:col>
      <xdr:colOff>123734</xdr:colOff>
      <xdr:row>95</xdr:row>
      <xdr:rowOff>133350</xdr:rowOff>
    </xdr:to>
    <xdr:sp macro="" textlink="">
      <xdr:nvSpPr>
        <xdr:cNvPr id="5218" name="92">
          <a:extLst>
            <a:ext uri="{FF2B5EF4-FFF2-40B4-BE49-F238E27FC236}">
              <a16:creationId xmlns:a16="http://schemas.microsoft.com/office/drawing/2014/main" id="{16E57A06-9EF8-4CA4-C695-469D491AEBF4}"/>
            </a:ext>
          </a:extLst>
        </xdr:cNvPr>
        <xdr:cNvSpPr/>
      </xdr:nvSpPr>
      <xdr:spPr>
        <a:xfrm>
          <a:off x="16275504" y="14706600"/>
          <a:ext cx="45030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102054</xdr:colOff>
      <xdr:row>95</xdr:row>
      <xdr:rowOff>76200</xdr:rowOff>
    </xdr:from>
    <xdr:to>
      <xdr:col>53</xdr:col>
      <xdr:colOff>102054</xdr:colOff>
      <xdr:row>95</xdr:row>
      <xdr:rowOff>76200</xdr:rowOff>
    </xdr:to>
    <xdr:cxnSp macro="">
      <xdr:nvCxnSpPr>
        <xdr:cNvPr id="5219" name="직선 화살표 연결선 5218">
          <a:extLst>
            <a:ext uri="{FF2B5EF4-FFF2-40B4-BE49-F238E27FC236}">
              <a16:creationId xmlns:a16="http://schemas.microsoft.com/office/drawing/2014/main" id="{8C783070-C655-9102-5BBA-D2C3BE9435C3}"/>
            </a:ext>
          </a:extLst>
        </xdr:cNvPr>
        <xdr:cNvCxnSpPr/>
      </xdr:nvCxnSpPr>
      <xdr:spPr>
        <a:xfrm>
          <a:off x="16275504" y="1476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40821</xdr:colOff>
      <xdr:row>94</xdr:row>
      <xdr:rowOff>19050</xdr:rowOff>
    </xdr:from>
    <xdr:to>
      <xdr:col>53</xdr:col>
      <xdr:colOff>103324</xdr:colOff>
      <xdr:row>94</xdr:row>
      <xdr:rowOff>133350</xdr:rowOff>
    </xdr:to>
    <xdr:sp macro="" textlink="">
      <xdr:nvSpPr>
        <xdr:cNvPr id="5220" name="91">
          <a:extLst>
            <a:ext uri="{FF2B5EF4-FFF2-40B4-BE49-F238E27FC236}">
              <a16:creationId xmlns:a16="http://schemas.microsoft.com/office/drawing/2014/main" id="{BD6259FA-143A-A2FF-678C-445B44CBC418}"/>
            </a:ext>
          </a:extLst>
        </xdr:cNvPr>
        <xdr:cNvSpPr/>
      </xdr:nvSpPr>
      <xdr:spPr>
        <a:xfrm>
          <a:off x="16071396" y="14554200"/>
          <a:ext cx="20537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40821</xdr:colOff>
      <xdr:row>94</xdr:row>
      <xdr:rowOff>76200</xdr:rowOff>
    </xdr:from>
    <xdr:to>
      <xdr:col>52</xdr:col>
      <xdr:colOff>40821</xdr:colOff>
      <xdr:row>94</xdr:row>
      <xdr:rowOff>76200</xdr:rowOff>
    </xdr:to>
    <xdr:cxnSp macro="">
      <xdr:nvCxnSpPr>
        <xdr:cNvPr id="5221" name="직선 화살표 연결선 5220">
          <a:extLst>
            <a:ext uri="{FF2B5EF4-FFF2-40B4-BE49-F238E27FC236}">
              <a16:creationId xmlns:a16="http://schemas.microsoft.com/office/drawing/2014/main" id="{6ED9257F-BC67-9110-D43B-69779E74EECC}"/>
            </a:ext>
          </a:extLst>
        </xdr:cNvPr>
        <xdr:cNvCxnSpPr/>
      </xdr:nvCxnSpPr>
      <xdr:spPr>
        <a:xfrm>
          <a:off x="16071396" y="1461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40821</xdr:colOff>
      <xdr:row>93</xdr:row>
      <xdr:rowOff>19050</xdr:rowOff>
    </xdr:from>
    <xdr:to>
      <xdr:col>52</xdr:col>
      <xdr:colOff>42090</xdr:colOff>
      <xdr:row>93</xdr:row>
      <xdr:rowOff>133350</xdr:rowOff>
    </xdr:to>
    <xdr:sp macro="" textlink="">
      <xdr:nvSpPr>
        <xdr:cNvPr id="5222" name="90">
          <a:extLst>
            <a:ext uri="{FF2B5EF4-FFF2-40B4-BE49-F238E27FC236}">
              <a16:creationId xmlns:a16="http://schemas.microsoft.com/office/drawing/2014/main" id="{739AAD93-BF9B-3ADD-FB57-DA507BFEBA02}"/>
            </a:ext>
          </a:extLst>
        </xdr:cNvPr>
        <xdr:cNvSpPr/>
      </xdr:nvSpPr>
      <xdr:spPr>
        <a:xfrm>
          <a:off x="15785646" y="14401800"/>
          <a:ext cx="28701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40821</xdr:colOff>
      <xdr:row>93</xdr:row>
      <xdr:rowOff>76200</xdr:rowOff>
    </xdr:from>
    <xdr:to>
      <xdr:col>50</xdr:col>
      <xdr:colOff>40821</xdr:colOff>
      <xdr:row>93</xdr:row>
      <xdr:rowOff>76200</xdr:rowOff>
    </xdr:to>
    <xdr:cxnSp macro="">
      <xdr:nvCxnSpPr>
        <xdr:cNvPr id="5223" name="직선 화살표 연결선 5222">
          <a:extLst>
            <a:ext uri="{FF2B5EF4-FFF2-40B4-BE49-F238E27FC236}">
              <a16:creationId xmlns:a16="http://schemas.microsoft.com/office/drawing/2014/main" id="{4648C92A-8B69-1A22-6A18-9B663863B7B3}"/>
            </a:ext>
          </a:extLst>
        </xdr:cNvPr>
        <xdr:cNvCxnSpPr/>
      </xdr:nvCxnSpPr>
      <xdr:spPr>
        <a:xfrm>
          <a:off x="15785646" y="1445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102054</xdr:colOff>
      <xdr:row>92</xdr:row>
      <xdr:rowOff>19050</xdr:rowOff>
    </xdr:from>
    <xdr:to>
      <xdr:col>50</xdr:col>
      <xdr:colOff>42090</xdr:colOff>
      <xdr:row>92</xdr:row>
      <xdr:rowOff>133350</xdr:rowOff>
    </xdr:to>
    <xdr:sp macro="" textlink="">
      <xdr:nvSpPr>
        <xdr:cNvPr id="5224" name="89">
          <a:extLst>
            <a:ext uri="{FF2B5EF4-FFF2-40B4-BE49-F238E27FC236}">
              <a16:creationId xmlns:a16="http://schemas.microsoft.com/office/drawing/2014/main" id="{11311C23-AE57-8455-A6CD-74AEAAD71793}"/>
            </a:ext>
          </a:extLst>
        </xdr:cNvPr>
        <xdr:cNvSpPr/>
      </xdr:nvSpPr>
      <xdr:spPr>
        <a:xfrm>
          <a:off x="15418254" y="14249400"/>
          <a:ext cx="36866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102054</xdr:colOff>
      <xdr:row>92</xdr:row>
      <xdr:rowOff>76200</xdr:rowOff>
    </xdr:from>
    <xdr:to>
      <xdr:col>47</xdr:col>
      <xdr:colOff>102054</xdr:colOff>
      <xdr:row>92</xdr:row>
      <xdr:rowOff>76200</xdr:rowOff>
    </xdr:to>
    <xdr:cxnSp macro="">
      <xdr:nvCxnSpPr>
        <xdr:cNvPr id="5225" name="직선 화살표 연결선 5224">
          <a:extLst>
            <a:ext uri="{FF2B5EF4-FFF2-40B4-BE49-F238E27FC236}">
              <a16:creationId xmlns:a16="http://schemas.microsoft.com/office/drawing/2014/main" id="{734ADD83-E932-6908-7804-BA3DA999D187}"/>
            </a:ext>
          </a:extLst>
        </xdr:cNvPr>
        <xdr:cNvCxnSpPr/>
      </xdr:nvCxnSpPr>
      <xdr:spPr>
        <a:xfrm>
          <a:off x="15418254" y="1430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91</xdr:row>
      <xdr:rowOff>19050</xdr:rowOff>
    </xdr:from>
    <xdr:to>
      <xdr:col>47</xdr:col>
      <xdr:colOff>103324</xdr:colOff>
      <xdr:row>91</xdr:row>
      <xdr:rowOff>133350</xdr:rowOff>
    </xdr:to>
    <xdr:sp macro="" textlink="">
      <xdr:nvSpPr>
        <xdr:cNvPr id="5226" name="88">
          <a:extLst>
            <a:ext uri="{FF2B5EF4-FFF2-40B4-BE49-F238E27FC236}">
              <a16:creationId xmlns:a16="http://schemas.microsoft.com/office/drawing/2014/main" id="{A722AD7E-B489-7583-C5BA-9ACCAE68FCD4}"/>
            </a:ext>
          </a:extLst>
        </xdr:cNvPr>
        <xdr:cNvSpPr/>
      </xdr:nvSpPr>
      <xdr:spPr>
        <a:xfrm>
          <a:off x="15050861" y="14097000"/>
          <a:ext cx="36866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91</xdr:row>
      <xdr:rowOff>76200</xdr:rowOff>
    </xdr:from>
    <xdr:to>
      <xdr:col>45</xdr:col>
      <xdr:colOff>20411</xdr:colOff>
      <xdr:row>91</xdr:row>
      <xdr:rowOff>76200</xdr:rowOff>
    </xdr:to>
    <xdr:cxnSp macro="">
      <xdr:nvCxnSpPr>
        <xdr:cNvPr id="5227" name="직선 화살표 연결선 5226">
          <a:extLst>
            <a:ext uri="{FF2B5EF4-FFF2-40B4-BE49-F238E27FC236}">
              <a16:creationId xmlns:a16="http://schemas.microsoft.com/office/drawing/2014/main" id="{A460DC69-5FB1-8FDD-F8E4-3F1C075301A8}"/>
            </a:ext>
          </a:extLst>
        </xdr:cNvPr>
        <xdr:cNvCxnSpPr/>
      </xdr:nvCxnSpPr>
      <xdr:spPr>
        <a:xfrm>
          <a:off x="15050861" y="1415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90</xdr:row>
      <xdr:rowOff>19050</xdr:rowOff>
    </xdr:from>
    <xdr:to>
      <xdr:col>56</xdr:col>
      <xdr:colOff>123734</xdr:colOff>
      <xdr:row>90</xdr:row>
      <xdr:rowOff>133350</xdr:rowOff>
    </xdr:to>
    <xdr:sp macro="" textlink="">
      <xdr:nvSpPr>
        <xdr:cNvPr id="5228" name="87">
          <a:extLst>
            <a:ext uri="{FF2B5EF4-FFF2-40B4-BE49-F238E27FC236}">
              <a16:creationId xmlns:a16="http://schemas.microsoft.com/office/drawing/2014/main" id="{DB2AEB79-1BEF-9909-E7AF-40C82D049E77}"/>
            </a:ext>
          </a:extLst>
        </xdr:cNvPr>
        <xdr:cNvSpPr/>
      </xdr:nvSpPr>
      <xdr:spPr>
        <a:xfrm>
          <a:off x="15050861" y="13944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90</xdr:row>
      <xdr:rowOff>76200</xdr:rowOff>
    </xdr:from>
    <xdr:to>
      <xdr:col>45</xdr:col>
      <xdr:colOff>20411</xdr:colOff>
      <xdr:row>90</xdr:row>
      <xdr:rowOff>76200</xdr:rowOff>
    </xdr:to>
    <xdr:cxnSp macro="">
      <xdr:nvCxnSpPr>
        <xdr:cNvPr id="5229" name="직선 화살표 연결선 5228">
          <a:extLst>
            <a:ext uri="{FF2B5EF4-FFF2-40B4-BE49-F238E27FC236}">
              <a16:creationId xmlns:a16="http://schemas.microsoft.com/office/drawing/2014/main" id="{955E3030-1E95-DBCF-7E22-97E9BD5CDBC2}"/>
            </a:ext>
          </a:extLst>
        </xdr:cNvPr>
        <xdr:cNvCxnSpPr/>
      </xdr:nvCxnSpPr>
      <xdr:spPr>
        <a:xfrm>
          <a:off x="15050861" y="1400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89</xdr:row>
      <xdr:rowOff>19050</xdr:rowOff>
    </xdr:from>
    <xdr:to>
      <xdr:col>56</xdr:col>
      <xdr:colOff>123734</xdr:colOff>
      <xdr:row>89</xdr:row>
      <xdr:rowOff>133350</xdr:rowOff>
    </xdr:to>
    <xdr:sp macro="" textlink="">
      <xdr:nvSpPr>
        <xdr:cNvPr id="5230" name="86">
          <a:extLst>
            <a:ext uri="{FF2B5EF4-FFF2-40B4-BE49-F238E27FC236}">
              <a16:creationId xmlns:a16="http://schemas.microsoft.com/office/drawing/2014/main" id="{4FDFF704-0EE3-0CB3-A9DF-9BDEBE027048}"/>
            </a:ext>
          </a:extLst>
        </xdr:cNvPr>
        <xdr:cNvSpPr/>
      </xdr:nvSpPr>
      <xdr:spPr>
        <a:xfrm>
          <a:off x="15050861" y="137922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89</xdr:row>
      <xdr:rowOff>76200</xdr:rowOff>
    </xdr:from>
    <xdr:to>
      <xdr:col>45</xdr:col>
      <xdr:colOff>20411</xdr:colOff>
      <xdr:row>89</xdr:row>
      <xdr:rowOff>76200</xdr:rowOff>
    </xdr:to>
    <xdr:cxnSp macro="">
      <xdr:nvCxnSpPr>
        <xdr:cNvPr id="5231" name="직선 화살표 연결선 5230">
          <a:extLst>
            <a:ext uri="{FF2B5EF4-FFF2-40B4-BE49-F238E27FC236}">
              <a16:creationId xmlns:a16="http://schemas.microsoft.com/office/drawing/2014/main" id="{3F6D386C-0EB0-2304-1099-6FA818800F1B}"/>
            </a:ext>
          </a:extLst>
        </xdr:cNvPr>
        <xdr:cNvCxnSpPr/>
      </xdr:nvCxnSpPr>
      <xdr:spPr>
        <a:xfrm>
          <a:off x="15050861" y="1384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88</xdr:row>
      <xdr:rowOff>19050</xdr:rowOff>
    </xdr:from>
    <xdr:to>
      <xdr:col>56</xdr:col>
      <xdr:colOff>123734</xdr:colOff>
      <xdr:row>88</xdr:row>
      <xdr:rowOff>133350</xdr:rowOff>
    </xdr:to>
    <xdr:sp macro="" textlink="">
      <xdr:nvSpPr>
        <xdr:cNvPr id="5232" name="85">
          <a:extLst>
            <a:ext uri="{FF2B5EF4-FFF2-40B4-BE49-F238E27FC236}">
              <a16:creationId xmlns:a16="http://schemas.microsoft.com/office/drawing/2014/main" id="{693DB0B5-82DB-511F-263C-EE5897377949}"/>
            </a:ext>
          </a:extLst>
        </xdr:cNvPr>
        <xdr:cNvSpPr/>
      </xdr:nvSpPr>
      <xdr:spPr>
        <a:xfrm>
          <a:off x="15193736" y="136398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88</xdr:row>
      <xdr:rowOff>76200</xdr:rowOff>
    </xdr:from>
    <xdr:to>
      <xdr:col>46</xdr:col>
      <xdr:colOff>20411</xdr:colOff>
      <xdr:row>88</xdr:row>
      <xdr:rowOff>76200</xdr:rowOff>
    </xdr:to>
    <xdr:cxnSp macro="">
      <xdr:nvCxnSpPr>
        <xdr:cNvPr id="5233" name="직선 화살표 연결선 5232">
          <a:extLst>
            <a:ext uri="{FF2B5EF4-FFF2-40B4-BE49-F238E27FC236}">
              <a16:creationId xmlns:a16="http://schemas.microsoft.com/office/drawing/2014/main" id="{5D4F3EAE-B16D-CDC1-7CE9-1D151BFB4C92}"/>
            </a:ext>
          </a:extLst>
        </xdr:cNvPr>
        <xdr:cNvCxnSpPr/>
      </xdr:nvCxnSpPr>
      <xdr:spPr>
        <a:xfrm>
          <a:off x="15193736" y="1369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81643</xdr:colOff>
      <xdr:row>87</xdr:row>
      <xdr:rowOff>19050</xdr:rowOff>
    </xdr:from>
    <xdr:to>
      <xdr:col>56</xdr:col>
      <xdr:colOff>123734</xdr:colOff>
      <xdr:row>87</xdr:row>
      <xdr:rowOff>133350</xdr:rowOff>
    </xdr:to>
    <xdr:sp macro="" textlink="">
      <xdr:nvSpPr>
        <xdr:cNvPr id="5234" name="84">
          <a:extLst>
            <a:ext uri="{FF2B5EF4-FFF2-40B4-BE49-F238E27FC236}">
              <a16:creationId xmlns:a16="http://schemas.microsoft.com/office/drawing/2014/main" id="{99B92D31-23A7-D165-25FF-AFFCA237EB0C}"/>
            </a:ext>
          </a:extLst>
        </xdr:cNvPr>
        <xdr:cNvSpPr/>
      </xdr:nvSpPr>
      <xdr:spPr>
        <a:xfrm>
          <a:off x="16397968" y="13487400"/>
          <a:ext cx="32784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81643</xdr:colOff>
      <xdr:row>87</xdr:row>
      <xdr:rowOff>76200</xdr:rowOff>
    </xdr:from>
    <xdr:to>
      <xdr:col>54</xdr:col>
      <xdr:colOff>81643</xdr:colOff>
      <xdr:row>87</xdr:row>
      <xdr:rowOff>76200</xdr:rowOff>
    </xdr:to>
    <xdr:cxnSp macro="">
      <xdr:nvCxnSpPr>
        <xdr:cNvPr id="5235" name="직선 화살표 연결선 5234">
          <a:extLst>
            <a:ext uri="{FF2B5EF4-FFF2-40B4-BE49-F238E27FC236}">
              <a16:creationId xmlns:a16="http://schemas.microsoft.com/office/drawing/2014/main" id="{42946DA5-5B92-2CD0-7E73-CB88D59EA7CA}"/>
            </a:ext>
          </a:extLst>
        </xdr:cNvPr>
        <xdr:cNvCxnSpPr/>
      </xdr:nvCxnSpPr>
      <xdr:spPr>
        <a:xfrm>
          <a:off x="16397968" y="1354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40821</xdr:colOff>
      <xdr:row>86</xdr:row>
      <xdr:rowOff>19050</xdr:rowOff>
    </xdr:from>
    <xdr:to>
      <xdr:col>54</xdr:col>
      <xdr:colOff>82913</xdr:colOff>
      <xdr:row>86</xdr:row>
      <xdr:rowOff>133350</xdr:rowOff>
    </xdr:to>
    <xdr:sp macro="" textlink="">
      <xdr:nvSpPr>
        <xdr:cNvPr id="5236" name="83">
          <a:extLst>
            <a:ext uri="{FF2B5EF4-FFF2-40B4-BE49-F238E27FC236}">
              <a16:creationId xmlns:a16="http://schemas.microsoft.com/office/drawing/2014/main" id="{8481C35C-3D32-A663-64F0-A7AC2EA49C56}"/>
            </a:ext>
          </a:extLst>
        </xdr:cNvPr>
        <xdr:cNvSpPr/>
      </xdr:nvSpPr>
      <xdr:spPr>
        <a:xfrm>
          <a:off x="15928521" y="13335000"/>
          <a:ext cx="470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40821</xdr:colOff>
      <xdr:row>86</xdr:row>
      <xdr:rowOff>76200</xdr:rowOff>
    </xdr:from>
    <xdr:to>
      <xdr:col>51</xdr:col>
      <xdr:colOff>40821</xdr:colOff>
      <xdr:row>86</xdr:row>
      <xdr:rowOff>76200</xdr:rowOff>
    </xdr:to>
    <xdr:cxnSp macro="">
      <xdr:nvCxnSpPr>
        <xdr:cNvPr id="5237" name="직선 화살표 연결선 5236">
          <a:extLst>
            <a:ext uri="{FF2B5EF4-FFF2-40B4-BE49-F238E27FC236}">
              <a16:creationId xmlns:a16="http://schemas.microsoft.com/office/drawing/2014/main" id="{09AB5FDD-C2A0-A1A1-FBF6-037D79A998A5}"/>
            </a:ext>
          </a:extLst>
        </xdr:cNvPr>
        <xdr:cNvCxnSpPr/>
      </xdr:nvCxnSpPr>
      <xdr:spPr>
        <a:xfrm>
          <a:off x="15928521" y="1339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61232</xdr:colOff>
      <xdr:row>85</xdr:row>
      <xdr:rowOff>19050</xdr:rowOff>
    </xdr:from>
    <xdr:to>
      <xdr:col>51</xdr:col>
      <xdr:colOff>42090</xdr:colOff>
      <xdr:row>85</xdr:row>
      <xdr:rowOff>133350</xdr:rowOff>
    </xdr:to>
    <xdr:sp macro="" textlink="">
      <xdr:nvSpPr>
        <xdr:cNvPr id="5238" name="82">
          <a:extLst>
            <a:ext uri="{FF2B5EF4-FFF2-40B4-BE49-F238E27FC236}">
              <a16:creationId xmlns:a16="http://schemas.microsoft.com/office/drawing/2014/main" id="{52DD6C43-A895-A9BC-3822-C5D7D84D286A}"/>
            </a:ext>
          </a:extLst>
        </xdr:cNvPr>
        <xdr:cNvSpPr/>
      </xdr:nvSpPr>
      <xdr:spPr>
        <a:xfrm>
          <a:off x="15520307" y="13182600"/>
          <a:ext cx="40948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61232</xdr:colOff>
      <xdr:row>85</xdr:row>
      <xdr:rowOff>76200</xdr:rowOff>
    </xdr:from>
    <xdr:to>
      <xdr:col>48</xdr:col>
      <xdr:colOff>61232</xdr:colOff>
      <xdr:row>85</xdr:row>
      <xdr:rowOff>76200</xdr:rowOff>
    </xdr:to>
    <xdr:cxnSp macro="">
      <xdr:nvCxnSpPr>
        <xdr:cNvPr id="5239" name="직선 화살표 연결선 5238">
          <a:extLst>
            <a:ext uri="{FF2B5EF4-FFF2-40B4-BE49-F238E27FC236}">
              <a16:creationId xmlns:a16="http://schemas.microsoft.com/office/drawing/2014/main" id="{CA8A8788-B9EF-4E93-BD50-C4EC3560C188}"/>
            </a:ext>
          </a:extLst>
        </xdr:cNvPr>
        <xdr:cNvCxnSpPr/>
      </xdr:nvCxnSpPr>
      <xdr:spPr>
        <a:xfrm>
          <a:off x="15520307" y="1323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84</xdr:row>
      <xdr:rowOff>19050</xdr:rowOff>
    </xdr:from>
    <xdr:to>
      <xdr:col>48</xdr:col>
      <xdr:colOff>62502</xdr:colOff>
      <xdr:row>84</xdr:row>
      <xdr:rowOff>133350</xdr:rowOff>
    </xdr:to>
    <xdr:sp macro="" textlink="">
      <xdr:nvSpPr>
        <xdr:cNvPr id="5240" name="81">
          <a:extLst>
            <a:ext uri="{FF2B5EF4-FFF2-40B4-BE49-F238E27FC236}">
              <a16:creationId xmlns:a16="http://schemas.microsoft.com/office/drawing/2014/main" id="{E89C4DFF-FD3F-D1AF-14E8-FE319DEF9F96}"/>
            </a:ext>
          </a:extLst>
        </xdr:cNvPr>
        <xdr:cNvSpPr/>
      </xdr:nvSpPr>
      <xdr:spPr>
        <a:xfrm>
          <a:off x="15050861" y="13030200"/>
          <a:ext cx="4707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84</xdr:row>
      <xdr:rowOff>76200</xdr:rowOff>
    </xdr:from>
    <xdr:to>
      <xdr:col>45</xdr:col>
      <xdr:colOff>20411</xdr:colOff>
      <xdr:row>84</xdr:row>
      <xdr:rowOff>76200</xdr:rowOff>
    </xdr:to>
    <xdr:cxnSp macro="">
      <xdr:nvCxnSpPr>
        <xdr:cNvPr id="5241" name="직선 화살표 연결선 5240">
          <a:extLst>
            <a:ext uri="{FF2B5EF4-FFF2-40B4-BE49-F238E27FC236}">
              <a16:creationId xmlns:a16="http://schemas.microsoft.com/office/drawing/2014/main" id="{56DE2842-8B80-5E18-1449-ADC423F3D446}"/>
            </a:ext>
          </a:extLst>
        </xdr:cNvPr>
        <xdr:cNvCxnSpPr/>
      </xdr:nvCxnSpPr>
      <xdr:spPr>
        <a:xfrm>
          <a:off x="15050861" y="1308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83</xdr:row>
      <xdr:rowOff>19050</xdr:rowOff>
    </xdr:from>
    <xdr:to>
      <xdr:col>56</xdr:col>
      <xdr:colOff>123734</xdr:colOff>
      <xdr:row>83</xdr:row>
      <xdr:rowOff>133350</xdr:rowOff>
    </xdr:to>
    <xdr:sp macro="" textlink="">
      <xdr:nvSpPr>
        <xdr:cNvPr id="5242" name="80">
          <a:extLst>
            <a:ext uri="{FF2B5EF4-FFF2-40B4-BE49-F238E27FC236}">
              <a16:creationId xmlns:a16="http://schemas.microsoft.com/office/drawing/2014/main" id="{B4AD0258-2B74-B758-79F9-204FDE665496}"/>
            </a:ext>
          </a:extLst>
        </xdr:cNvPr>
        <xdr:cNvSpPr/>
      </xdr:nvSpPr>
      <xdr:spPr>
        <a:xfrm>
          <a:off x="15050861" y="128778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83</xdr:row>
      <xdr:rowOff>76200</xdr:rowOff>
    </xdr:from>
    <xdr:to>
      <xdr:col>45</xdr:col>
      <xdr:colOff>20411</xdr:colOff>
      <xdr:row>83</xdr:row>
      <xdr:rowOff>76200</xdr:rowOff>
    </xdr:to>
    <xdr:cxnSp macro="">
      <xdr:nvCxnSpPr>
        <xdr:cNvPr id="5243" name="직선 화살표 연결선 5242">
          <a:extLst>
            <a:ext uri="{FF2B5EF4-FFF2-40B4-BE49-F238E27FC236}">
              <a16:creationId xmlns:a16="http://schemas.microsoft.com/office/drawing/2014/main" id="{21280C8D-C3F6-26CA-89A5-0F5D7214649D}"/>
            </a:ext>
          </a:extLst>
        </xdr:cNvPr>
        <xdr:cNvCxnSpPr/>
      </xdr:nvCxnSpPr>
      <xdr:spPr>
        <a:xfrm>
          <a:off x="15050861" y="1293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82</xdr:row>
      <xdr:rowOff>19050</xdr:rowOff>
    </xdr:from>
    <xdr:to>
      <xdr:col>56</xdr:col>
      <xdr:colOff>123734</xdr:colOff>
      <xdr:row>82</xdr:row>
      <xdr:rowOff>133350</xdr:rowOff>
    </xdr:to>
    <xdr:sp macro="" textlink="">
      <xdr:nvSpPr>
        <xdr:cNvPr id="5244" name="79">
          <a:extLst>
            <a:ext uri="{FF2B5EF4-FFF2-40B4-BE49-F238E27FC236}">
              <a16:creationId xmlns:a16="http://schemas.microsoft.com/office/drawing/2014/main" id="{8321C8B5-F093-1318-FF3E-51E0FD70695D}"/>
            </a:ext>
          </a:extLst>
        </xdr:cNvPr>
        <xdr:cNvSpPr/>
      </xdr:nvSpPr>
      <xdr:spPr>
        <a:xfrm>
          <a:off x="15050861" y="127254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82</xdr:row>
      <xdr:rowOff>76200</xdr:rowOff>
    </xdr:from>
    <xdr:to>
      <xdr:col>45</xdr:col>
      <xdr:colOff>20411</xdr:colOff>
      <xdr:row>82</xdr:row>
      <xdr:rowOff>76200</xdr:rowOff>
    </xdr:to>
    <xdr:cxnSp macro="">
      <xdr:nvCxnSpPr>
        <xdr:cNvPr id="5245" name="직선 화살표 연결선 5244">
          <a:extLst>
            <a:ext uri="{FF2B5EF4-FFF2-40B4-BE49-F238E27FC236}">
              <a16:creationId xmlns:a16="http://schemas.microsoft.com/office/drawing/2014/main" id="{D3D4E293-69C7-776A-8681-55582797E349}"/>
            </a:ext>
          </a:extLst>
        </xdr:cNvPr>
        <xdr:cNvCxnSpPr/>
      </xdr:nvCxnSpPr>
      <xdr:spPr>
        <a:xfrm>
          <a:off x="15050861" y="1278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81</xdr:row>
      <xdr:rowOff>19050</xdr:rowOff>
    </xdr:from>
    <xdr:to>
      <xdr:col>56</xdr:col>
      <xdr:colOff>123734</xdr:colOff>
      <xdr:row>81</xdr:row>
      <xdr:rowOff>133350</xdr:rowOff>
    </xdr:to>
    <xdr:sp macro="" textlink="">
      <xdr:nvSpPr>
        <xdr:cNvPr id="5246" name="78">
          <a:extLst>
            <a:ext uri="{FF2B5EF4-FFF2-40B4-BE49-F238E27FC236}">
              <a16:creationId xmlns:a16="http://schemas.microsoft.com/office/drawing/2014/main" id="{EE10C9D3-38F1-0EEE-8A2B-C822C92F9F8C}"/>
            </a:ext>
          </a:extLst>
        </xdr:cNvPr>
        <xdr:cNvSpPr/>
      </xdr:nvSpPr>
      <xdr:spPr>
        <a:xfrm>
          <a:off x="15193736" y="125730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81</xdr:row>
      <xdr:rowOff>76200</xdr:rowOff>
    </xdr:from>
    <xdr:to>
      <xdr:col>46</xdr:col>
      <xdr:colOff>20411</xdr:colOff>
      <xdr:row>81</xdr:row>
      <xdr:rowOff>76200</xdr:rowOff>
    </xdr:to>
    <xdr:cxnSp macro="">
      <xdr:nvCxnSpPr>
        <xdr:cNvPr id="5247" name="직선 화살표 연결선 5246">
          <a:extLst>
            <a:ext uri="{FF2B5EF4-FFF2-40B4-BE49-F238E27FC236}">
              <a16:creationId xmlns:a16="http://schemas.microsoft.com/office/drawing/2014/main" id="{0B5F35E7-BB3A-9F92-FF19-9D14F6AA64FA}"/>
            </a:ext>
          </a:extLst>
        </xdr:cNvPr>
        <xdr:cNvCxnSpPr/>
      </xdr:nvCxnSpPr>
      <xdr:spPr>
        <a:xfrm>
          <a:off x="15193736" y="1263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80</xdr:row>
      <xdr:rowOff>19050</xdr:rowOff>
    </xdr:from>
    <xdr:to>
      <xdr:col>56</xdr:col>
      <xdr:colOff>123734</xdr:colOff>
      <xdr:row>80</xdr:row>
      <xdr:rowOff>133350</xdr:rowOff>
    </xdr:to>
    <xdr:sp macro="" textlink="">
      <xdr:nvSpPr>
        <xdr:cNvPr id="5248" name="77">
          <a:extLst>
            <a:ext uri="{FF2B5EF4-FFF2-40B4-BE49-F238E27FC236}">
              <a16:creationId xmlns:a16="http://schemas.microsoft.com/office/drawing/2014/main" id="{9993B554-F225-5AFF-1A04-FEC86561D780}"/>
            </a:ext>
          </a:extLst>
        </xdr:cNvPr>
        <xdr:cNvSpPr/>
      </xdr:nvSpPr>
      <xdr:spPr>
        <a:xfrm>
          <a:off x="16479611" y="124206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80</xdr:row>
      <xdr:rowOff>76200</xdr:rowOff>
    </xdr:from>
    <xdr:to>
      <xdr:col>55</xdr:col>
      <xdr:colOff>20411</xdr:colOff>
      <xdr:row>80</xdr:row>
      <xdr:rowOff>76200</xdr:rowOff>
    </xdr:to>
    <xdr:cxnSp macro="">
      <xdr:nvCxnSpPr>
        <xdr:cNvPr id="5249" name="직선 화살표 연결선 5248">
          <a:extLst>
            <a:ext uri="{FF2B5EF4-FFF2-40B4-BE49-F238E27FC236}">
              <a16:creationId xmlns:a16="http://schemas.microsoft.com/office/drawing/2014/main" id="{3CD61C23-C9BA-24A3-D3EB-C1B3A38B143A}"/>
            </a:ext>
          </a:extLst>
        </xdr:cNvPr>
        <xdr:cNvCxnSpPr/>
      </xdr:nvCxnSpPr>
      <xdr:spPr>
        <a:xfrm>
          <a:off x="16479611" y="1247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81643</xdr:colOff>
      <xdr:row>79</xdr:row>
      <xdr:rowOff>19050</xdr:rowOff>
    </xdr:from>
    <xdr:to>
      <xdr:col>54</xdr:col>
      <xdr:colOff>123734</xdr:colOff>
      <xdr:row>79</xdr:row>
      <xdr:rowOff>133350</xdr:rowOff>
    </xdr:to>
    <xdr:sp macro="" textlink="">
      <xdr:nvSpPr>
        <xdr:cNvPr id="5250" name="76">
          <a:extLst>
            <a:ext uri="{FF2B5EF4-FFF2-40B4-BE49-F238E27FC236}">
              <a16:creationId xmlns:a16="http://schemas.microsoft.com/office/drawing/2014/main" id="{2F6F2FBC-AF61-C4C1-EB81-9311D96BD604}"/>
            </a:ext>
          </a:extLst>
        </xdr:cNvPr>
        <xdr:cNvSpPr/>
      </xdr:nvSpPr>
      <xdr:spPr>
        <a:xfrm>
          <a:off x="16112218" y="12268200"/>
          <a:ext cx="32784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81643</xdr:colOff>
      <xdr:row>79</xdr:row>
      <xdr:rowOff>76200</xdr:rowOff>
    </xdr:from>
    <xdr:to>
      <xdr:col>52</xdr:col>
      <xdr:colOff>81643</xdr:colOff>
      <xdr:row>79</xdr:row>
      <xdr:rowOff>76200</xdr:rowOff>
    </xdr:to>
    <xdr:cxnSp macro="">
      <xdr:nvCxnSpPr>
        <xdr:cNvPr id="5251" name="직선 화살표 연결선 5250">
          <a:extLst>
            <a:ext uri="{FF2B5EF4-FFF2-40B4-BE49-F238E27FC236}">
              <a16:creationId xmlns:a16="http://schemas.microsoft.com/office/drawing/2014/main" id="{B58234EB-1172-C1AD-800E-441512DBC1D9}"/>
            </a:ext>
          </a:extLst>
        </xdr:cNvPr>
        <xdr:cNvCxnSpPr/>
      </xdr:nvCxnSpPr>
      <xdr:spPr>
        <a:xfrm>
          <a:off x="16112218" y="1232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40821</xdr:colOff>
      <xdr:row>78</xdr:row>
      <xdr:rowOff>19050</xdr:rowOff>
    </xdr:from>
    <xdr:to>
      <xdr:col>52</xdr:col>
      <xdr:colOff>82913</xdr:colOff>
      <xdr:row>78</xdr:row>
      <xdr:rowOff>133350</xdr:rowOff>
    </xdr:to>
    <xdr:sp macro="" textlink="">
      <xdr:nvSpPr>
        <xdr:cNvPr id="5252" name="75">
          <a:extLst>
            <a:ext uri="{FF2B5EF4-FFF2-40B4-BE49-F238E27FC236}">
              <a16:creationId xmlns:a16="http://schemas.microsoft.com/office/drawing/2014/main" id="{F35A2D71-FFA7-C87A-DBA3-C4B0E06EB194}"/>
            </a:ext>
          </a:extLst>
        </xdr:cNvPr>
        <xdr:cNvSpPr/>
      </xdr:nvSpPr>
      <xdr:spPr>
        <a:xfrm>
          <a:off x="15785646" y="12115800"/>
          <a:ext cx="3278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40821</xdr:colOff>
      <xdr:row>78</xdr:row>
      <xdr:rowOff>76200</xdr:rowOff>
    </xdr:from>
    <xdr:to>
      <xdr:col>50</xdr:col>
      <xdr:colOff>40821</xdr:colOff>
      <xdr:row>78</xdr:row>
      <xdr:rowOff>76200</xdr:rowOff>
    </xdr:to>
    <xdr:cxnSp macro="">
      <xdr:nvCxnSpPr>
        <xdr:cNvPr id="5253" name="직선 화살표 연결선 5252">
          <a:extLst>
            <a:ext uri="{FF2B5EF4-FFF2-40B4-BE49-F238E27FC236}">
              <a16:creationId xmlns:a16="http://schemas.microsoft.com/office/drawing/2014/main" id="{2739317E-7E20-1D5D-C67E-45F74C63C3F0}"/>
            </a:ext>
          </a:extLst>
        </xdr:cNvPr>
        <xdr:cNvCxnSpPr/>
      </xdr:nvCxnSpPr>
      <xdr:spPr>
        <a:xfrm>
          <a:off x="15785646"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102054</xdr:colOff>
      <xdr:row>77</xdr:row>
      <xdr:rowOff>19050</xdr:rowOff>
    </xdr:from>
    <xdr:to>
      <xdr:col>50</xdr:col>
      <xdr:colOff>42090</xdr:colOff>
      <xdr:row>77</xdr:row>
      <xdr:rowOff>133350</xdr:rowOff>
    </xdr:to>
    <xdr:sp macro="" textlink="">
      <xdr:nvSpPr>
        <xdr:cNvPr id="5254" name="74">
          <a:extLst>
            <a:ext uri="{FF2B5EF4-FFF2-40B4-BE49-F238E27FC236}">
              <a16:creationId xmlns:a16="http://schemas.microsoft.com/office/drawing/2014/main" id="{3FF25B7E-3A28-2FDF-226E-614D5F2F376B}"/>
            </a:ext>
          </a:extLst>
        </xdr:cNvPr>
        <xdr:cNvSpPr/>
      </xdr:nvSpPr>
      <xdr:spPr>
        <a:xfrm>
          <a:off x="15418254" y="11963400"/>
          <a:ext cx="36866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102054</xdr:colOff>
      <xdr:row>77</xdr:row>
      <xdr:rowOff>76200</xdr:rowOff>
    </xdr:from>
    <xdr:to>
      <xdr:col>47</xdr:col>
      <xdr:colOff>102054</xdr:colOff>
      <xdr:row>77</xdr:row>
      <xdr:rowOff>76200</xdr:rowOff>
    </xdr:to>
    <xdr:cxnSp macro="">
      <xdr:nvCxnSpPr>
        <xdr:cNvPr id="5255" name="직선 화살표 연결선 5254">
          <a:extLst>
            <a:ext uri="{FF2B5EF4-FFF2-40B4-BE49-F238E27FC236}">
              <a16:creationId xmlns:a16="http://schemas.microsoft.com/office/drawing/2014/main" id="{825A4741-B2E6-CFF5-7D99-BA3AA9E84304}"/>
            </a:ext>
          </a:extLst>
        </xdr:cNvPr>
        <xdr:cNvCxnSpPr/>
      </xdr:nvCxnSpPr>
      <xdr:spPr>
        <a:xfrm>
          <a:off x="15418254"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76</xdr:row>
      <xdr:rowOff>19050</xdr:rowOff>
    </xdr:from>
    <xdr:to>
      <xdr:col>47</xdr:col>
      <xdr:colOff>103324</xdr:colOff>
      <xdr:row>76</xdr:row>
      <xdr:rowOff>133350</xdr:rowOff>
    </xdr:to>
    <xdr:sp macro="" textlink="">
      <xdr:nvSpPr>
        <xdr:cNvPr id="5256" name="73">
          <a:extLst>
            <a:ext uri="{FF2B5EF4-FFF2-40B4-BE49-F238E27FC236}">
              <a16:creationId xmlns:a16="http://schemas.microsoft.com/office/drawing/2014/main" id="{AD03EFEB-F62D-463E-5B32-F7AD8E821603}"/>
            </a:ext>
          </a:extLst>
        </xdr:cNvPr>
        <xdr:cNvSpPr/>
      </xdr:nvSpPr>
      <xdr:spPr>
        <a:xfrm>
          <a:off x="15050861" y="11811000"/>
          <a:ext cx="36866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76</xdr:row>
      <xdr:rowOff>76200</xdr:rowOff>
    </xdr:from>
    <xdr:to>
      <xdr:col>45</xdr:col>
      <xdr:colOff>20411</xdr:colOff>
      <xdr:row>76</xdr:row>
      <xdr:rowOff>76200</xdr:rowOff>
    </xdr:to>
    <xdr:cxnSp macro="">
      <xdr:nvCxnSpPr>
        <xdr:cNvPr id="5257" name="직선 화살표 연결선 5256">
          <a:extLst>
            <a:ext uri="{FF2B5EF4-FFF2-40B4-BE49-F238E27FC236}">
              <a16:creationId xmlns:a16="http://schemas.microsoft.com/office/drawing/2014/main" id="{030F70F2-10C1-B527-BD63-CD524A993C39}"/>
            </a:ext>
          </a:extLst>
        </xdr:cNvPr>
        <xdr:cNvCxnSpPr/>
      </xdr:nvCxnSpPr>
      <xdr:spPr>
        <a:xfrm>
          <a:off x="15050861"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75</xdr:row>
      <xdr:rowOff>19050</xdr:rowOff>
    </xdr:from>
    <xdr:to>
      <xdr:col>56</xdr:col>
      <xdr:colOff>123734</xdr:colOff>
      <xdr:row>75</xdr:row>
      <xdr:rowOff>133350</xdr:rowOff>
    </xdr:to>
    <xdr:sp macro="" textlink="">
      <xdr:nvSpPr>
        <xdr:cNvPr id="5258" name="72">
          <a:extLst>
            <a:ext uri="{FF2B5EF4-FFF2-40B4-BE49-F238E27FC236}">
              <a16:creationId xmlns:a16="http://schemas.microsoft.com/office/drawing/2014/main" id="{EF5A3EDE-951C-AB6B-DD2B-BA58ECF31FEF}"/>
            </a:ext>
          </a:extLst>
        </xdr:cNvPr>
        <xdr:cNvSpPr/>
      </xdr:nvSpPr>
      <xdr:spPr>
        <a:xfrm>
          <a:off x="15050861" y="11658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75</xdr:row>
      <xdr:rowOff>76200</xdr:rowOff>
    </xdr:from>
    <xdr:to>
      <xdr:col>45</xdr:col>
      <xdr:colOff>20411</xdr:colOff>
      <xdr:row>75</xdr:row>
      <xdr:rowOff>76200</xdr:rowOff>
    </xdr:to>
    <xdr:cxnSp macro="">
      <xdr:nvCxnSpPr>
        <xdr:cNvPr id="5259" name="직선 화살표 연결선 5258">
          <a:extLst>
            <a:ext uri="{FF2B5EF4-FFF2-40B4-BE49-F238E27FC236}">
              <a16:creationId xmlns:a16="http://schemas.microsoft.com/office/drawing/2014/main" id="{02C5541C-B2AA-0E3B-C633-39F88880D536}"/>
            </a:ext>
          </a:extLst>
        </xdr:cNvPr>
        <xdr:cNvCxnSpPr/>
      </xdr:nvCxnSpPr>
      <xdr:spPr>
        <a:xfrm>
          <a:off x="15050861" y="1171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74</xdr:row>
      <xdr:rowOff>19050</xdr:rowOff>
    </xdr:from>
    <xdr:to>
      <xdr:col>56</xdr:col>
      <xdr:colOff>123734</xdr:colOff>
      <xdr:row>74</xdr:row>
      <xdr:rowOff>133350</xdr:rowOff>
    </xdr:to>
    <xdr:sp macro="" textlink="">
      <xdr:nvSpPr>
        <xdr:cNvPr id="5260" name="71">
          <a:extLst>
            <a:ext uri="{FF2B5EF4-FFF2-40B4-BE49-F238E27FC236}">
              <a16:creationId xmlns:a16="http://schemas.microsoft.com/office/drawing/2014/main" id="{57D0F2EA-C1DB-1CAA-2B3C-98FCFCAD86F9}"/>
            </a:ext>
          </a:extLst>
        </xdr:cNvPr>
        <xdr:cNvSpPr/>
      </xdr:nvSpPr>
      <xdr:spPr>
        <a:xfrm>
          <a:off x="15050861" y="115062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74</xdr:row>
      <xdr:rowOff>76200</xdr:rowOff>
    </xdr:from>
    <xdr:to>
      <xdr:col>45</xdr:col>
      <xdr:colOff>20411</xdr:colOff>
      <xdr:row>74</xdr:row>
      <xdr:rowOff>76200</xdr:rowOff>
    </xdr:to>
    <xdr:cxnSp macro="">
      <xdr:nvCxnSpPr>
        <xdr:cNvPr id="5261" name="직선 화살표 연결선 5260">
          <a:extLst>
            <a:ext uri="{FF2B5EF4-FFF2-40B4-BE49-F238E27FC236}">
              <a16:creationId xmlns:a16="http://schemas.microsoft.com/office/drawing/2014/main" id="{EF399892-48DB-8AB6-BF47-FA641177BB76}"/>
            </a:ext>
          </a:extLst>
        </xdr:cNvPr>
        <xdr:cNvCxnSpPr/>
      </xdr:nvCxnSpPr>
      <xdr:spPr>
        <a:xfrm>
          <a:off x="15050861" y="1156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73</xdr:row>
      <xdr:rowOff>19050</xdr:rowOff>
    </xdr:from>
    <xdr:to>
      <xdr:col>56</xdr:col>
      <xdr:colOff>123734</xdr:colOff>
      <xdr:row>73</xdr:row>
      <xdr:rowOff>133350</xdr:rowOff>
    </xdr:to>
    <xdr:sp macro="" textlink="">
      <xdr:nvSpPr>
        <xdr:cNvPr id="5262" name="70">
          <a:extLst>
            <a:ext uri="{FF2B5EF4-FFF2-40B4-BE49-F238E27FC236}">
              <a16:creationId xmlns:a16="http://schemas.microsoft.com/office/drawing/2014/main" id="{B09EEE9F-7E31-DDCB-930F-3343BEEDCA44}"/>
            </a:ext>
          </a:extLst>
        </xdr:cNvPr>
        <xdr:cNvSpPr/>
      </xdr:nvSpPr>
      <xdr:spPr>
        <a:xfrm>
          <a:off x="15193736" y="113538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73</xdr:row>
      <xdr:rowOff>76200</xdr:rowOff>
    </xdr:from>
    <xdr:to>
      <xdr:col>46</xdr:col>
      <xdr:colOff>20411</xdr:colOff>
      <xdr:row>73</xdr:row>
      <xdr:rowOff>76200</xdr:rowOff>
    </xdr:to>
    <xdr:cxnSp macro="">
      <xdr:nvCxnSpPr>
        <xdr:cNvPr id="5263" name="직선 화살표 연결선 5262">
          <a:extLst>
            <a:ext uri="{FF2B5EF4-FFF2-40B4-BE49-F238E27FC236}">
              <a16:creationId xmlns:a16="http://schemas.microsoft.com/office/drawing/2014/main" id="{607F7E32-E65B-C2B5-B7E9-94B3720EB3A9}"/>
            </a:ext>
          </a:extLst>
        </xdr:cNvPr>
        <xdr:cNvCxnSpPr/>
      </xdr:nvCxnSpPr>
      <xdr:spPr>
        <a:xfrm>
          <a:off x="15193736"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61232</xdr:colOff>
      <xdr:row>72</xdr:row>
      <xdr:rowOff>19050</xdr:rowOff>
    </xdr:from>
    <xdr:to>
      <xdr:col>56</xdr:col>
      <xdr:colOff>123734</xdr:colOff>
      <xdr:row>72</xdr:row>
      <xdr:rowOff>133350</xdr:rowOff>
    </xdr:to>
    <xdr:sp macro="" textlink="">
      <xdr:nvSpPr>
        <xdr:cNvPr id="5264" name="69">
          <a:extLst>
            <a:ext uri="{FF2B5EF4-FFF2-40B4-BE49-F238E27FC236}">
              <a16:creationId xmlns:a16="http://schemas.microsoft.com/office/drawing/2014/main" id="{427DC64A-5DB2-25A8-2C35-9D2C92CE2CEF}"/>
            </a:ext>
          </a:extLst>
        </xdr:cNvPr>
        <xdr:cNvSpPr/>
      </xdr:nvSpPr>
      <xdr:spPr>
        <a:xfrm>
          <a:off x="16520432" y="11201400"/>
          <a:ext cx="20537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61232</xdr:colOff>
      <xdr:row>72</xdr:row>
      <xdr:rowOff>76200</xdr:rowOff>
    </xdr:from>
    <xdr:to>
      <xdr:col>55</xdr:col>
      <xdr:colOff>61232</xdr:colOff>
      <xdr:row>72</xdr:row>
      <xdr:rowOff>76200</xdr:rowOff>
    </xdr:to>
    <xdr:cxnSp macro="">
      <xdr:nvCxnSpPr>
        <xdr:cNvPr id="5265" name="직선 화살표 연결선 5264">
          <a:extLst>
            <a:ext uri="{FF2B5EF4-FFF2-40B4-BE49-F238E27FC236}">
              <a16:creationId xmlns:a16="http://schemas.microsoft.com/office/drawing/2014/main" id="{06DC0DFF-3A48-24E6-5864-D381D9E44414}"/>
            </a:ext>
          </a:extLst>
        </xdr:cNvPr>
        <xdr:cNvCxnSpPr/>
      </xdr:nvCxnSpPr>
      <xdr:spPr>
        <a:xfrm>
          <a:off x="16520432"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71</xdr:row>
      <xdr:rowOff>19050</xdr:rowOff>
    </xdr:from>
    <xdr:to>
      <xdr:col>55</xdr:col>
      <xdr:colOff>62502</xdr:colOff>
      <xdr:row>71</xdr:row>
      <xdr:rowOff>133350</xdr:rowOff>
    </xdr:to>
    <xdr:sp macro="" textlink="">
      <xdr:nvSpPr>
        <xdr:cNvPr id="5266" name="68">
          <a:extLst>
            <a:ext uri="{FF2B5EF4-FFF2-40B4-BE49-F238E27FC236}">
              <a16:creationId xmlns:a16="http://schemas.microsoft.com/office/drawing/2014/main" id="{2DCAFB97-15E0-73BE-B50C-9D2BE925C236}"/>
            </a:ext>
          </a:extLst>
        </xdr:cNvPr>
        <xdr:cNvSpPr/>
      </xdr:nvSpPr>
      <xdr:spPr>
        <a:xfrm>
          <a:off x="16193861" y="11049000"/>
          <a:ext cx="32784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71</xdr:row>
      <xdr:rowOff>76200</xdr:rowOff>
    </xdr:from>
    <xdr:to>
      <xdr:col>53</xdr:col>
      <xdr:colOff>20411</xdr:colOff>
      <xdr:row>71</xdr:row>
      <xdr:rowOff>76200</xdr:rowOff>
    </xdr:to>
    <xdr:cxnSp macro="">
      <xdr:nvCxnSpPr>
        <xdr:cNvPr id="5267" name="직선 화살표 연결선 5266">
          <a:extLst>
            <a:ext uri="{FF2B5EF4-FFF2-40B4-BE49-F238E27FC236}">
              <a16:creationId xmlns:a16="http://schemas.microsoft.com/office/drawing/2014/main" id="{E147A343-3937-7E14-6961-D727142B2F1B}"/>
            </a:ext>
          </a:extLst>
        </xdr:cNvPr>
        <xdr:cNvCxnSpPr/>
      </xdr:nvCxnSpPr>
      <xdr:spPr>
        <a:xfrm>
          <a:off x="16193861"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70</xdr:row>
      <xdr:rowOff>19050</xdr:rowOff>
    </xdr:from>
    <xdr:to>
      <xdr:col>52</xdr:col>
      <xdr:colOff>123734</xdr:colOff>
      <xdr:row>70</xdr:row>
      <xdr:rowOff>133350</xdr:rowOff>
    </xdr:to>
    <xdr:sp macro="" textlink="">
      <xdr:nvSpPr>
        <xdr:cNvPr id="5268" name="67">
          <a:extLst>
            <a:ext uri="{FF2B5EF4-FFF2-40B4-BE49-F238E27FC236}">
              <a16:creationId xmlns:a16="http://schemas.microsoft.com/office/drawing/2014/main" id="{860F2F49-BB09-6AEC-0F09-67CDB2B39415}"/>
            </a:ext>
          </a:extLst>
        </xdr:cNvPr>
        <xdr:cNvSpPr/>
      </xdr:nvSpPr>
      <xdr:spPr>
        <a:xfrm>
          <a:off x="15826468" y="10896600"/>
          <a:ext cx="32784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70</xdr:row>
      <xdr:rowOff>76200</xdr:rowOff>
    </xdr:from>
    <xdr:to>
      <xdr:col>50</xdr:col>
      <xdr:colOff>81643</xdr:colOff>
      <xdr:row>70</xdr:row>
      <xdr:rowOff>76200</xdr:rowOff>
    </xdr:to>
    <xdr:cxnSp macro="">
      <xdr:nvCxnSpPr>
        <xdr:cNvPr id="5269" name="직선 화살표 연결선 5268">
          <a:extLst>
            <a:ext uri="{FF2B5EF4-FFF2-40B4-BE49-F238E27FC236}">
              <a16:creationId xmlns:a16="http://schemas.microsoft.com/office/drawing/2014/main" id="{1AE316C2-FEF3-1837-1FCF-ED94C2C2E026}"/>
            </a:ext>
          </a:extLst>
        </xdr:cNvPr>
        <xdr:cNvCxnSpPr/>
      </xdr:nvCxnSpPr>
      <xdr:spPr>
        <a:xfrm>
          <a:off x="15826468"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69</xdr:row>
      <xdr:rowOff>19050</xdr:rowOff>
    </xdr:from>
    <xdr:to>
      <xdr:col>50</xdr:col>
      <xdr:colOff>82913</xdr:colOff>
      <xdr:row>69</xdr:row>
      <xdr:rowOff>133350</xdr:rowOff>
    </xdr:to>
    <xdr:sp macro="" textlink="">
      <xdr:nvSpPr>
        <xdr:cNvPr id="5270" name="66">
          <a:extLst>
            <a:ext uri="{FF2B5EF4-FFF2-40B4-BE49-F238E27FC236}">
              <a16:creationId xmlns:a16="http://schemas.microsoft.com/office/drawing/2014/main" id="{617C44A7-FE58-6333-CEFF-45210CCC9B6D}"/>
            </a:ext>
          </a:extLst>
        </xdr:cNvPr>
        <xdr:cNvSpPr/>
      </xdr:nvSpPr>
      <xdr:spPr>
        <a:xfrm>
          <a:off x="15622361" y="10744200"/>
          <a:ext cx="20537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69</xdr:row>
      <xdr:rowOff>76200</xdr:rowOff>
    </xdr:from>
    <xdr:to>
      <xdr:col>49</xdr:col>
      <xdr:colOff>20411</xdr:colOff>
      <xdr:row>69</xdr:row>
      <xdr:rowOff>76200</xdr:rowOff>
    </xdr:to>
    <xdr:cxnSp macro="">
      <xdr:nvCxnSpPr>
        <xdr:cNvPr id="5271" name="직선 화살표 연결선 5270">
          <a:extLst>
            <a:ext uri="{FF2B5EF4-FFF2-40B4-BE49-F238E27FC236}">
              <a16:creationId xmlns:a16="http://schemas.microsoft.com/office/drawing/2014/main" id="{A6107131-8540-9D93-9C45-5B752D5C1289}"/>
            </a:ext>
          </a:extLst>
        </xdr:cNvPr>
        <xdr:cNvCxnSpPr/>
      </xdr:nvCxnSpPr>
      <xdr:spPr>
        <a:xfrm>
          <a:off x="15622361"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68</xdr:row>
      <xdr:rowOff>19050</xdr:rowOff>
    </xdr:from>
    <xdr:to>
      <xdr:col>48</xdr:col>
      <xdr:colOff>123734</xdr:colOff>
      <xdr:row>68</xdr:row>
      <xdr:rowOff>133350</xdr:rowOff>
    </xdr:to>
    <xdr:sp macro="" textlink="">
      <xdr:nvSpPr>
        <xdr:cNvPr id="5272" name="65">
          <a:extLst>
            <a:ext uri="{FF2B5EF4-FFF2-40B4-BE49-F238E27FC236}">
              <a16:creationId xmlns:a16="http://schemas.microsoft.com/office/drawing/2014/main" id="{14240DDC-9870-68F1-2668-40A537AF3CAA}"/>
            </a:ext>
          </a:extLst>
        </xdr:cNvPr>
        <xdr:cNvSpPr/>
      </xdr:nvSpPr>
      <xdr:spPr>
        <a:xfrm>
          <a:off x="15336611" y="10591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68</xdr:row>
      <xdr:rowOff>76200</xdr:rowOff>
    </xdr:from>
    <xdr:to>
      <xdr:col>47</xdr:col>
      <xdr:colOff>20411</xdr:colOff>
      <xdr:row>68</xdr:row>
      <xdr:rowOff>76200</xdr:rowOff>
    </xdr:to>
    <xdr:cxnSp macro="">
      <xdr:nvCxnSpPr>
        <xdr:cNvPr id="5273" name="직선 화살표 연결선 5272">
          <a:extLst>
            <a:ext uri="{FF2B5EF4-FFF2-40B4-BE49-F238E27FC236}">
              <a16:creationId xmlns:a16="http://schemas.microsoft.com/office/drawing/2014/main" id="{509EAC6C-0247-C393-933F-1BCF144C9CB8}"/>
            </a:ext>
          </a:extLst>
        </xdr:cNvPr>
        <xdr:cNvCxnSpPr/>
      </xdr:nvCxnSpPr>
      <xdr:spPr>
        <a:xfrm>
          <a:off x="15336611"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67</xdr:row>
      <xdr:rowOff>19050</xdr:rowOff>
    </xdr:from>
    <xdr:to>
      <xdr:col>46</xdr:col>
      <xdr:colOff>103324</xdr:colOff>
      <xdr:row>67</xdr:row>
      <xdr:rowOff>133350</xdr:rowOff>
    </xdr:to>
    <xdr:sp macro="" textlink="">
      <xdr:nvSpPr>
        <xdr:cNvPr id="5274" name="64">
          <a:extLst>
            <a:ext uri="{FF2B5EF4-FFF2-40B4-BE49-F238E27FC236}">
              <a16:creationId xmlns:a16="http://schemas.microsoft.com/office/drawing/2014/main" id="{A9F98D9C-246B-C3DB-B45A-7A3300648F60}"/>
            </a:ext>
          </a:extLst>
        </xdr:cNvPr>
        <xdr:cNvSpPr/>
      </xdr:nvSpPr>
      <xdr:spPr>
        <a:xfrm>
          <a:off x="15050861" y="104394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67</xdr:row>
      <xdr:rowOff>76200</xdr:rowOff>
    </xdr:from>
    <xdr:to>
      <xdr:col>45</xdr:col>
      <xdr:colOff>20411</xdr:colOff>
      <xdr:row>67</xdr:row>
      <xdr:rowOff>76200</xdr:rowOff>
    </xdr:to>
    <xdr:cxnSp macro="">
      <xdr:nvCxnSpPr>
        <xdr:cNvPr id="5275" name="직선 화살표 연결선 5274">
          <a:extLst>
            <a:ext uri="{FF2B5EF4-FFF2-40B4-BE49-F238E27FC236}">
              <a16:creationId xmlns:a16="http://schemas.microsoft.com/office/drawing/2014/main" id="{A864617A-2AC3-A132-BDC1-53D780761EB7}"/>
            </a:ext>
          </a:extLst>
        </xdr:cNvPr>
        <xdr:cNvCxnSpPr/>
      </xdr:nvCxnSpPr>
      <xdr:spPr>
        <a:xfrm>
          <a:off x="15050861"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66</xdr:row>
      <xdr:rowOff>19050</xdr:rowOff>
    </xdr:from>
    <xdr:to>
      <xdr:col>56</xdr:col>
      <xdr:colOff>123734</xdr:colOff>
      <xdr:row>66</xdr:row>
      <xdr:rowOff>133350</xdr:rowOff>
    </xdr:to>
    <xdr:sp macro="" textlink="">
      <xdr:nvSpPr>
        <xdr:cNvPr id="5276" name="63">
          <a:extLst>
            <a:ext uri="{FF2B5EF4-FFF2-40B4-BE49-F238E27FC236}">
              <a16:creationId xmlns:a16="http://schemas.microsoft.com/office/drawing/2014/main" id="{17AF7D51-D826-2341-098E-999B10EED262}"/>
            </a:ext>
          </a:extLst>
        </xdr:cNvPr>
        <xdr:cNvSpPr/>
      </xdr:nvSpPr>
      <xdr:spPr>
        <a:xfrm>
          <a:off x="15050861" y="102870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66</xdr:row>
      <xdr:rowOff>76200</xdr:rowOff>
    </xdr:from>
    <xdr:to>
      <xdr:col>45</xdr:col>
      <xdr:colOff>20411</xdr:colOff>
      <xdr:row>66</xdr:row>
      <xdr:rowOff>76200</xdr:rowOff>
    </xdr:to>
    <xdr:cxnSp macro="">
      <xdr:nvCxnSpPr>
        <xdr:cNvPr id="5277" name="직선 화살표 연결선 5276">
          <a:extLst>
            <a:ext uri="{FF2B5EF4-FFF2-40B4-BE49-F238E27FC236}">
              <a16:creationId xmlns:a16="http://schemas.microsoft.com/office/drawing/2014/main" id="{66B9EA95-4EDB-1038-44FE-FD0AE0DFDF5E}"/>
            </a:ext>
          </a:extLst>
        </xdr:cNvPr>
        <xdr:cNvCxnSpPr/>
      </xdr:nvCxnSpPr>
      <xdr:spPr>
        <a:xfrm>
          <a:off x="15050861"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65</xdr:row>
      <xdr:rowOff>19050</xdr:rowOff>
    </xdr:from>
    <xdr:to>
      <xdr:col>56</xdr:col>
      <xdr:colOff>123734</xdr:colOff>
      <xdr:row>65</xdr:row>
      <xdr:rowOff>133350</xdr:rowOff>
    </xdr:to>
    <xdr:sp macro="" textlink="">
      <xdr:nvSpPr>
        <xdr:cNvPr id="5278" name="62">
          <a:extLst>
            <a:ext uri="{FF2B5EF4-FFF2-40B4-BE49-F238E27FC236}">
              <a16:creationId xmlns:a16="http://schemas.microsoft.com/office/drawing/2014/main" id="{D37FE09D-B646-2008-7BCC-39513EAB15AE}"/>
            </a:ext>
          </a:extLst>
        </xdr:cNvPr>
        <xdr:cNvSpPr/>
      </xdr:nvSpPr>
      <xdr:spPr>
        <a:xfrm>
          <a:off x="15050861" y="10134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65</xdr:row>
      <xdr:rowOff>76200</xdr:rowOff>
    </xdr:from>
    <xdr:to>
      <xdr:col>45</xdr:col>
      <xdr:colOff>20411</xdr:colOff>
      <xdr:row>65</xdr:row>
      <xdr:rowOff>76200</xdr:rowOff>
    </xdr:to>
    <xdr:cxnSp macro="">
      <xdr:nvCxnSpPr>
        <xdr:cNvPr id="5279" name="직선 화살표 연결선 5278">
          <a:extLst>
            <a:ext uri="{FF2B5EF4-FFF2-40B4-BE49-F238E27FC236}">
              <a16:creationId xmlns:a16="http://schemas.microsoft.com/office/drawing/2014/main" id="{F0D96B81-3219-AC0C-2031-3E8B77BF2F91}"/>
            </a:ext>
          </a:extLst>
        </xdr:cNvPr>
        <xdr:cNvCxnSpPr/>
      </xdr:nvCxnSpPr>
      <xdr:spPr>
        <a:xfrm>
          <a:off x="15050861"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64</xdr:row>
      <xdr:rowOff>19050</xdr:rowOff>
    </xdr:from>
    <xdr:to>
      <xdr:col>56</xdr:col>
      <xdr:colOff>123734</xdr:colOff>
      <xdr:row>64</xdr:row>
      <xdr:rowOff>133350</xdr:rowOff>
    </xdr:to>
    <xdr:sp macro="" textlink="">
      <xdr:nvSpPr>
        <xdr:cNvPr id="5280" name="61">
          <a:extLst>
            <a:ext uri="{FF2B5EF4-FFF2-40B4-BE49-F238E27FC236}">
              <a16:creationId xmlns:a16="http://schemas.microsoft.com/office/drawing/2014/main" id="{AE960030-0CCA-A6BC-665F-D8E99703571B}"/>
            </a:ext>
          </a:extLst>
        </xdr:cNvPr>
        <xdr:cNvSpPr/>
      </xdr:nvSpPr>
      <xdr:spPr>
        <a:xfrm>
          <a:off x="15193736" y="99822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64</xdr:row>
      <xdr:rowOff>76200</xdr:rowOff>
    </xdr:from>
    <xdr:to>
      <xdr:col>46</xdr:col>
      <xdr:colOff>20411</xdr:colOff>
      <xdr:row>64</xdr:row>
      <xdr:rowOff>76200</xdr:rowOff>
    </xdr:to>
    <xdr:cxnSp macro="">
      <xdr:nvCxnSpPr>
        <xdr:cNvPr id="5281" name="직선 화살표 연결선 5280">
          <a:extLst>
            <a:ext uri="{FF2B5EF4-FFF2-40B4-BE49-F238E27FC236}">
              <a16:creationId xmlns:a16="http://schemas.microsoft.com/office/drawing/2014/main" id="{A104ADAF-6C0D-EFAD-CC58-32028F2EB7D9}"/>
            </a:ext>
          </a:extLst>
        </xdr:cNvPr>
        <xdr:cNvCxnSpPr/>
      </xdr:nvCxnSpPr>
      <xdr:spPr>
        <a:xfrm>
          <a:off x="15193736"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61232</xdr:colOff>
      <xdr:row>63</xdr:row>
      <xdr:rowOff>19050</xdr:rowOff>
    </xdr:from>
    <xdr:to>
      <xdr:col>56</xdr:col>
      <xdr:colOff>123734</xdr:colOff>
      <xdr:row>63</xdr:row>
      <xdr:rowOff>133350</xdr:rowOff>
    </xdr:to>
    <xdr:sp macro="" textlink="">
      <xdr:nvSpPr>
        <xdr:cNvPr id="5282" name="60">
          <a:extLst>
            <a:ext uri="{FF2B5EF4-FFF2-40B4-BE49-F238E27FC236}">
              <a16:creationId xmlns:a16="http://schemas.microsoft.com/office/drawing/2014/main" id="{090A6793-8C6F-497F-260C-5CF13CFA855C}"/>
            </a:ext>
          </a:extLst>
        </xdr:cNvPr>
        <xdr:cNvSpPr/>
      </xdr:nvSpPr>
      <xdr:spPr>
        <a:xfrm>
          <a:off x="16520432" y="9829800"/>
          <a:ext cx="20537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61232</xdr:colOff>
      <xdr:row>63</xdr:row>
      <xdr:rowOff>76200</xdr:rowOff>
    </xdr:from>
    <xdr:to>
      <xdr:col>55</xdr:col>
      <xdr:colOff>61232</xdr:colOff>
      <xdr:row>63</xdr:row>
      <xdr:rowOff>76200</xdr:rowOff>
    </xdr:to>
    <xdr:cxnSp macro="">
      <xdr:nvCxnSpPr>
        <xdr:cNvPr id="5283" name="직선 화살표 연결선 5282">
          <a:extLst>
            <a:ext uri="{FF2B5EF4-FFF2-40B4-BE49-F238E27FC236}">
              <a16:creationId xmlns:a16="http://schemas.microsoft.com/office/drawing/2014/main" id="{B6FF24FF-02F1-41FC-5789-D7B09EB5C47B}"/>
            </a:ext>
          </a:extLst>
        </xdr:cNvPr>
        <xdr:cNvCxnSpPr/>
      </xdr:nvCxnSpPr>
      <xdr:spPr>
        <a:xfrm>
          <a:off x="16520432"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102054</xdr:colOff>
      <xdr:row>62</xdr:row>
      <xdr:rowOff>19050</xdr:rowOff>
    </xdr:from>
    <xdr:to>
      <xdr:col>55</xdr:col>
      <xdr:colOff>62502</xdr:colOff>
      <xdr:row>62</xdr:row>
      <xdr:rowOff>133350</xdr:rowOff>
    </xdr:to>
    <xdr:sp macro="" textlink="">
      <xdr:nvSpPr>
        <xdr:cNvPr id="5284" name="59">
          <a:extLst>
            <a:ext uri="{FF2B5EF4-FFF2-40B4-BE49-F238E27FC236}">
              <a16:creationId xmlns:a16="http://schemas.microsoft.com/office/drawing/2014/main" id="{9BF23DA3-16EA-7097-9A74-5DB5331E1172}"/>
            </a:ext>
          </a:extLst>
        </xdr:cNvPr>
        <xdr:cNvSpPr/>
      </xdr:nvSpPr>
      <xdr:spPr>
        <a:xfrm>
          <a:off x="16275504" y="96774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102054</xdr:colOff>
      <xdr:row>62</xdr:row>
      <xdr:rowOff>76200</xdr:rowOff>
    </xdr:from>
    <xdr:to>
      <xdr:col>53</xdr:col>
      <xdr:colOff>102054</xdr:colOff>
      <xdr:row>62</xdr:row>
      <xdr:rowOff>76200</xdr:rowOff>
    </xdr:to>
    <xdr:cxnSp macro="">
      <xdr:nvCxnSpPr>
        <xdr:cNvPr id="5285" name="직선 화살표 연결선 5284">
          <a:extLst>
            <a:ext uri="{FF2B5EF4-FFF2-40B4-BE49-F238E27FC236}">
              <a16:creationId xmlns:a16="http://schemas.microsoft.com/office/drawing/2014/main" id="{F53A2129-245C-817D-E41C-224262157E23}"/>
            </a:ext>
          </a:extLst>
        </xdr:cNvPr>
        <xdr:cNvCxnSpPr/>
      </xdr:nvCxnSpPr>
      <xdr:spPr>
        <a:xfrm>
          <a:off x="16275504"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61232</xdr:colOff>
      <xdr:row>61</xdr:row>
      <xdr:rowOff>19050</xdr:rowOff>
    </xdr:from>
    <xdr:to>
      <xdr:col>53</xdr:col>
      <xdr:colOff>103324</xdr:colOff>
      <xdr:row>61</xdr:row>
      <xdr:rowOff>133350</xdr:rowOff>
    </xdr:to>
    <xdr:sp macro="" textlink="">
      <xdr:nvSpPr>
        <xdr:cNvPr id="5286" name="58">
          <a:extLst>
            <a:ext uri="{FF2B5EF4-FFF2-40B4-BE49-F238E27FC236}">
              <a16:creationId xmlns:a16="http://schemas.microsoft.com/office/drawing/2014/main" id="{DD15AF40-894F-C527-E1BF-5C03321B5889}"/>
            </a:ext>
          </a:extLst>
        </xdr:cNvPr>
        <xdr:cNvSpPr/>
      </xdr:nvSpPr>
      <xdr:spPr>
        <a:xfrm>
          <a:off x="15948932" y="9525000"/>
          <a:ext cx="3278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61232</xdr:colOff>
      <xdr:row>61</xdr:row>
      <xdr:rowOff>76200</xdr:rowOff>
    </xdr:from>
    <xdr:to>
      <xdr:col>51</xdr:col>
      <xdr:colOff>61232</xdr:colOff>
      <xdr:row>61</xdr:row>
      <xdr:rowOff>76200</xdr:rowOff>
    </xdr:to>
    <xdr:cxnSp macro="">
      <xdr:nvCxnSpPr>
        <xdr:cNvPr id="5287" name="직선 화살표 연결선 5286">
          <a:extLst>
            <a:ext uri="{FF2B5EF4-FFF2-40B4-BE49-F238E27FC236}">
              <a16:creationId xmlns:a16="http://schemas.microsoft.com/office/drawing/2014/main" id="{DC73BDD9-773D-DB31-9A04-58FAB24F6E79}"/>
            </a:ext>
          </a:extLst>
        </xdr:cNvPr>
        <xdr:cNvCxnSpPr/>
      </xdr:nvCxnSpPr>
      <xdr:spPr>
        <a:xfrm>
          <a:off x="15948932"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102054</xdr:colOff>
      <xdr:row>60</xdr:row>
      <xdr:rowOff>19050</xdr:rowOff>
    </xdr:from>
    <xdr:to>
      <xdr:col>51</xdr:col>
      <xdr:colOff>62502</xdr:colOff>
      <xdr:row>60</xdr:row>
      <xdr:rowOff>133350</xdr:rowOff>
    </xdr:to>
    <xdr:sp macro="" textlink="">
      <xdr:nvSpPr>
        <xdr:cNvPr id="5288" name="57">
          <a:extLst>
            <a:ext uri="{FF2B5EF4-FFF2-40B4-BE49-F238E27FC236}">
              <a16:creationId xmlns:a16="http://schemas.microsoft.com/office/drawing/2014/main" id="{3AFE9415-E816-8B10-0D1A-55467AAE00BE}"/>
            </a:ext>
          </a:extLst>
        </xdr:cNvPr>
        <xdr:cNvSpPr/>
      </xdr:nvSpPr>
      <xdr:spPr>
        <a:xfrm>
          <a:off x="15704004" y="93726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102054</xdr:colOff>
      <xdr:row>60</xdr:row>
      <xdr:rowOff>76200</xdr:rowOff>
    </xdr:from>
    <xdr:to>
      <xdr:col>49</xdr:col>
      <xdr:colOff>102054</xdr:colOff>
      <xdr:row>60</xdr:row>
      <xdr:rowOff>76200</xdr:rowOff>
    </xdr:to>
    <xdr:cxnSp macro="">
      <xdr:nvCxnSpPr>
        <xdr:cNvPr id="5289" name="직선 화살표 연결선 5288">
          <a:extLst>
            <a:ext uri="{FF2B5EF4-FFF2-40B4-BE49-F238E27FC236}">
              <a16:creationId xmlns:a16="http://schemas.microsoft.com/office/drawing/2014/main" id="{31890576-0D64-A9B4-A41D-DF9F7F39D5B1}"/>
            </a:ext>
          </a:extLst>
        </xdr:cNvPr>
        <xdr:cNvCxnSpPr/>
      </xdr:nvCxnSpPr>
      <xdr:spPr>
        <a:xfrm>
          <a:off x="15704004"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102054</xdr:colOff>
      <xdr:row>59</xdr:row>
      <xdr:rowOff>19050</xdr:rowOff>
    </xdr:from>
    <xdr:to>
      <xdr:col>49</xdr:col>
      <xdr:colOff>103324</xdr:colOff>
      <xdr:row>59</xdr:row>
      <xdr:rowOff>133350</xdr:rowOff>
    </xdr:to>
    <xdr:sp macro="" textlink="">
      <xdr:nvSpPr>
        <xdr:cNvPr id="5290" name="56">
          <a:extLst>
            <a:ext uri="{FF2B5EF4-FFF2-40B4-BE49-F238E27FC236}">
              <a16:creationId xmlns:a16="http://schemas.microsoft.com/office/drawing/2014/main" id="{2A15130C-5E30-BABA-7155-A212E7EECE4B}"/>
            </a:ext>
          </a:extLst>
        </xdr:cNvPr>
        <xdr:cNvSpPr/>
      </xdr:nvSpPr>
      <xdr:spPr>
        <a:xfrm>
          <a:off x="15418254" y="9220200"/>
          <a:ext cx="2870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102054</xdr:colOff>
      <xdr:row>59</xdr:row>
      <xdr:rowOff>76200</xdr:rowOff>
    </xdr:from>
    <xdr:to>
      <xdr:col>47</xdr:col>
      <xdr:colOff>102054</xdr:colOff>
      <xdr:row>59</xdr:row>
      <xdr:rowOff>76200</xdr:rowOff>
    </xdr:to>
    <xdr:cxnSp macro="">
      <xdr:nvCxnSpPr>
        <xdr:cNvPr id="5291" name="직선 화살표 연결선 5290">
          <a:extLst>
            <a:ext uri="{FF2B5EF4-FFF2-40B4-BE49-F238E27FC236}">
              <a16:creationId xmlns:a16="http://schemas.microsoft.com/office/drawing/2014/main" id="{26748430-E5C2-1026-AEE2-E9D303815556}"/>
            </a:ext>
          </a:extLst>
        </xdr:cNvPr>
        <xdr:cNvCxnSpPr/>
      </xdr:nvCxnSpPr>
      <xdr:spPr>
        <a:xfrm>
          <a:off x="15418254"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58</xdr:row>
      <xdr:rowOff>19050</xdr:rowOff>
    </xdr:from>
    <xdr:to>
      <xdr:col>47</xdr:col>
      <xdr:colOff>103324</xdr:colOff>
      <xdr:row>58</xdr:row>
      <xdr:rowOff>133350</xdr:rowOff>
    </xdr:to>
    <xdr:sp macro="" textlink="">
      <xdr:nvSpPr>
        <xdr:cNvPr id="5292" name="55">
          <a:extLst>
            <a:ext uri="{FF2B5EF4-FFF2-40B4-BE49-F238E27FC236}">
              <a16:creationId xmlns:a16="http://schemas.microsoft.com/office/drawing/2014/main" id="{7E4C6EC5-03DB-B88C-7FF4-C25134C7410C}"/>
            </a:ext>
          </a:extLst>
        </xdr:cNvPr>
        <xdr:cNvSpPr/>
      </xdr:nvSpPr>
      <xdr:spPr>
        <a:xfrm>
          <a:off x="15050861" y="9067800"/>
          <a:ext cx="36866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58</xdr:row>
      <xdr:rowOff>76200</xdr:rowOff>
    </xdr:from>
    <xdr:to>
      <xdr:col>45</xdr:col>
      <xdr:colOff>20411</xdr:colOff>
      <xdr:row>58</xdr:row>
      <xdr:rowOff>76200</xdr:rowOff>
    </xdr:to>
    <xdr:cxnSp macro="">
      <xdr:nvCxnSpPr>
        <xdr:cNvPr id="5293" name="직선 화살표 연결선 5292">
          <a:extLst>
            <a:ext uri="{FF2B5EF4-FFF2-40B4-BE49-F238E27FC236}">
              <a16:creationId xmlns:a16="http://schemas.microsoft.com/office/drawing/2014/main" id="{C1BB329C-4A18-86F8-BBF8-66DA47FBB65F}"/>
            </a:ext>
          </a:extLst>
        </xdr:cNvPr>
        <xdr:cNvCxnSpPr/>
      </xdr:nvCxnSpPr>
      <xdr:spPr>
        <a:xfrm>
          <a:off x="15050861"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57</xdr:row>
      <xdr:rowOff>19050</xdr:rowOff>
    </xdr:from>
    <xdr:to>
      <xdr:col>56</xdr:col>
      <xdr:colOff>123734</xdr:colOff>
      <xdr:row>57</xdr:row>
      <xdr:rowOff>133350</xdr:rowOff>
    </xdr:to>
    <xdr:sp macro="" textlink="">
      <xdr:nvSpPr>
        <xdr:cNvPr id="5294" name="54">
          <a:extLst>
            <a:ext uri="{FF2B5EF4-FFF2-40B4-BE49-F238E27FC236}">
              <a16:creationId xmlns:a16="http://schemas.microsoft.com/office/drawing/2014/main" id="{A5FAC417-007A-B70C-3D4A-8B543990D1F5}"/>
            </a:ext>
          </a:extLst>
        </xdr:cNvPr>
        <xdr:cNvSpPr/>
      </xdr:nvSpPr>
      <xdr:spPr>
        <a:xfrm>
          <a:off x="15050861" y="89154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57</xdr:row>
      <xdr:rowOff>76200</xdr:rowOff>
    </xdr:from>
    <xdr:to>
      <xdr:col>45</xdr:col>
      <xdr:colOff>20411</xdr:colOff>
      <xdr:row>57</xdr:row>
      <xdr:rowOff>76200</xdr:rowOff>
    </xdr:to>
    <xdr:cxnSp macro="">
      <xdr:nvCxnSpPr>
        <xdr:cNvPr id="5295" name="직선 화살표 연결선 5294">
          <a:extLst>
            <a:ext uri="{FF2B5EF4-FFF2-40B4-BE49-F238E27FC236}">
              <a16:creationId xmlns:a16="http://schemas.microsoft.com/office/drawing/2014/main" id="{FC338BB1-5BB7-363E-3418-3CF2EDFBD3F5}"/>
            </a:ext>
          </a:extLst>
        </xdr:cNvPr>
        <xdr:cNvCxnSpPr/>
      </xdr:nvCxnSpPr>
      <xdr:spPr>
        <a:xfrm>
          <a:off x="15050861"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56</xdr:row>
      <xdr:rowOff>19050</xdr:rowOff>
    </xdr:from>
    <xdr:to>
      <xdr:col>56</xdr:col>
      <xdr:colOff>123734</xdr:colOff>
      <xdr:row>56</xdr:row>
      <xdr:rowOff>133350</xdr:rowOff>
    </xdr:to>
    <xdr:sp macro="" textlink="">
      <xdr:nvSpPr>
        <xdr:cNvPr id="5296" name="53">
          <a:extLst>
            <a:ext uri="{FF2B5EF4-FFF2-40B4-BE49-F238E27FC236}">
              <a16:creationId xmlns:a16="http://schemas.microsoft.com/office/drawing/2014/main" id="{7619C2A0-949B-C04B-A0BE-C33AD03E839F}"/>
            </a:ext>
          </a:extLst>
        </xdr:cNvPr>
        <xdr:cNvSpPr/>
      </xdr:nvSpPr>
      <xdr:spPr>
        <a:xfrm>
          <a:off x="15050861" y="87630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56</xdr:row>
      <xdr:rowOff>76200</xdr:rowOff>
    </xdr:from>
    <xdr:to>
      <xdr:col>45</xdr:col>
      <xdr:colOff>20411</xdr:colOff>
      <xdr:row>56</xdr:row>
      <xdr:rowOff>76200</xdr:rowOff>
    </xdr:to>
    <xdr:cxnSp macro="">
      <xdr:nvCxnSpPr>
        <xdr:cNvPr id="5297" name="직선 화살표 연결선 5296">
          <a:extLst>
            <a:ext uri="{FF2B5EF4-FFF2-40B4-BE49-F238E27FC236}">
              <a16:creationId xmlns:a16="http://schemas.microsoft.com/office/drawing/2014/main" id="{650A62D3-F163-6B0D-11B3-8A1AA3D9171A}"/>
            </a:ext>
          </a:extLst>
        </xdr:cNvPr>
        <xdr:cNvCxnSpPr/>
      </xdr:nvCxnSpPr>
      <xdr:spPr>
        <a:xfrm>
          <a:off x="15050861"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55</xdr:row>
      <xdr:rowOff>19050</xdr:rowOff>
    </xdr:from>
    <xdr:to>
      <xdr:col>56</xdr:col>
      <xdr:colOff>123734</xdr:colOff>
      <xdr:row>55</xdr:row>
      <xdr:rowOff>133350</xdr:rowOff>
    </xdr:to>
    <xdr:sp macro="" textlink="">
      <xdr:nvSpPr>
        <xdr:cNvPr id="5298" name="52">
          <a:extLst>
            <a:ext uri="{FF2B5EF4-FFF2-40B4-BE49-F238E27FC236}">
              <a16:creationId xmlns:a16="http://schemas.microsoft.com/office/drawing/2014/main" id="{9A36143B-8DF7-B8B1-CE05-4F8236B90A06}"/>
            </a:ext>
          </a:extLst>
        </xdr:cNvPr>
        <xdr:cNvSpPr/>
      </xdr:nvSpPr>
      <xdr:spPr>
        <a:xfrm>
          <a:off x="15050861" y="8610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55</xdr:row>
      <xdr:rowOff>76200</xdr:rowOff>
    </xdr:from>
    <xdr:to>
      <xdr:col>45</xdr:col>
      <xdr:colOff>20411</xdr:colOff>
      <xdr:row>55</xdr:row>
      <xdr:rowOff>76200</xdr:rowOff>
    </xdr:to>
    <xdr:cxnSp macro="">
      <xdr:nvCxnSpPr>
        <xdr:cNvPr id="5299" name="직선 화살표 연결선 5298">
          <a:extLst>
            <a:ext uri="{FF2B5EF4-FFF2-40B4-BE49-F238E27FC236}">
              <a16:creationId xmlns:a16="http://schemas.microsoft.com/office/drawing/2014/main" id="{A273DE59-8A70-AD6E-0AC2-3B9987E4567F}"/>
            </a:ext>
          </a:extLst>
        </xdr:cNvPr>
        <xdr:cNvCxnSpPr/>
      </xdr:nvCxnSpPr>
      <xdr:spPr>
        <a:xfrm>
          <a:off x="15050861"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54</xdr:row>
      <xdr:rowOff>19050</xdr:rowOff>
    </xdr:from>
    <xdr:to>
      <xdr:col>45</xdr:col>
      <xdr:colOff>123734</xdr:colOff>
      <xdr:row>54</xdr:row>
      <xdr:rowOff>133350</xdr:rowOff>
    </xdr:to>
    <xdr:sp macro="" textlink="">
      <xdr:nvSpPr>
        <xdr:cNvPr id="5300" name="51">
          <a:extLst>
            <a:ext uri="{FF2B5EF4-FFF2-40B4-BE49-F238E27FC236}">
              <a16:creationId xmlns:a16="http://schemas.microsoft.com/office/drawing/2014/main" id="{1851E058-DAC4-1BAE-64A8-F745F1C3FA02}"/>
            </a:ext>
          </a:extLst>
        </xdr:cNvPr>
        <xdr:cNvSpPr/>
      </xdr:nvSpPr>
      <xdr:spPr>
        <a:xfrm>
          <a:off x="15050861" y="845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54</xdr:row>
      <xdr:rowOff>76200</xdr:rowOff>
    </xdr:from>
    <xdr:to>
      <xdr:col>45</xdr:col>
      <xdr:colOff>20411</xdr:colOff>
      <xdr:row>54</xdr:row>
      <xdr:rowOff>76200</xdr:rowOff>
    </xdr:to>
    <xdr:cxnSp macro="">
      <xdr:nvCxnSpPr>
        <xdr:cNvPr id="5301" name="직선 화살표 연결선 5300">
          <a:extLst>
            <a:ext uri="{FF2B5EF4-FFF2-40B4-BE49-F238E27FC236}">
              <a16:creationId xmlns:a16="http://schemas.microsoft.com/office/drawing/2014/main" id="{E4F8F6E4-F642-5CF6-76F8-FE6BA2F3B5FD}"/>
            </a:ext>
          </a:extLst>
        </xdr:cNvPr>
        <xdr:cNvCxnSpPr/>
      </xdr:nvCxnSpPr>
      <xdr:spPr>
        <a:xfrm>
          <a:off x="15050861"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53</xdr:row>
      <xdr:rowOff>19050</xdr:rowOff>
    </xdr:from>
    <xdr:to>
      <xdr:col>56</xdr:col>
      <xdr:colOff>123734</xdr:colOff>
      <xdr:row>53</xdr:row>
      <xdr:rowOff>133350</xdr:rowOff>
    </xdr:to>
    <xdr:sp macro="" textlink="">
      <xdr:nvSpPr>
        <xdr:cNvPr id="5302" name="50">
          <a:extLst>
            <a:ext uri="{FF2B5EF4-FFF2-40B4-BE49-F238E27FC236}">
              <a16:creationId xmlns:a16="http://schemas.microsoft.com/office/drawing/2014/main" id="{8CFF56DE-213A-5B22-305D-B54E6228CA4C}"/>
            </a:ext>
          </a:extLst>
        </xdr:cNvPr>
        <xdr:cNvSpPr/>
      </xdr:nvSpPr>
      <xdr:spPr>
        <a:xfrm>
          <a:off x="15050861" y="83058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53</xdr:row>
      <xdr:rowOff>76200</xdr:rowOff>
    </xdr:from>
    <xdr:to>
      <xdr:col>45</xdr:col>
      <xdr:colOff>20411</xdr:colOff>
      <xdr:row>53</xdr:row>
      <xdr:rowOff>76200</xdr:rowOff>
    </xdr:to>
    <xdr:cxnSp macro="">
      <xdr:nvCxnSpPr>
        <xdr:cNvPr id="5303" name="직선 화살표 연결선 5302">
          <a:extLst>
            <a:ext uri="{FF2B5EF4-FFF2-40B4-BE49-F238E27FC236}">
              <a16:creationId xmlns:a16="http://schemas.microsoft.com/office/drawing/2014/main" id="{5419CE5F-E177-EC7A-A49C-CA06BB956D3C}"/>
            </a:ext>
          </a:extLst>
        </xdr:cNvPr>
        <xdr:cNvCxnSpPr/>
      </xdr:nvCxnSpPr>
      <xdr:spPr>
        <a:xfrm>
          <a:off x="15050861"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52</xdr:row>
      <xdr:rowOff>19050</xdr:rowOff>
    </xdr:from>
    <xdr:to>
      <xdr:col>62</xdr:col>
      <xdr:colOff>123734</xdr:colOff>
      <xdr:row>52</xdr:row>
      <xdr:rowOff>133350</xdr:rowOff>
    </xdr:to>
    <xdr:sp macro="" textlink="">
      <xdr:nvSpPr>
        <xdr:cNvPr id="5304" name="49">
          <a:extLst>
            <a:ext uri="{FF2B5EF4-FFF2-40B4-BE49-F238E27FC236}">
              <a16:creationId xmlns:a16="http://schemas.microsoft.com/office/drawing/2014/main" id="{D88D12AD-B3D1-57F3-F3B2-40E731AAE420}"/>
            </a:ext>
          </a:extLst>
        </xdr:cNvPr>
        <xdr:cNvSpPr/>
      </xdr:nvSpPr>
      <xdr:spPr>
        <a:xfrm>
          <a:off x="15050861" y="8153400"/>
          <a:ext cx="2532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52</xdr:row>
      <xdr:rowOff>76200</xdr:rowOff>
    </xdr:from>
    <xdr:to>
      <xdr:col>45</xdr:col>
      <xdr:colOff>20411</xdr:colOff>
      <xdr:row>52</xdr:row>
      <xdr:rowOff>76200</xdr:rowOff>
    </xdr:to>
    <xdr:cxnSp macro="">
      <xdr:nvCxnSpPr>
        <xdr:cNvPr id="5305" name="직선 화살표 연결선 5304">
          <a:extLst>
            <a:ext uri="{FF2B5EF4-FFF2-40B4-BE49-F238E27FC236}">
              <a16:creationId xmlns:a16="http://schemas.microsoft.com/office/drawing/2014/main" id="{C11F9522-4148-F6B3-F62A-16523E5B9DD8}"/>
            </a:ext>
          </a:extLst>
        </xdr:cNvPr>
        <xdr:cNvCxnSpPr/>
      </xdr:nvCxnSpPr>
      <xdr:spPr>
        <a:xfrm>
          <a:off x="15050861"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51</xdr:row>
      <xdr:rowOff>19050</xdr:rowOff>
    </xdr:from>
    <xdr:to>
      <xdr:col>44</xdr:col>
      <xdr:colOff>123734</xdr:colOff>
      <xdr:row>51</xdr:row>
      <xdr:rowOff>133350</xdr:rowOff>
    </xdr:to>
    <xdr:sp macro="" textlink="">
      <xdr:nvSpPr>
        <xdr:cNvPr id="5306" name="48">
          <a:extLst>
            <a:ext uri="{FF2B5EF4-FFF2-40B4-BE49-F238E27FC236}">
              <a16:creationId xmlns:a16="http://schemas.microsoft.com/office/drawing/2014/main" id="{94858595-8072-CB24-5E46-6931DDAE9EF3}"/>
            </a:ext>
          </a:extLst>
        </xdr:cNvPr>
        <xdr:cNvSpPr/>
      </xdr:nvSpPr>
      <xdr:spPr>
        <a:xfrm>
          <a:off x="14765111" y="80010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51</xdr:row>
      <xdr:rowOff>76200</xdr:rowOff>
    </xdr:from>
    <xdr:to>
      <xdr:col>43</xdr:col>
      <xdr:colOff>20411</xdr:colOff>
      <xdr:row>51</xdr:row>
      <xdr:rowOff>76200</xdr:rowOff>
    </xdr:to>
    <xdr:cxnSp macro="">
      <xdr:nvCxnSpPr>
        <xdr:cNvPr id="5307" name="직선 화살표 연결선 5306">
          <a:extLst>
            <a:ext uri="{FF2B5EF4-FFF2-40B4-BE49-F238E27FC236}">
              <a16:creationId xmlns:a16="http://schemas.microsoft.com/office/drawing/2014/main" id="{7DCBF97D-3F4F-DA63-AC6B-F98BDA9A6F9C}"/>
            </a:ext>
          </a:extLst>
        </xdr:cNvPr>
        <xdr:cNvCxnSpPr/>
      </xdr:nvCxnSpPr>
      <xdr:spPr>
        <a:xfrm>
          <a:off x="14765111"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50</xdr:row>
      <xdr:rowOff>19050</xdr:rowOff>
    </xdr:from>
    <xdr:to>
      <xdr:col>56</xdr:col>
      <xdr:colOff>123734</xdr:colOff>
      <xdr:row>50</xdr:row>
      <xdr:rowOff>133350</xdr:rowOff>
    </xdr:to>
    <xdr:sp macro="" textlink="">
      <xdr:nvSpPr>
        <xdr:cNvPr id="5308" name="47">
          <a:extLst>
            <a:ext uri="{FF2B5EF4-FFF2-40B4-BE49-F238E27FC236}">
              <a16:creationId xmlns:a16="http://schemas.microsoft.com/office/drawing/2014/main" id="{4097D2C0-EFAA-D6DA-B73B-1D1020F3FAF8}"/>
            </a:ext>
          </a:extLst>
        </xdr:cNvPr>
        <xdr:cNvSpPr/>
      </xdr:nvSpPr>
      <xdr:spPr>
        <a:xfrm>
          <a:off x="16336736" y="78486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50</xdr:row>
      <xdr:rowOff>76200</xdr:rowOff>
    </xdr:from>
    <xdr:to>
      <xdr:col>54</xdr:col>
      <xdr:colOff>20411</xdr:colOff>
      <xdr:row>50</xdr:row>
      <xdr:rowOff>76200</xdr:rowOff>
    </xdr:to>
    <xdr:cxnSp macro="">
      <xdr:nvCxnSpPr>
        <xdr:cNvPr id="5309" name="직선 화살표 연결선 5308">
          <a:extLst>
            <a:ext uri="{FF2B5EF4-FFF2-40B4-BE49-F238E27FC236}">
              <a16:creationId xmlns:a16="http://schemas.microsoft.com/office/drawing/2014/main" id="{5AD0DDE9-AEEA-5626-0CEE-297221C97812}"/>
            </a:ext>
          </a:extLst>
        </xdr:cNvPr>
        <xdr:cNvCxnSpPr/>
      </xdr:nvCxnSpPr>
      <xdr:spPr>
        <a:xfrm>
          <a:off x="16336736"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49</xdr:row>
      <xdr:rowOff>19050</xdr:rowOff>
    </xdr:from>
    <xdr:to>
      <xdr:col>56</xdr:col>
      <xdr:colOff>123734</xdr:colOff>
      <xdr:row>49</xdr:row>
      <xdr:rowOff>133350</xdr:rowOff>
    </xdr:to>
    <xdr:sp macro="" textlink="">
      <xdr:nvSpPr>
        <xdr:cNvPr id="5310" name="46">
          <a:extLst>
            <a:ext uri="{FF2B5EF4-FFF2-40B4-BE49-F238E27FC236}">
              <a16:creationId xmlns:a16="http://schemas.microsoft.com/office/drawing/2014/main" id="{4C3C0491-5652-92EE-FFEB-735977D7646F}"/>
            </a:ext>
          </a:extLst>
        </xdr:cNvPr>
        <xdr:cNvSpPr/>
      </xdr:nvSpPr>
      <xdr:spPr>
        <a:xfrm>
          <a:off x="15050861" y="76962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49</xdr:row>
      <xdr:rowOff>76200</xdr:rowOff>
    </xdr:from>
    <xdr:to>
      <xdr:col>45</xdr:col>
      <xdr:colOff>20411</xdr:colOff>
      <xdr:row>49</xdr:row>
      <xdr:rowOff>76200</xdr:rowOff>
    </xdr:to>
    <xdr:cxnSp macro="">
      <xdr:nvCxnSpPr>
        <xdr:cNvPr id="5311" name="직선 화살표 연결선 5310">
          <a:extLst>
            <a:ext uri="{FF2B5EF4-FFF2-40B4-BE49-F238E27FC236}">
              <a16:creationId xmlns:a16="http://schemas.microsoft.com/office/drawing/2014/main" id="{8BF27C48-C448-7C0E-F630-5EAAF7DD526A}"/>
            </a:ext>
          </a:extLst>
        </xdr:cNvPr>
        <xdr:cNvCxnSpPr/>
      </xdr:nvCxnSpPr>
      <xdr:spPr>
        <a:xfrm>
          <a:off x="15050861"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48</xdr:row>
      <xdr:rowOff>19050</xdr:rowOff>
    </xdr:from>
    <xdr:to>
      <xdr:col>56</xdr:col>
      <xdr:colOff>123734</xdr:colOff>
      <xdr:row>48</xdr:row>
      <xdr:rowOff>133350</xdr:rowOff>
    </xdr:to>
    <xdr:sp macro="" textlink="">
      <xdr:nvSpPr>
        <xdr:cNvPr id="5312" name="45">
          <a:extLst>
            <a:ext uri="{FF2B5EF4-FFF2-40B4-BE49-F238E27FC236}">
              <a16:creationId xmlns:a16="http://schemas.microsoft.com/office/drawing/2014/main" id="{AB659FAD-768F-B0C8-2E02-67B285932E24}"/>
            </a:ext>
          </a:extLst>
        </xdr:cNvPr>
        <xdr:cNvSpPr/>
      </xdr:nvSpPr>
      <xdr:spPr>
        <a:xfrm>
          <a:off x="14765111" y="7543800"/>
          <a:ext cx="19606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48</xdr:row>
      <xdr:rowOff>76200</xdr:rowOff>
    </xdr:from>
    <xdr:to>
      <xdr:col>43</xdr:col>
      <xdr:colOff>20411</xdr:colOff>
      <xdr:row>48</xdr:row>
      <xdr:rowOff>76200</xdr:rowOff>
    </xdr:to>
    <xdr:cxnSp macro="">
      <xdr:nvCxnSpPr>
        <xdr:cNvPr id="5313" name="직선 화살표 연결선 5312">
          <a:extLst>
            <a:ext uri="{FF2B5EF4-FFF2-40B4-BE49-F238E27FC236}">
              <a16:creationId xmlns:a16="http://schemas.microsoft.com/office/drawing/2014/main" id="{05033C11-61C1-9DC5-1065-8B5F95792CBB}"/>
            </a:ext>
          </a:extLst>
        </xdr:cNvPr>
        <xdr:cNvCxnSpPr/>
      </xdr:nvCxnSpPr>
      <xdr:spPr>
        <a:xfrm>
          <a:off x="14765111"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47</xdr:row>
      <xdr:rowOff>19050</xdr:rowOff>
    </xdr:from>
    <xdr:to>
      <xdr:col>56</xdr:col>
      <xdr:colOff>123734</xdr:colOff>
      <xdr:row>47</xdr:row>
      <xdr:rowOff>133350</xdr:rowOff>
    </xdr:to>
    <xdr:sp macro="" textlink="">
      <xdr:nvSpPr>
        <xdr:cNvPr id="5314" name="44">
          <a:extLst>
            <a:ext uri="{FF2B5EF4-FFF2-40B4-BE49-F238E27FC236}">
              <a16:creationId xmlns:a16="http://schemas.microsoft.com/office/drawing/2014/main" id="{DB4E8A9A-AEDE-04EF-78CA-78649F767551}"/>
            </a:ext>
          </a:extLst>
        </xdr:cNvPr>
        <xdr:cNvSpPr/>
      </xdr:nvSpPr>
      <xdr:spPr>
        <a:xfrm>
          <a:off x="14765111" y="7391400"/>
          <a:ext cx="19606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47</xdr:row>
      <xdr:rowOff>76200</xdr:rowOff>
    </xdr:from>
    <xdr:to>
      <xdr:col>43</xdr:col>
      <xdr:colOff>20411</xdr:colOff>
      <xdr:row>47</xdr:row>
      <xdr:rowOff>76200</xdr:rowOff>
    </xdr:to>
    <xdr:cxnSp macro="">
      <xdr:nvCxnSpPr>
        <xdr:cNvPr id="5315" name="직선 화살표 연결선 5314">
          <a:extLst>
            <a:ext uri="{FF2B5EF4-FFF2-40B4-BE49-F238E27FC236}">
              <a16:creationId xmlns:a16="http://schemas.microsoft.com/office/drawing/2014/main" id="{4F3A511C-404E-01CC-4183-BC4DD9FF2C13}"/>
            </a:ext>
          </a:extLst>
        </xdr:cNvPr>
        <xdr:cNvCxnSpPr/>
      </xdr:nvCxnSpPr>
      <xdr:spPr>
        <a:xfrm>
          <a:off x="14765111"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46</xdr:row>
      <xdr:rowOff>19050</xdr:rowOff>
    </xdr:from>
    <xdr:to>
      <xdr:col>56</xdr:col>
      <xdr:colOff>123734</xdr:colOff>
      <xdr:row>46</xdr:row>
      <xdr:rowOff>133350</xdr:rowOff>
    </xdr:to>
    <xdr:sp macro="" textlink="">
      <xdr:nvSpPr>
        <xdr:cNvPr id="5316" name="43">
          <a:extLst>
            <a:ext uri="{FF2B5EF4-FFF2-40B4-BE49-F238E27FC236}">
              <a16:creationId xmlns:a16="http://schemas.microsoft.com/office/drawing/2014/main" id="{923CF166-F231-5A55-5650-AD4E106A378D}"/>
            </a:ext>
          </a:extLst>
        </xdr:cNvPr>
        <xdr:cNvSpPr/>
      </xdr:nvSpPr>
      <xdr:spPr>
        <a:xfrm>
          <a:off x="14765111" y="7239000"/>
          <a:ext cx="19606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46</xdr:row>
      <xdr:rowOff>76200</xdr:rowOff>
    </xdr:from>
    <xdr:to>
      <xdr:col>43</xdr:col>
      <xdr:colOff>20411</xdr:colOff>
      <xdr:row>46</xdr:row>
      <xdr:rowOff>76200</xdr:rowOff>
    </xdr:to>
    <xdr:cxnSp macro="">
      <xdr:nvCxnSpPr>
        <xdr:cNvPr id="5317" name="직선 화살표 연결선 5316">
          <a:extLst>
            <a:ext uri="{FF2B5EF4-FFF2-40B4-BE49-F238E27FC236}">
              <a16:creationId xmlns:a16="http://schemas.microsoft.com/office/drawing/2014/main" id="{2BDCC7B7-F883-AAD5-2E3F-1570E283B986}"/>
            </a:ext>
          </a:extLst>
        </xdr:cNvPr>
        <xdr:cNvCxnSpPr/>
      </xdr:nvCxnSpPr>
      <xdr:spPr>
        <a:xfrm>
          <a:off x="14765111"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45</xdr:row>
      <xdr:rowOff>19050</xdr:rowOff>
    </xdr:from>
    <xdr:to>
      <xdr:col>56</xdr:col>
      <xdr:colOff>123734</xdr:colOff>
      <xdr:row>45</xdr:row>
      <xdr:rowOff>133350</xdr:rowOff>
    </xdr:to>
    <xdr:sp macro="" textlink="">
      <xdr:nvSpPr>
        <xdr:cNvPr id="5318" name="42">
          <a:extLst>
            <a:ext uri="{FF2B5EF4-FFF2-40B4-BE49-F238E27FC236}">
              <a16:creationId xmlns:a16="http://schemas.microsoft.com/office/drawing/2014/main" id="{B34A9204-BF39-BFDB-7215-132F89B67B19}"/>
            </a:ext>
          </a:extLst>
        </xdr:cNvPr>
        <xdr:cNvSpPr/>
      </xdr:nvSpPr>
      <xdr:spPr>
        <a:xfrm>
          <a:off x="14765111" y="7086600"/>
          <a:ext cx="19606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45</xdr:row>
      <xdr:rowOff>76200</xdr:rowOff>
    </xdr:from>
    <xdr:to>
      <xdr:col>43</xdr:col>
      <xdr:colOff>20411</xdr:colOff>
      <xdr:row>45</xdr:row>
      <xdr:rowOff>76200</xdr:rowOff>
    </xdr:to>
    <xdr:cxnSp macro="">
      <xdr:nvCxnSpPr>
        <xdr:cNvPr id="5319" name="직선 화살표 연결선 5318">
          <a:extLst>
            <a:ext uri="{FF2B5EF4-FFF2-40B4-BE49-F238E27FC236}">
              <a16:creationId xmlns:a16="http://schemas.microsoft.com/office/drawing/2014/main" id="{3509D7C7-B4BB-3125-E5D1-FB68C812C07D}"/>
            </a:ext>
          </a:extLst>
        </xdr:cNvPr>
        <xdr:cNvCxnSpPr/>
      </xdr:nvCxnSpPr>
      <xdr:spPr>
        <a:xfrm>
          <a:off x="14765111"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44</xdr:row>
      <xdr:rowOff>19050</xdr:rowOff>
    </xdr:from>
    <xdr:to>
      <xdr:col>56</xdr:col>
      <xdr:colOff>123734</xdr:colOff>
      <xdr:row>44</xdr:row>
      <xdr:rowOff>133350</xdr:rowOff>
    </xdr:to>
    <xdr:sp macro="" textlink="">
      <xdr:nvSpPr>
        <xdr:cNvPr id="5320" name="41">
          <a:extLst>
            <a:ext uri="{FF2B5EF4-FFF2-40B4-BE49-F238E27FC236}">
              <a16:creationId xmlns:a16="http://schemas.microsoft.com/office/drawing/2014/main" id="{C1477272-C398-DE15-95FA-212471C0A463}"/>
            </a:ext>
          </a:extLst>
        </xdr:cNvPr>
        <xdr:cNvSpPr/>
      </xdr:nvSpPr>
      <xdr:spPr>
        <a:xfrm>
          <a:off x="14765111" y="6934200"/>
          <a:ext cx="19606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44</xdr:row>
      <xdr:rowOff>76200</xdr:rowOff>
    </xdr:from>
    <xdr:to>
      <xdr:col>43</xdr:col>
      <xdr:colOff>20411</xdr:colOff>
      <xdr:row>44</xdr:row>
      <xdr:rowOff>76200</xdr:rowOff>
    </xdr:to>
    <xdr:cxnSp macro="">
      <xdr:nvCxnSpPr>
        <xdr:cNvPr id="5321" name="직선 화살표 연결선 5320">
          <a:extLst>
            <a:ext uri="{FF2B5EF4-FFF2-40B4-BE49-F238E27FC236}">
              <a16:creationId xmlns:a16="http://schemas.microsoft.com/office/drawing/2014/main" id="{AD322369-DD89-DFD8-79D2-87D95B22151C}"/>
            </a:ext>
          </a:extLst>
        </xdr:cNvPr>
        <xdr:cNvCxnSpPr/>
      </xdr:nvCxnSpPr>
      <xdr:spPr>
        <a:xfrm>
          <a:off x="14765111"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43</xdr:row>
      <xdr:rowOff>19050</xdr:rowOff>
    </xdr:from>
    <xdr:to>
      <xdr:col>43</xdr:col>
      <xdr:colOff>123734</xdr:colOff>
      <xdr:row>43</xdr:row>
      <xdr:rowOff>133350</xdr:rowOff>
    </xdr:to>
    <xdr:sp macro="" textlink="">
      <xdr:nvSpPr>
        <xdr:cNvPr id="5322" name="40">
          <a:extLst>
            <a:ext uri="{FF2B5EF4-FFF2-40B4-BE49-F238E27FC236}">
              <a16:creationId xmlns:a16="http://schemas.microsoft.com/office/drawing/2014/main" id="{352AE9B8-F750-7EDF-4187-E9F744A35221}"/>
            </a:ext>
          </a:extLst>
        </xdr:cNvPr>
        <xdr:cNvSpPr/>
      </xdr:nvSpPr>
      <xdr:spPr>
        <a:xfrm>
          <a:off x="14765111" y="6781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43</xdr:row>
      <xdr:rowOff>76200</xdr:rowOff>
    </xdr:from>
    <xdr:to>
      <xdr:col>43</xdr:col>
      <xdr:colOff>20411</xdr:colOff>
      <xdr:row>43</xdr:row>
      <xdr:rowOff>76200</xdr:rowOff>
    </xdr:to>
    <xdr:cxnSp macro="">
      <xdr:nvCxnSpPr>
        <xdr:cNvPr id="5323" name="직선 화살표 연결선 5322">
          <a:extLst>
            <a:ext uri="{FF2B5EF4-FFF2-40B4-BE49-F238E27FC236}">
              <a16:creationId xmlns:a16="http://schemas.microsoft.com/office/drawing/2014/main" id="{BC1582B8-C7D7-1A42-5808-D16EECEE375F}"/>
            </a:ext>
          </a:extLst>
        </xdr:cNvPr>
        <xdr:cNvCxnSpPr/>
      </xdr:nvCxnSpPr>
      <xdr:spPr>
        <a:xfrm>
          <a:off x="14765111"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42</xdr:row>
      <xdr:rowOff>19050</xdr:rowOff>
    </xdr:from>
    <xdr:to>
      <xdr:col>36</xdr:col>
      <xdr:colOff>123734</xdr:colOff>
      <xdr:row>42</xdr:row>
      <xdr:rowOff>133350</xdr:rowOff>
    </xdr:to>
    <xdr:sp macro="" textlink="">
      <xdr:nvSpPr>
        <xdr:cNvPr id="5324" name="39">
          <a:extLst>
            <a:ext uri="{FF2B5EF4-FFF2-40B4-BE49-F238E27FC236}">
              <a16:creationId xmlns:a16="http://schemas.microsoft.com/office/drawing/2014/main" id="{77A7A506-E39D-4D69-58EA-2DBDC52816A6}"/>
            </a:ext>
          </a:extLst>
        </xdr:cNvPr>
        <xdr:cNvSpPr/>
      </xdr:nvSpPr>
      <xdr:spPr>
        <a:xfrm>
          <a:off x="13336361" y="66294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42</xdr:row>
      <xdr:rowOff>76200</xdr:rowOff>
    </xdr:from>
    <xdr:to>
      <xdr:col>36</xdr:col>
      <xdr:colOff>122464</xdr:colOff>
      <xdr:row>42</xdr:row>
      <xdr:rowOff>76200</xdr:rowOff>
    </xdr:to>
    <xdr:cxnSp macro="">
      <xdr:nvCxnSpPr>
        <xdr:cNvPr id="5325" name="직선 화살표 연결선 5324">
          <a:extLst>
            <a:ext uri="{FF2B5EF4-FFF2-40B4-BE49-F238E27FC236}">
              <a16:creationId xmlns:a16="http://schemas.microsoft.com/office/drawing/2014/main" id="{E5EC6A94-2369-48B7-12ED-7E0C1F7D7359}"/>
            </a:ext>
          </a:extLst>
        </xdr:cNvPr>
        <xdr:cNvCxnSpPr/>
      </xdr:nvCxnSpPr>
      <xdr:spPr>
        <a:xfrm>
          <a:off x="13336361" y="66865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41</xdr:row>
      <xdr:rowOff>19050</xdr:rowOff>
    </xdr:from>
    <xdr:to>
      <xdr:col>43</xdr:col>
      <xdr:colOff>123734</xdr:colOff>
      <xdr:row>41</xdr:row>
      <xdr:rowOff>133350</xdr:rowOff>
    </xdr:to>
    <xdr:sp macro="" textlink="">
      <xdr:nvSpPr>
        <xdr:cNvPr id="5326" name="38">
          <a:extLst>
            <a:ext uri="{FF2B5EF4-FFF2-40B4-BE49-F238E27FC236}">
              <a16:creationId xmlns:a16="http://schemas.microsoft.com/office/drawing/2014/main" id="{46B355AF-B6A5-5523-87E7-6B39F66BDAF3}"/>
            </a:ext>
          </a:extLst>
        </xdr:cNvPr>
        <xdr:cNvSpPr/>
      </xdr:nvSpPr>
      <xdr:spPr>
        <a:xfrm>
          <a:off x="13336361" y="6477000"/>
          <a:ext cx="1532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41</xdr:row>
      <xdr:rowOff>76200</xdr:rowOff>
    </xdr:from>
    <xdr:to>
      <xdr:col>41</xdr:col>
      <xdr:colOff>89297</xdr:colOff>
      <xdr:row>41</xdr:row>
      <xdr:rowOff>76200</xdr:rowOff>
    </xdr:to>
    <xdr:cxnSp macro="">
      <xdr:nvCxnSpPr>
        <xdr:cNvPr id="5327" name="직선 화살표 연결선 5326">
          <a:extLst>
            <a:ext uri="{FF2B5EF4-FFF2-40B4-BE49-F238E27FC236}">
              <a16:creationId xmlns:a16="http://schemas.microsoft.com/office/drawing/2014/main" id="{B6736DAA-2999-9BC2-C38D-C81F63EC7BEB}"/>
            </a:ext>
          </a:extLst>
        </xdr:cNvPr>
        <xdr:cNvCxnSpPr/>
      </xdr:nvCxnSpPr>
      <xdr:spPr>
        <a:xfrm>
          <a:off x="13336361" y="6534150"/>
          <a:ext cx="12118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40</xdr:row>
      <xdr:rowOff>19050</xdr:rowOff>
    </xdr:from>
    <xdr:to>
      <xdr:col>42</xdr:col>
      <xdr:colOff>123734</xdr:colOff>
      <xdr:row>40</xdr:row>
      <xdr:rowOff>133350</xdr:rowOff>
    </xdr:to>
    <xdr:sp macro="" textlink="">
      <xdr:nvSpPr>
        <xdr:cNvPr id="5328" name="37">
          <a:extLst>
            <a:ext uri="{FF2B5EF4-FFF2-40B4-BE49-F238E27FC236}">
              <a16:creationId xmlns:a16="http://schemas.microsoft.com/office/drawing/2014/main" id="{29131662-E2E6-7A79-3695-B103BCDCBB4E}"/>
            </a:ext>
          </a:extLst>
        </xdr:cNvPr>
        <xdr:cNvSpPr/>
      </xdr:nvSpPr>
      <xdr:spPr>
        <a:xfrm>
          <a:off x="14479361" y="63246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40</xdr:row>
      <xdr:rowOff>76200</xdr:rowOff>
    </xdr:from>
    <xdr:to>
      <xdr:col>41</xdr:col>
      <xdr:colOff>20411</xdr:colOff>
      <xdr:row>40</xdr:row>
      <xdr:rowOff>76200</xdr:rowOff>
    </xdr:to>
    <xdr:cxnSp macro="">
      <xdr:nvCxnSpPr>
        <xdr:cNvPr id="5329" name="직선 화살표 연결선 5328">
          <a:extLst>
            <a:ext uri="{FF2B5EF4-FFF2-40B4-BE49-F238E27FC236}">
              <a16:creationId xmlns:a16="http://schemas.microsoft.com/office/drawing/2014/main" id="{CB1F2A6B-E350-4C56-BC45-932EFE140073}"/>
            </a:ext>
          </a:extLst>
        </xdr:cNvPr>
        <xdr:cNvCxnSpPr/>
      </xdr:nvCxnSpPr>
      <xdr:spPr>
        <a:xfrm>
          <a:off x="14479361"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39</xdr:row>
      <xdr:rowOff>19050</xdr:rowOff>
    </xdr:from>
    <xdr:to>
      <xdr:col>42</xdr:col>
      <xdr:colOff>82913</xdr:colOff>
      <xdr:row>39</xdr:row>
      <xdr:rowOff>133350</xdr:rowOff>
    </xdr:to>
    <xdr:sp macro="" textlink="">
      <xdr:nvSpPr>
        <xdr:cNvPr id="5330" name="36">
          <a:extLst>
            <a:ext uri="{FF2B5EF4-FFF2-40B4-BE49-F238E27FC236}">
              <a16:creationId xmlns:a16="http://schemas.microsoft.com/office/drawing/2014/main" id="{C27435F6-8B6A-2201-DDC0-B59F7AA443B3}"/>
            </a:ext>
          </a:extLst>
        </xdr:cNvPr>
        <xdr:cNvSpPr/>
      </xdr:nvSpPr>
      <xdr:spPr>
        <a:xfrm>
          <a:off x="14214021" y="6172200"/>
          <a:ext cx="470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39</xdr:row>
      <xdr:rowOff>76200</xdr:rowOff>
    </xdr:from>
    <xdr:to>
      <xdr:col>40</xdr:col>
      <xdr:colOff>132669</xdr:colOff>
      <xdr:row>39</xdr:row>
      <xdr:rowOff>76200</xdr:rowOff>
    </xdr:to>
    <xdr:cxnSp macro="">
      <xdr:nvCxnSpPr>
        <xdr:cNvPr id="5331" name="직선 화살표 연결선 5330">
          <a:extLst>
            <a:ext uri="{FF2B5EF4-FFF2-40B4-BE49-F238E27FC236}">
              <a16:creationId xmlns:a16="http://schemas.microsoft.com/office/drawing/2014/main" id="{D7EF1C46-76BC-F873-5DA9-A7D8E6140032}"/>
            </a:ext>
          </a:extLst>
        </xdr:cNvPr>
        <xdr:cNvCxnSpPr/>
      </xdr:nvCxnSpPr>
      <xdr:spPr>
        <a:xfrm>
          <a:off x="14214021" y="6229350"/>
          <a:ext cx="2347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38</xdr:row>
      <xdr:rowOff>19050</xdr:rowOff>
    </xdr:from>
    <xdr:to>
      <xdr:col>42</xdr:col>
      <xdr:colOff>42090</xdr:colOff>
      <xdr:row>38</xdr:row>
      <xdr:rowOff>133350</xdr:rowOff>
    </xdr:to>
    <xdr:sp macro="" textlink="">
      <xdr:nvSpPr>
        <xdr:cNvPr id="5332" name="35">
          <a:extLst>
            <a:ext uri="{FF2B5EF4-FFF2-40B4-BE49-F238E27FC236}">
              <a16:creationId xmlns:a16="http://schemas.microsoft.com/office/drawing/2014/main" id="{ED43651F-36C7-B5E1-9027-876433FE0BB9}"/>
            </a:ext>
          </a:extLst>
        </xdr:cNvPr>
        <xdr:cNvSpPr/>
      </xdr:nvSpPr>
      <xdr:spPr>
        <a:xfrm>
          <a:off x="14214021" y="6019800"/>
          <a:ext cx="42989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38</xdr:row>
      <xdr:rowOff>76200</xdr:rowOff>
    </xdr:from>
    <xdr:to>
      <xdr:col>41</xdr:col>
      <xdr:colOff>97971</xdr:colOff>
      <xdr:row>38</xdr:row>
      <xdr:rowOff>76200</xdr:rowOff>
    </xdr:to>
    <xdr:cxnSp macro="">
      <xdr:nvCxnSpPr>
        <xdr:cNvPr id="5333" name="직선 화살표 연결선 5332">
          <a:extLst>
            <a:ext uri="{FF2B5EF4-FFF2-40B4-BE49-F238E27FC236}">
              <a16:creationId xmlns:a16="http://schemas.microsoft.com/office/drawing/2014/main" id="{712C0842-5D40-222F-D7DF-F0DC36F08055}"/>
            </a:ext>
          </a:extLst>
        </xdr:cNvPr>
        <xdr:cNvCxnSpPr/>
      </xdr:nvCxnSpPr>
      <xdr:spPr>
        <a:xfrm>
          <a:off x="14214021" y="607695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37</xdr:row>
      <xdr:rowOff>19050</xdr:rowOff>
    </xdr:from>
    <xdr:to>
      <xdr:col>40</xdr:col>
      <xdr:colOff>123734</xdr:colOff>
      <xdr:row>37</xdr:row>
      <xdr:rowOff>133350</xdr:rowOff>
    </xdr:to>
    <xdr:sp macro="" textlink="">
      <xdr:nvSpPr>
        <xdr:cNvPr id="5334" name="34">
          <a:extLst>
            <a:ext uri="{FF2B5EF4-FFF2-40B4-BE49-F238E27FC236}">
              <a16:creationId xmlns:a16="http://schemas.microsoft.com/office/drawing/2014/main" id="{91AAFF13-258A-1C00-5F1B-5E16A3434A7B}"/>
            </a:ext>
          </a:extLst>
        </xdr:cNvPr>
        <xdr:cNvSpPr/>
      </xdr:nvSpPr>
      <xdr:spPr>
        <a:xfrm>
          <a:off x="14214021" y="58674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37</xdr:row>
      <xdr:rowOff>76200</xdr:rowOff>
    </xdr:from>
    <xdr:to>
      <xdr:col>40</xdr:col>
      <xdr:colOff>122464</xdr:colOff>
      <xdr:row>37</xdr:row>
      <xdr:rowOff>76200</xdr:rowOff>
    </xdr:to>
    <xdr:cxnSp macro="">
      <xdr:nvCxnSpPr>
        <xdr:cNvPr id="5335" name="직선 화살표 연결선 5334">
          <a:extLst>
            <a:ext uri="{FF2B5EF4-FFF2-40B4-BE49-F238E27FC236}">
              <a16:creationId xmlns:a16="http://schemas.microsoft.com/office/drawing/2014/main" id="{62F29FD2-242A-56BA-664E-9A32A2D1E458}"/>
            </a:ext>
          </a:extLst>
        </xdr:cNvPr>
        <xdr:cNvCxnSpPr/>
      </xdr:nvCxnSpPr>
      <xdr:spPr>
        <a:xfrm>
          <a:off x="14214021" y="5924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36</xdr:row>
      <xdr:rowOff>19050</xdr:rowOff>
    </xdr:from>
    <xdr:to>
      <xdr:col>43</xdr:col>
      <xdr:colOff>103324</xdr:colOff>
      <xdr:row>36</xdr:row>
      <xdr:rowOff>133350</xdr:rowOff>
    </xdr:to>
    <xdr:sp macro="" textlink="">
      <xdr:nvSpPr>
        <xdr:cNvPr id="5336" name="33">
          <a:extLst>
            <a:ext uri="{FF2B5EF4-FFF2-40B4-BE49-F238E27FC236}">
              <a16:creationId xmlns:a16="http://schemas.microsoft.com/office/drawing/2014/main" id="{B6A45B93-B356-C13C-CAB8-DE3778A228E3}"/>
            </a:ext>
          </a:extLst>
        </xdr:cNvPr>
        <xdr:cNvSpPr/>
      </xdr:nvSpPr>
      <xdr:spPr>
        <a:xfrm>
          <a:off x="14214021" y="5715000"/>
          <a:ext cx="63400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36</xdr:row>
      <xdr:rowOff>76200</xdr:rowOff>
    </xdr:from>
    <xdr:to>
      <xdr:col>41</xdr:col>
      <xdr:colOff>134711</xdr:colOff>
      <xdr:row>36</xdr:row>
      <xdr:rowOff>76200</xdr:rowOff>
    </xdr:to>
    <xdr:cxnSp macro="">
      <xdr:nvCxnSpPr>
        <xdr:cNvPr id="5337" name="직선 화살표 연결선 5336">
          <a:extLst>
            <a:ext uri="{FF2B5EF4-FFF2-40B4-BE49-F238E27FC236}">
              <a16:creationId xmlns:a16="http://schemas.microsoft.com/office/drawing/2014/main" id="{7E06DE45-7B27-81FF-89C7-7521EFB8DB5D}"/>
            </a:ext>
          </a:extLst>
        </xdr:cNvPr>
        <xdr:cNvCxnSpPr/>
      </xdr:nvCxnSpPr>
      <xdr:spPr>
        <a:xfrm>
          <a:off x="14214021" y="5772150"/>
          <a:ext cx="3796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35</xdr:row>
      <xdr:rowOff>19050</xdr:rowOff>
    </xdr:from>
    <xdr:to>
      <xdr:col>43</xdr:col>
      <xdr:colOff>103324</xdr:colOff>
      <xdr:row>35</xdr:row>
      <xdr:rowOff>133350</xdr:rowOff>
    </xdr:to>
    <xdr:sp macro="" textlink="">
      <xdr:nvSpPr>
        <xdr:cNvPr id="5338" name="32">
          <a:extLst>
            <a:ext uri="{FF2B5EF4-FFF2-40B4-BE49-F238E27FC236}">
              <a16:creationId xmlns:a16="http://schemas.microsoft.com/office/drawing/2014/main" id="{0E777249-9580-A1B4-5592-BB3098691B74}"/>
            </a:ext>
          </a:extLst>
        </xdr:cNvPr>
        <xdr:cNvSpPr/>
      </xdr:nvSpPr>
      <xdr:spPr>
        <a:xfrm>
          <a:off x="14214021" y="5562600"/>
          <a:ext cx="63400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35</xdr:row>
      <xdr:rowOff>76200</xdr:rowOff>
    </xdr:from>
    <xdr:to>
      <xdr:col>42</xdr:col>
      <xdr:colOff>40280</xdr:colOff>
      <xdr:row>35</xdr:row>
      <xdr:rowOff>76200</xdr:rowOff>
    </xdr:to>
    <xdr:cxnSp macro="">
      <xdr:nvCxnSpPr>
        <xdr:cNvPr id="5339" name="직선 화살표 연결선 5338">
          <a:extLst>
            <a:ext uri="{FF2B5EF4-FFF2-40B4-BE49-F238E27FC236}">
              <a16:creationId xmlns:a16="http://schemas.microsoft.com/office/drawing/2014/main" id="{BE714A57-94B7-BF11-9FE6-84C9D2B2F46C}"/>
            </a:ext>
          </a:extLst>
        </xdr:cNvPr>
        <xdr:cNvCxnSpPr/>
      </xdr:nvCxnSpPr>
      <xdr:spPr>
        <a:xfrm>
          <a:off x="14214021" y="5619750"/>
          <a:ext cx="4280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34</xdr:row>
      <xdr:rowOff>19050</xdr:rowOff>
    </xdr:from>
    <xdr:to>
      <xdr:col>43</xdr:col>
      <xdr:colOff>103324</xdr:colOff>
      <xdr:row>34</xdr:row>
      <xdr:rowOff>133350</xdr:rowOff>
    </xdr:to>
    <xdr:sp macro="" textlink="">
      <xdr:nvSpPr>
        <xdr:cNvPr id="5340" name="31">
          <a:extLst>
            <a:ext uri="{FF2B5EF4-FFF2-40B4-BE49-F238E27FC236}">
              <a16:creationId xmlns:a16="http://schemas.microsoft.com/office/drawing/2014/main" id="{88FF22E1-F4EF-7DE3-2B1E-FA92BE14A10C}"/>
            </a:ext>
          </a:extLst>
        </xdr:cNvPr>
        <xdr:cNvSpPr/>
      </xdr:nvSpPr>
      <xdr:spPr>
        <a:xfrm>
          <a:off x="14214021" y="5410200"/>
          <a:ext cx="63400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34</xdr:row>
      <xdr:rowOff>76200</xdr:rowOff>
    </xdr:from>
    <xdr:to>
      <xdr:col>41</xdr:col>
      <xdr:colOff>125306</xdr:colOff>
      <xdr:row>34</xdr:row>
      <xdr:rowOff>76200</xdr:rowOff>
    </xdr:to>
    <xdr:cxnSp macro="">
      <xdr:nvCxnSpPr>
        <xdr:cNvPr id="5341" name="직선 화살표 연결선 5340">
          <a:extLst>
            <a:ext uri="{FF2B5EF4-FFF2-40B4-BE49-F238E27FC236}">
              <a16:creationId xmlns:a16="http://schemas.microsoft.com/office/drawing/2014/main" id="{20D83FFC-FF93-A3DA-AEE3-3E2D15ECDEAA}"/>
            </a:ext>
          </a:extLst>
        </xdr:cNvPr>
        <xdr:cNvCxnSpPr/>
      </xdr:nvCxnSpPr>
      <xdr:spPr>
        <a:xfrm>
          <a:off x="14214021" y="5467350"/>
          <a:ext cx="3702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33</xdr:row>
      <xdr:rowOff>19050</xdr:rowOff>
    </xdr:from>
    <xdr:to>
      <xdr:col>56</xdr:col>
      <xdr:colOff>123734</xdr:colOff>
      <xdr:row>33</xdr:row>
      <xdr:rowOff>133350</xdr:rowOff>
    </xdr:to>
    <xdr:sp macro="" textlink="">
      <xdr:nvSpPr>
        <xdr:cNvPr id="5342" name="30">
          <a:extLst>
            <a:ext uri="{FF2B5EF4-FFF2-40B4-BE49-F238E27FC236}">
              <a16:creationId xmlns:a16="http://schemas.microsoft.com/office/drawing/2014/main" id="{38EE1D8D-1D0D-2A59-30C4-CDEBD584BF8F}"/>
            </a:ext>
          </a:extLst>
        </xdr:cNvPr>
        <xdr:cNvSpPr/>
      </xdr:nvSpPr>
      <xdr:spPr>
        <a:xfrm>
          <a:off x="13336361" y="5257800"/>
          <a:ext cx="33894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33</xdr:row>
      <xdr:rowOff>76200</xdr:rowOff>
    </xdr:from>
    <xdr:to>
      <xdr:col>36</xdr:col>
      <xdr:colOff>68272</xdr:colOff>
      <xdr:row>33</xdr:row>
      <xdr:rowOff>76200</xdr:rowOff>
    </xdr:to>
    <xdr:cxnSp macro="">
      <xdr:nvCxnSpPr>
        <xdr:cNvPr id="5343" name="직선 화살표 연결선 5342">
          <a:extLst>
            <a:ext uri="{FF2B5EF4-FFF2-40B4-BE49-F238E27FC236}">
              <a16:creationId xmlns:a16="http://schemas.microsoft.com/office/drawing/2014/main" id="{2BB6EE42-7292-9ABB-DEFE-DEF4E4248994}"/>
            </a:ext>
          </a:extLst>
        </xdr:cNvPr>
        <xdr:cNvCxnSpPr/>
      </xdr:nvCxnSpPr>
      <xdr:spPr>
        <a:xfrm>
          <a:off x="13336361" y="5314950"/>
          <a:ext cx="4764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32</xdr:row>
      <xdr:rowOff>19050</xdr:rowOff>
    </xdr:from>
    <xdr:to>
      <xdr:col>42</xdr:col>
      <xdr:colOff>123734</xdr:colOff>
      <xdr:row>32</xdr:row>
      <xdr:rowOff>133350</xdr:rowOff>
    </xdr:to>
    <xdr:sp macro="" textlink="">
      <xdr:nvSpPr>
        <xdr:cNvPr id="5344" name="29">
          <a:extLst>
            <a:ext uri="{FF2B5EF4-FFF2-40B4-BE49-F238E27FC236}">
              <a16:creationId xmlns:a16="http://schemas.microsoft.com/office/drawing/2014/main" id="{F4539949-72E3-A071-11C5-82E80F279F02}"/>
            </a:ext>
          </a:extLst>
        </xdr:cNvPr>
        <xdr:cNvSpPr/>
      </xdr:nvSpPr>
      <xdr:spPr>
        <a:xfrm>
          <a:off x="14622236" y="510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32</xdr:row>
      <xdr:rowOff>76200</xdr:rowOff>
    </xdr:from>
    <xdr:to>
      <xdr:col>42</xdr:col>
      <xdr:colOff>20411</xdr:colOff>
      <xdr:row>32</xdr:row>
      <xdr:rowOff>76200</xdr:rowOff>
    </xdr:to>
    <xdr:cxnSp macro="">
      <xdr:nvCxnSpPr>
        <xdr:cNvPr id="5345" name="직선 화살표 연결선 5344">
          <a:extLst>
            <a:ext uri="{FF2B5EF4-FFF2-40B4-BE49-F238E27FC236}">
              <a16:creationId xmlns:a16="http://schemas.microsoft.com/office/drawing/2014/main" id="{97202317-398F-D433-0F14-AE31C5B93B30}"/>
            </a:ext>
          </a:extLst>
        </xdr:cNvPr>
        <xdr:cNvCxnSpPr/>
      </xdr:nvCxnSpPr>
      <xdr:spPr>
        <a:xfrm>
          <a:off x="14622236"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31</xdr:row>
      <xdr:rowOff>19050</xdr:rowOff>
    </xdr:from>
    <xdr:to>
      <xdr:col>41</xdr:col>
      <xdr:colOff>123734</xdr:colOff>
      <xdr:row>31</xdr:row>
      <xdr:rowOff>133350</xdr:rowOff>
    </xdr:to>
    <xdr:sp macro="" textlink="">
      <xdr:nvSpPr>
        <xdr:cNvPr id="5346" name="28">
          <a:extLst>
            <a:ext uri="{FF2B5EF4-FFF2-40B4-BE49-F238E27FC236}">
              <a16:creationId xmlns:a16="http://schemas.microsoft.com/office/drawing/2014/main" id="{FE24DBB1-A430-2370-2218-1E1F2EDE7A01}"/>
            </a:ext>
          </a:extLst>
        </xdr:cNvPr>
        <xdr:cNvSpPr/>
      </xdr:nvSpPr>
      <xdr:spPr>
        <a:xfrm>
          <a:off x="14479361" y="495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31</xdr:row>
      <xdr:rowOff>76200</xdr:rowOff>
    </xdr:from>
    <xdr:to>
      <xdr:col>41</xdr:col>
      <xdr:colOff>20411</xdr:colOff>
      <xdr:row>31</xdr:row>
      <xdr:rowOff>76200</xdr:rowOff>
    </xdr:to>
    <xdr:cxnSp macro="">
      <xdr:nvCxnSpPr>
        <xdr:cNvPr id="5347" name="직선 화살표 연결선 5346">
          <a:extLst>
            <a:ext uri="{FF2B5EF4-FFF2-40B4-BE49-F238E27FC236}">
              <a16:creationId xmlns:a16="http://schemas.microsoft.com/office/drawing/2014/main" id="{5BF6E309-9501-7FCC-E419-1B670294F51C}"/>
            </a:ext>
          </a:extLst>
        </xdr:cNvPr>
        <xdr:cNvCxnSpPr/>
      </xdr:nvCxnSpPr>
      <xdr:spPr>
        <a:xfrm>
          <a:off x="14479361"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30</xdr:row>
      <xdr:rowOff>19050</xdr:rowOff>
    </xdr:from>
    <xdr:to>
      <xdr:col>42</xdr:col>
      <xdr:colOff>123734</xdr:colOff>
      <xdr:row>30</xdr:row>
      <xdr:rowOff>133350</xdr:rowOff>
    </xdr:to>
    <xdr:sp macro="" textlink="">
      <xdr:nvSpPr>
        <xdr:cNvPr id="5348" name="27">
          <a:extLst>
            <a:ext uri="{FF2B5EF4-FFF2-40B4-BE49-F238E27FC236}">
              <a16:creationId xmlns:a16="http://schemas.microsoft.com/office/drawing/2014/main" id="{1EB3F9D1-DB84-CF96-090E-A8730FBAB2CF}"/>
            </a:ext>
          </a:extLst>
        </xdr:cNvPr>
        <xdr:cNvSpPr/>
      </xdr:nvSpPr>
      <xdr:spPr>
        <a:xfrm>
          <a:off x="14479361" y="48006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30</xdr:row>
      <xdr:rowOff>76200</xdr:rowOff>
    </xdr:from>
    <xdr:to>
      <xdr:col>41</xdr:col>
      <xdr:colOff>20411</xdr:colOff>
      <xdr:row>30</xdr:row>
      <xdr:rowOff>76200</xdr:rowOff>
    </xdr:to>
    <xdr:cxnSp macro="">
      <xdr:nvCxnSpPr>
        <xdr:cNvPr id="5349" name="직선 화살표 연결선 5348">
          <a:extLst>
            <a:ext uri="{FF2B5EF4-FFF2-40B4-BE49-F238E27FC236}">
              <a16:creationId xmlns:a16="http://schemas.microsoft.com/office/drawing/2014/main" id="{CFDEFD74-0419-E1B7-3BE8-6F827FB67BE7}"/>
            </a:ext>
          </a:extLst>
        </xdr:cNvPr>
        <xdr:cNvCxnSpPr/>
      </xdr:nvCxnSpPr>
      <xdr:spPr>
        <a:xfrm>
          <a:off x="14479361"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20411</xdr:colOff>
      <xdr:row>29</xdr:row>
      <xdr:rowOff>19050</xdr:rowOff>
    </xdr:from>
    <xdr:to>
      <xdr:col>41</xdr:col>
      <xdr:colOff>123734</xdr:colOff>
      <xdr:row>29</xdr:row>
      <xdr:rowOff>133350</xdr:rowOff>
    </xdr:to>
    <xdr:sp macro="" textlink="">
      <xdr:nvSpPr>
        <xdr:cNvPr id="5350" name="26">
          <a:extLst>
            <a:ext uri="{FF2B5EF4-FFF2-40B4-BE49-F238E27FC236}">
              <a16:creationId xmlns:a16="http://schemas.microsoft.com/office/drawing/2014/main" id="{D1DA4E05-A405-E904-D18C-73250563A999}"/>
            </a:ext>
          </a:extLst>
        </xdr:cNvPr>
        <xdr:cNvSpPr/>
      </xdr:nvSpPr>
      <xdr:spPr>
        <a:xfrm>
          <a:off x="13479236" y="4648200"/>
          <a:ext cx="11034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20411</xdr:colOff>
      <xdr:row>29</xdr:row>
      <xdr:rowOff>76200</xdr:rowOff>
    </xdr:from>
    <xdr:to>
      <xdr:col>41</xdr:col>
      <xdr:colOff>12246</xdr:colOff>
      <xdr:row>29</xdr:row>
      <xdr:rowOff>76200</xdr:rowOff>
    </xdr:to>
    <xdr:cxnSp macro="">
      <xdr:nvCxnSpPr>
        <xdr:cNvPr id="5351" name="직선 화살표 연결선 5350">
          <a:extLst>
            <a:ext uri="{FF2B5EF4-FFF2-40B4-BE49-F238E27FC236}">
              <a16:creationId xmlns:a16="http://schemas.microsoft.com/office/drawing/2014/main" id="{E00B2559-02B2-51F7-E822-1519A46EE2FF}"/>
            </a:ext>
          </a:extLst>
        </xdr:cNvPr>
        <xdr:cNvCxnSpPr/>
      </xdr:nvCxnSpPr>
      <xdr:spPr>
        <a:xfrm>
          <a:off x="13479236" y="4705350"/>
          <a:ext cx="991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20411</xdr:colOff>
      <xdr:row>28</xdr:row>
      <xdr:rowOff>19050</xdr:rowOff>
    </xdr:from>
    <xdr:to>
      <xdr:col>42</xdr:col>
      <xdr:colOff>123734</xdr:colOff>
      <xdr:row>28</xdr:row>
      <xdr:rowOff>133350</xdr:rowOff>
    </xdr:to>
    <xdr:sp macro="" textlink="">
      <xdr:nvSpPr>
        <xdr:cNvPr id="5352" name="25">
          <a:extLst>
            <a:ext uri="{FF2B5EF4-FFF2-40B4-BE49-F238E27FC236}">
              <a16:creationId xmlns:a16="http://schemas.microsoft.com/office/drawing/2014/main" id="{A49322AF-A3BB-994F-C751-B81DA579DACA}"/>
            </a:ext>
          </a:extLst>
        </xdr:cNvPr>
        <xdr:cNvSpPr/>
      </xdr:nvSpPr>
      <xdr:spPr>
        <a:xfrm>
          <a:off x="13479236" y="4495800"/>
          <a:ext cx="1246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20411</xdr:colOff>
      <xdr:row>28</xdr:row>
      <xdr:rowOff>76200</xdr:rowOff>
    </xdr:from>
    <xdr:to>
      <xdr:col>40</xdr:col>
      <xdr:colOff>50260</xdr:colOff>
      <xdr:row>28</xdr:row>
      <xdr:rowOff>76200</xdr:rowOff>
    </xdr:to>
    <xdr:cxnSp macro="">
      <xdr:nvCxnSpPr>
        <xdr:cNvPr id="5353" name="직선 화살표 연결선 5352">
          <a:extLst>
            <a:ext uri="{FF2B5EF4-FFF2-40B4-BE49-F238E27FC236}">
              <a16:creationId xmlns:a16="http://schemas.microsoft.com/office/drawing/2014/main" id="{F7AF6340-14A3-EA66-AA11-30F8F1520D0A}"/>
            </a:ext>
          </a:extLst>
        </xdr:cNvPr>
        <xdr:cNvCxnSpPr/>
      </xdr:nvCxnSpPr>
      <xdr:spPr>
        <a:xfrm>
          <a:off x="13479236" y="4552950"/>
          <a:ext cx="887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27</xdr:row>
      <xdr:rowOff>19050</xdr:rowOff>
    </xdr:from>
    <xdr:to>
      <xdr:col>62</xdr:col>
      <xdr:colOff>123734</xdr:colOff>
      <xdr:row>27</xdr:row>
      <xdr:rowOff>133350</xdr:rowOff>
    </xdr:to>
    <xdr:sp macro="" textlink="">
      <xdr:nvSpPr>
        <xdr:cNvPr id="5354" name="24">
          <a:extLst>
            <a:ext uri="{FF2B5EF4-FFF2-40B4-BE49-F238E27FC236}">
              <a16:creationId xmlns:a16="http://schemas.microsoft.com/office/drawing/2014/main" id="{2C773C8D-C1F7-E47B-0158-F03AAA63B714}"/>
            </a:ext>
          </a:extLst>
        </xdr:cNvPr>
        <xdr:cNvSpPr/>
      </xdr:nvSpPr>
      <xdr:spPr>
        <a:xfrm>
          <a:off x="13336361" y="4343400"/>
          <a:ext cx="42466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27</xdr:row>
      <xdr:rowOff>76200</xdr:rowOff>
    </xdr:from>
    <xdr:to>
      <xdr:col>35</xdr:col>
      <xdr:colOff>103746</xdr:colOff>
      <xdr:row>27</xdr:row>
      <xdr:rowOff>76200</xdr:rowOff>
    </xdr:to>
    <xdr:cxnSp macro="">
      <xdr:nvCxnSpPr>
        <xdr:cNvPr id="5355" name="직선 화살표 연결선 5354">
          <a:extLst>
            <a:ext uri="{FF2B5EF4-FFF2-40B4-BE49-F238E27FC236}">
              <a16:creationId xmlns:a16="http://schemas.microsoft.com/office/drawing/2014/main" id="{5C20A636-2A34-E95D-35A8-04F4769BDDE0}"/>
            </a:ext>
          </a:extLst>
        </xdr:cNvPr>
        <xdr:cNvCxnSpPr/>
      </xdr:nvCxnSpPr>
      <xdr:spPr>
        <a:xfrm>
          <a:off x="13336361" y="4400550"/>
          <a:ext cx="3690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20411</xdr:colOff>
      <xdr:row>25</xdr:row>
      <xdr:rowOff>19050</xdr:rowOff>
    </xdr:from>
    <xdr:to>
      <xdr:col>83</xdr:col>
      <xdr:colOff>4536</xdr:colOff>
      <xdr:row>25</xdr:row>
      <xdr:rowOff>146050</xdr:rowOff>
    </xdr:to>
    <xdr:sp macro="" textlink="">
      <xdr:nvSpPr>
        <xdr:cNvPr id="5356" name="22">
          <a:extLst>
            <a:ext uri="{FF2B5EF4-FFF2-40B4-BE49-F238E27FC236}">
              <a16:creationId xmlns:a16="http://schemas.microsoft.com/office/drawing/2014/main" id="{330587EF-CAE9-F216-E704-C8F738461037}"/>
            </a:ext>
          </a:extLst>
        </xdr:cNvPr>
        <xdr:cNvSpPr/>
      </xdr:nvSpPr>
      <xdr:spPr>
        <a:xfrm>
          <a:off x="20337236" y="4038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24</xdr:row>
      <xdr:rowOff>19050</xdr:rowOff>
    </xdr:from>
    <xdr:to>
      <xdr:col>81</xdr:col>
      <xdr:colOff>123734</xdr:colOff>
      <xdr:row>24</xdr:row>
      <xdr:rowOff>133350</xdr:rowOff>
    </xdr:to>
    <xdr:sp macro="" textlink="">
      <xdr:nvSpPr>
        <xdr:cNvPr id="5357" name="21">
          <a:extLst>
            <a:ext uri="{FF2B5EF4-FFF2-40B4-BE49-F238E27FC236}">
              <a16:creationId xmlns:a16="http://schemas.microsoft.com/office/drawing/2014/main" id="{AAF24E2D-5F09-357F-43DE-128551908450}"/>
            </a:ext>
          </a:extLst>
        </xdr:cNvPr>
        <xdr:cNvSpPr/>
      </xdr:nvSpPr>
      <xdr:spPr>
        <a:xfrm>
          <a:off x="20194361" y="3886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24</xdr:row>
      <xdr:rowOff>76200</xdr:rowOff>
    </xdr:from>
    <xdr:to>
      <xdr:col>81</xdr:col>
      <xdr:colOff>20411</xdr:colOff>
      <xdr:row>24</xdr:row>
      <xdr:rowOff>76200</xdr:rowOff>
    </xdr:to>
    <xdr:cxnSp macro="">
      <xdr:nvCxnSpPr>
        <xdr:cNvPr id="5358" name="직선 화살표 연결선 5357">
          <a:extLst>
            <a:ext uri="{FF2B5EF4-FFF2-40B4-BE49-F238E27FC236}">
              <a16:creationId xmlns:a16="http://schemas.microsoft.com/office/drawing/2014/main" id="{50278C3C-38DA-D877-CDC6-8CD4A3035024}"/>
            </a:ext>
          </a:extLst>
        </xdr:cNvPr>
        <xdr:cNvCxnSpPr/>
      </xdr:nvCxnSpPr>
      <xdr:spPr>
        <a:xfrm>
          <a:off x="20194361"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20411</xdr:colOff>
      <xdr:row>23</xdr:row>
      <xdr:rowOff>19050</xdr:rowOff>
    </xdr:from>
    <xdr:to>
      <xdr:col>80</xdr:col>
      <xdr:colOff>123734</xdr:colOff>
      <xdr:row>23</xdr:row>
      <xdr:rowOff>133350</xdr:rowOff>
    </xdr:to>
    <xdr:sp macro="" textlink="">
      <xdr:nvSpPr>
        <xdr:cNvPr id="5359" name="20">
          <a:extLst>
            <a:ext uri="{FF2B5EF4-FFF2-40B4-BE49-F238E27FC236}">
              <a16:creationId xmlns:a16="http://schemas.microsoft.com/office/drawing/2014/main" id="{F620DE12-B4DC-7493-0E36-BD9CC273315D}"/>
            </a:ext>
          </a:extLst>
        </xdr:cNvPr>
        <xdr:cNvSpPr/>
      </xdr:nvSpPr>
      <xdr:spPr>
        <a:xfrm>
          <a:off x="20051486" y="3733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20411</xdr:colOff>
      <xdr:row>23</xdr:row>
      <xdr:rowOff>76200</xdr:rowOff>
    </xdr:from>
    <xdr:to>
      <xdr:col>80</xdr:col>
      <xdr:colOff>20411</xdr:colOff>
      <xdr:row>23</xdr:row>
      <xdr:rowOff>76200</xdr:rowOff>
    </xdr:to>
    <xdr:cxnSp macro="">
      <xdr:nvCxnSpPr>
        <xdr:cNvPr id="5360" name="직선 화살표 연결선 5359">
          <a:extLst>
            <a:ext uri="{FF2B5EF4-FFF2-40B4-BE49-F238E27FC236}">
              <a16:creationId xmlns:a16="http://schemas.microsoft.com/office/drawing/2014/main" id="{2D63DD7D-A912-31F7-821C-7D003F467B24}"/>
            </a:ext>
          </a:extLst>
        </xdr:cNvPr>
        <xdr:cNvCxnSpPr/>
      </xdr:nvCxnSpPr>
      <xdr:spPr>
        <a:xfrm>
          <a:off x="20051486"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20411</xdr:colOff>
      <xdr:row>22</xdr:row>
      <xdr:rowOff>19050</xdr:rowOff>
    </xdr:from>
    <xdr:to>
      <xdr:col>83</xdr:col>
      <xdr:colOff>62502</xdr:colOff>
      <xdr:row>22</xdr:row>
      <xdr:rowOff>133350</xdr:rowOff>
    </xdr:to>
    <xdr:sp macro="" textlink="">
      <xdr:nvSpPr>
        <xdr:cNvPr id="5361" name="19">
          <a:extLst>
            <a:ext uri="{FF2B5EF4-FFF2-40B4-BE49-F238E27FC236}">
              <a16:creationId xmlns:a16="http://schemas.microsoft.com/office/drawing/2014/main" id="{E90D11A3-90E9-093C-CD5A-AA174D97CDF8}"/>
            </a:ext>
          </a:extLst>
        </xdr:cNvPr>
        <xdr:cNvSpPr/>
      </xdr:nvSpPr>
      <xdr:spPr>
        <a:xfrm>
          <a:off x="20051486" y="3581400"/>
          <a:ext cx="4707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20411</xdr:colOff>
      <xdr:row>22</xdr:row>
      <xdr:rowOff>76200</xdr:rowOff>
    </xdr:from>
    <xdr:to>
      <xdr:col>80</xdr:col>
      <xdr:colOff>20411</xdr:colOff>
      <xdr:row>22</xdr:row>
      <xdr:rowOff>76200</xdr:rowOff>
    </xdr:to>
    <xdr:cxnSp macro="">
      <xdr:nvCxnSpPr>
        <xdr:cNvPr id="5362" name="직선 화살표 연결선 5361">
          <a:extLst>
            <a:ext uri="{FF2B5EF4-FFF2-40B4-BE49-F238E27FC236}">
              <a16:creationId xmlns:a16="http://schemas.microsoft.com/office/drawing/2014/main" id="{4FE98226-C196-F974-8B1D-34A9B44FE48D}"/>
            </a:ext>
          </a:extLst>
        </xdr:cNvPr>
        <xdr:cNvCxnSpPr/>
      </xdr:nvCxnSpPr>
      <xdr:spPr>
        <a:xfrm>
          <a:off x="20051486"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81643</xdr:colOff>
      <xdr:row>21</xdr:row>
      <xdr:rowOff>19050</xdr:rowOff>
    </xdr:from>
    <xdr:to>
      <xdr:col>82</xdr:col>
      <xdr:colOff>103324</xdr:colOff>
      <xdr:row>21</xdr:row>
      <xdr:rowOff>133350</xdr:rowOff>
    </xdr:to>
    <xdr:sp macro="" textlink="">
      <xdr:nvSpPr>
        <xdr:cNvPr id="5363" name="18">
          <a:extLst>
            <a:ext uri="{FF2B5EF4-FFF2-40B4-BE49-F238E27FC236}">
              <a16:creationId xmlns:a16="http://schemas.microsoft.com/office/drawing/2014/main" id="{510603AB-0095-98C8-BCB4-7DDE8CA40887}"/>
            </a:ext>
          </a:extLst>
        </xdr:cNvPr>
        <xdr:cNvSpPr/>
      </xdr:nvSpPr>
      <xdr:spPr>
        <a:xfrm>
          <a:off x="20398468" y="3429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81643</xdr:colOff>
      <xdr:row>21</xdr:row>
      <xdr:rowOff>76200</xdr:rowOff>
    </xdr:from>
    <xdr:to>
      <xdr:col>82</xdr:col>
      <xdr:colOff>81643</xdr:colOff>
      <xdr:row>21</xdr:row>
      <xdr:rowOff>76200</xdr:rowOff>
    </xdr:to>
    <xdr:cxnSp macro="">
      <xdr:nvCxnSpPr>
        <xdr:cNvPr id="5364" name="직선 화살표 연결선 5363">
          <a:extLst>
            <a:ext uri="{FF2B5EF4-FFF2-40B4-BE49-F238E27FC236}">
              <a16:creationId xmlns:a16="http://schemas.microsoft.com/office/drawing/2014/main" id="{86009493-D484-B202-6A9C-B1601D54C63A}"/>
            </a:ext>
          </a:extLst>
        </xdr:cNvPr>
        <xdr:cNvCxnSpPr/>
      </xdr:nvCxnSpPr>
      <xdr:spPr>
        <a:xfrm>
          <a:off x="20398468"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61232</xdr:colOff>
      <xdr:row>20</xdr:row>
      <xdr:rowOff>19050</xdr:rowOff>
    </xdr:from>
    <xdr:to>
      <xdr:col>80</xdr:col>
      <xdr:colOff>82913</xdr:colOff>
      <xdr:row>20</xdr:row>
      <xdr:rowOff>133350</xdr:rowOff>
    </xdr:to>
    <xdr:sp macro="" textlink="">
      <xdr:nvSpPr>
        <xdr:cNvPr id="5365" name="17">
          <a:extLst>
            <a:ext uri="{FF2B5EF4-FFF2-40B4-BE49-F238E27FC236}">
              <a16:creationId xmlns:a16="http://schemas.microsoft.com/office/drawing/2014/main" id="{6F1A28D6-8A14-C711-A7C0-B7FE9036C373}"/>
            </a:ext>
          </a:extLst>
        </xdr:cNvPr>
        <xdr:cNvSpPr/>
      </xdr:nvSpPr>
      <xdr:spPr>
        <a:xfrm>
          <a:off x="20092307" y="3276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61232</xdr:colOff>
      <xdr:row>20</xdr:row>
      <xdr:rowOff>76200</xdr:rowOff>
    </xdr:from>
    <xdr:to>
      <xdr:col>80</xdr:col>
      <xdr:colOff>61232</xdr:colOff>
      <xdr:row>20</xdr:row>
      <xdr:rowOff>76200</xdr:rowOff>
    </xdr:to>
    <xdr:cxnSp macro="">
      <xdr:nvCxnSpPr>
        <xdr:cNvPr id="5366" name="직선 화살표 연결선 5365">
          <a:extLst>
            <a:ext uri="{FF2B5EF4-FFF2-40B4-BE49-F238E27FC236}">
              <a16:creationId xmlns:a16="http://schemas.microsoft.com/office/drawing/2014/main" id="{9E8ECF26-0D71-861B-49A1-52252668E8A9}"/>
            </a:ext>
          </a:extLst>
        </xdr:cNvPr>
        <xdr:cNvCxnSpPr/>
      </xdr:nvCxnSpPr>
      <xdr:spPr>
        <a:xfrm>
          <a:off x="20092307"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40821</xdr:colOff>
      <xdr:row>19</xdr:row>
      <xdr:rowOff>19050</xdr:rowOff>
    </xdr:from>
    <xdr:to>
      <xdr:col>76</xdr:col>
      <xdr:colOff>62502</xdr:colOff>
      <xdr:row>19</xdr:row>
      <xdr:rowOff>133350</xdr:rowOff>
    </xdr:to>
    <xdr:sp macro="" textlink="">
      <xdr:nvSpPr>
        <xdr:cNvPr id="5367" name="16">
          <a:extLst>
            <a:ext uri="{FF2B5EF4-FFF2-40B4-BE49-F238E27FC236}">
              <a16:creationId xmlns:a16="http://schemas.microsoft.com/office/drawing/2014/main" id="{B07FA60C-3BFD-1121-FC09-5BA715B62A09}"/>
            </a:ext>
          </a:extLst>
        </xdr:cNvPr>
        <xdr:cNvSpPr/>
      </xdr:nvSpPr>
      <xdr:spPr>
        <a:xfrm>
          <a:off x="19500396" y="31242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40821</xdr:colOff>
      <xdr:row>19</xdr:row>
      <xdr:rowOff>76200</xdr:rowOff>
    </xdr:from>
    <xdr:to>
      <xdr:col>76</xdr:col>
      <xdr:colOff>40821</xdr:colOff>
      <xdr:row>19</xdr:row>
      <xdr:rowOff>76200</xdr:rowOff>
    </xdr:to>
    <xdr:cxnSp macro="">
      <xdr:nvCxnSpPr>
        <xdr:cNvPr id="5368" name="직선 화살표 연결선 5367">
          <a:extLst>
            <a:ext uri="{FF2B5EF4-FFF2-40B4-BE49-F238E27FC236}">
              <a16:creationId xmlns:a16="http://schemas.microsoft.com/office/drawing/2014/main" id="{768956B7-42EC-F424-8DC4-79D0FDD90AB3}"/>
            </a:ext>
          </a:extLst>
        </xdr:cNvPr>
        <xdr:cNvCxnSpPr/>
      </xdr:nvCxnSpPr>
      <xdr:spPr>
        <a:xfrm>
          <a:off x="19500396"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102054</xdr:colOff>
      <xdr:row>18</xdr:row>
      <xdr:rowOff>19050</xdr:rowOff>
    </xdr:from>
    <xdr:to>
      <xdr:col>75</xdr:col>
      <xdr:colOff>123734</xdr:colOff>
      <xdr:row>18</xdr:row>
      <xdr:rowOff>133350</xdr:rowOff>
    </xdr:to>
    <xdr:sp macro="" textlink="">
      <xdr:nvSpPr>
        <xdr:cNvPr id="5369" name="15">
          <a:extLst>
            <a:ext uri="{FF2B5EF4-FFF2-40B4-BE49-F238E27FC236}">
              <a16:creationId xmlns:a16="http://schemas.microsoft.com/office/drawing/2014/main" id="{1C8ADC3B-259A-CCA4-D028-23740B45259D}"/>
            </a:ext>
          </a:extLst>
        </xdr:cNvPr>
        <xdr:cNvSpPr/>
      </xdr:nvSpPr>
      <xdr:spPr>
        <a:xfrm>
          <a:off x="19418754" y="29718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102054</xdr:colOff>
      <xdr:row>18</xdr:row>
      <xdr:rowOff>76200</xdr:rowOff>
    </xdr:from>
    <xdr:to>
      <xdr:col>75</xdr:col>
      <xdr:colOff>102054</xdr:colOff>
      <xdr:row>18</xdr:row>
      <xdr:rowOff>76200</xdr:rowOff>
    </xdr:to>
    <xdr:cxnSp macro="">
      <xdr:nvCxnSpPr>
        <xdr:cNvPr id="5370" name="직선 화살표 연결선 5369">
          <a:extLst>
            <a:ext uri="{FF2B5EF4-FFF2-40B4-BE49-F238E27FC236}">
              <a16:creationId xmlns:a16="http://schemas.microsoft.com/office/drawing/2014/main" id="{E5897DB2-FFD2-E8A6-DD1D-9D72E379ED5F}"/>
            </a:ext>
          </a:extLst>
        </xdr:cNvPr>
        <xdr:cNvCxnSpPr/>
      </xdr:nvCxnSpPr>
      <xdr:spPr>
        <a:xfrm>
          <a:off x="19418754"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61232</xdr:colOff>
      <xdr:row>17</xdr:row>
      <xdr:rowOff>19050</xdr:rowOff>
    </xdr:from>
    <xdr:to>
      <xdr:col>67</xdr:col>
      <xdr:colOff>82913</xdr:colOff>
      <xdr:row>17</xdr:row>
      <xdr:rowOff>133350</xdr:rowOff>
    </xdr:to>
    <xdr:sp macro="" textlink="">
      <xdr:nvSpPr>
        <xdr:cNvPr id="5371" name="14">
          <a:extLst>
            <a:ext uri="{FF2B5EF4-FFF2-40B4-BE49-F238E27FC236}">
              <a16:creationId xmlns:a16="http://schemas.microsoft.com/office/drawing/2014/main" id="{31BF2FF3-A010-F902-5FB5-2F742446717E}"/>
            </a:ext>
          </a:extLst>
        </xdr:cNvPr>
        <xdr:cNvSpPr/>
      </xdr:nvSpPr>
      <xdr:spPr>
        <a:xfrm>
          <a:off x="18234932" y="2819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61232</xdr:colOff>
      <xdr:row>17</xdr:row>
      <xdr:rowOff>76200</xdr:rowOff>
    </xdr:from>
    <xdr:to>
      <xdr:col>67</xdr:col>
      <xdr:colOff>61232</xdr:colOff>
      <xdr:row>17</xdr:row>
      <xdr:rowOff>76200</xdr:rowOff>
    </xdr:to>
    <xdr:cxnSp macro="">
      <xdr:nvCxnSpPr>
        <xdr:cNvPr id="5372" name="직선 화살표 연결선 5371">
          <a:extLst>
            <a:ext uri="{FF2B5EF4-FFF2-40B4-BE49-F238E27FC236}">
              <a16:creationId xmlns:a16="http://schemas.microsoft.com/office/drawing/2014/main" id="{F4AE1ECD-3561-C5BF-59AB-34DF84C56B2F}"/>
            </a:ext>
          </a:extLst>
        </xdr:cNvPr>
        <xdr:cNvCxnSpPr/>
      </xdr:nvCxnSpPr>
      <xdr:spPr>
        <a:xfrm>
          <a:off x="18234932"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61232</xdr:colOff>
      <xdr:row>16</xdr:row>
      <xdr:rowOff>19050</xdr:rowOff>
    </xdr:from>
    <xdr:to>
      <xdr:col>63</xdr:col>
      <xdr:colOff>82913</xdr:colOff>
      <xdr:row>16</xdr:row>
      <xdr:rowOff>133350</xdr:rowOff>
    </xdr:to>
    <xdr:sp macro="" textlink="">
      <xdr:nvSpPr>
        <xdr:cNvPr id="5373" name="13">
          <a:extLst>
            <a:ext uri="{FF2B5EF4-FFF2-40B4-BE49-F238E27FC236}">
              <a16:creationId xmlns:a16="http://schemas.microsoft.com/office/drawing/2014/main" id="{054BE0F7-62F7-1373-73E5-26F4B5925895}"/>
            </a:ext>
          </a:extLst>
        </xdr:cNvPr>
        <xdr:cNvSpPr/>
      </xdr:nvSpPr>
      <xdr:spPr>
        <a:xfrm>
          <a:off x="17663432" y="2667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61232</xdr:colOff>
      <xdr:row>16</xdr:row>
      <xdr:rowOff>76200</xdr:rowOff>
    </xdr:from>
    <xdr:to>
      <xdr:col>63</xdr:col>
      <xdr:colOff>61232</xdr:colOff>
      <xdr:row>16</xdr:row>
      <xdr:rowOff>76200</xdr:rowOff>
    </xdr:to>
    <xdr:cxnSp macro="">
      <xdr:nvCxnSpPr>
        <xdr:cNvPr id="5374" name="직선 화살표 연결선 5373">
          <a:extLst>
            <a:ext uri="{FF2B5EF4-FFF2-40B4-BE49-F238E27FC236}">
              <a16:creationId xmlns:a16="http://schemas.microsoft.com/office/drawing/2014/main" id="{89F19EF5-F0DB-0DA1-6D1A-ED123534AC5B}"/>
            </a:ext>
          </a:extLst>
        </xdr:cNvPr>
        <xdr:cNvCxnSpPr/>
      </xdr:nvCxnSpPr>
      <xdr:spPr>
        <a:xfrm>
          <a:off x="17663432"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61232</xdr:colOff>
      <xdr:row>15</xdr:row>
      <xdr:rowOff>19050</xdr:rowOff>
    </xdr:from>
    <xdr:to>
      <xdr:col>58</xdr:col>
      <xdr:colOff>82913</xdr:colOff>
      <xdr:row>15</xdr:row>
      <xdr:rowOff>133350</xdr:rowOff>
    </xdr:to>
    <xdr:sp macro="" textlink="">
      <xdr:nvSpPr>
        <xdr:cNvPr id="5375" name="12">
          <a:extLst>
            <a:ext uri="{FF2B5EF4-FFF2-40B4-BE49-F238E27FC236}">
              <a16:creationId xmlns:a16="http://schemas.microsoft.com/office/drawing/2014/main" id="{33B99BA2-9995-4B27-5A6D-F91368287D06}"/>
            </a:ext>
          </a:extLst>
        </xdr:cNvPr>
        <xdr:cNvSpPr/>
      </xdr:nvSpPr>
      <xdr:spPr>
        <a:xfrm>
          <a:off x="16949057" y="2514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61232</xdr:colOff>
      <xdr:row>15</xdr:row>
      <xdr:rowOff>76200</xdr:rowOff>
    </xdr:from>
    <xdr:to>
      <xdr:col>58</xdr:col>
      <xdr:colOff>61232</xdr:colOff>
      <xdr:row>15</xdr:row>
      <xdr:rowOff>76200</xdr:rowOff>
    </xdr:to>
    <xdr:cxnSp macro="">
      <xdr:nvCxnSpPr>
        <xdr:cNvPr id="5376" name="직선 화살표 연결선 5375">
          <a:extLst>
            <a:ext uri="{FF2B5EF4-FFF2-40B4-BE49-F238E27FC236}">
              <a16:creationId xmlns:a16="http://schemas.microsoft.com/office/drawing/2014/main" id="{75D852FE-E072-014A-1B50-808941433384}"/>
            </a:ext>
          </a:extLst>
        </xdr:cNvPr>
        <xdr:cNvCxnSpPr/>
      </xdr:nvCxnSpPr>
      <xdr:spPr>
        <a:xfrm>
          <a:off x="16949057"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14</xdr:row>
      <xdr:rowOff>19050</xdr:rowOff>
    </xdr:from>
    <xdr:to>
      <xdr:col>56</xdr:col>
      <xdr:colOff>42090</xdr:colOff>
      <xdr:row>14</xdr:row>
      <xdr:rowOff>133350</xdr:rowOff>
    </xdr:to>
    <xdr:sp macro="" textlink="">
      <xdr:nvSpPr>
        <xdr:cNvPr id="5377" name="11">
          <a:extLst>
            <a:ext uri="{FF2B5EF4-FFF2-40B4-BE49-F238E27FC236}">
              <a16:creationId xmlns:a16="http://schemas.microsoft.com/office/drawing/2014/main" id="{7FF8D315-3DFD-A976-516A-FA23011B0483}"/>
            </a:ext>
          </a:extLst>
        </xdr:cNvPr>
        <xdr:cNvSpPr/>
      </xdr:nvSpPr>
      <xdr:spPr>
        <a:xfrm>
          <a:off x="16622486" y="2362200"/>
          <a:ext cx="2167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14</xdr:row>
      <xdr:rowOff>76200</xdr:rowOff>
    </xdr:from>
    <xdr:to>
      <xdr:col>56</xdr:col>
      <xdr:colOff>20411</xdr:colOff>
      <xdr:row>14</xdr:row>
      <xdr:rowOff>76200</xdr:rowOff>
    </xdr:to>
    <xdr:cxnSp macro="">
      <xdr:nvCxnSpPr>
        <xdr:cNvPr id="5378" name="직선 화살표 연결선 5377">
          <a:extLst>
            <a:ext uri="{FF2B5EF4-FFF2-40B4-BE49-F238E27FC236}">
              <a16:creationId xmlns:a16="http://schemas.microsoft.com/office/drawing/2014/main" id="{8D3D0590-74B5-FD75-A6D4-B053F16C9245}"/>
            </a:ext>
          </a:extLst>
        </xdr:cNvPr>
        <xdr:cNvCxnSpPr/>
      </xdr:nvCxnSpPr>
      <xdr:spPr>
        <a:xfrm>
          <a:off x="16622486"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61232</xdr:colOff>
      <xdr:row>13</xdr:row>
      <xdr:rowOff>19050</xdr:rowOff>
    </xdr:from>
    <xdr:to>
      <xdr:col>50</xdr:col>
      <xdr:colOff>82913</xdr:colOff>
      <xdr:row>13</xdr:row>
      <xdr:rowOff>133350</xdr:rowOff>
    </xdr:to>
    <xdr:sp macro="" textlink="">
      <xdr:nvSpPr>
        <xdr:cNvPr id="5379" name="10">
          <a:extLst>
            <a:ext uri="{FF2B5EF4-FFF2-40B4-BE49-F238E27FC236}">
              <a16:creationId xmlns:a16="http://schemas.microsoft.com/office/drawing/2014/main" id="{12332F7F-F42E-5FCA-ED45-A61C1341F8B0}"/>
            </a:ext>
          </a:extLst>
        </xdr:cNvPr>
        <xdr:cNvSpPr/>
      </xdr:nvSpPr>
      <xdr:spPr>
        <a:xfrm>
          <a:off x="15806057" y="2209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61232</xdr:colOff>
      <xdr:row>13</xdr:row>
      <xdr:rowOff>76200</xdr:rowOff>
    </xdr:from>
    <xdr:to>
      <xdr:col>50</xdr:col>
      <xdr:colOff>61232</xdr:colOff>
      <xdr:row>13</xdr:row>
      <xdr:rowOff>76200</xdr:rowOff>
    </xdr:to>
    <xdr:cxnSp macro="">
      <xdr:nvCxnSpPr>
        <xdr:cNvPr id="5380" name="직선 화살표 연결선 5379">
          <a:extLst>
            <a:ext uri="{FF2B5EF4-FFF2-40B4-BE49-F238E27FC236}">
              <a16:creationId xmlns:a16="http://schemas.microsoft.com/office/drawing/2014/main" id="{C409B5E5-C51A-0B4F-B7E0-26CB59D6A7DE}"/>
            </a:ext>
          </a:extLst>
        </xdr:cNvPr>
        <xdr:cNvCxnSpPr/>
      </xdr:nvCxnSpPr>
      <xdr:spPr>
        <a:xfrm>
          <a:off x="15806057"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61232</xdr:colOff>
      <xdr:row>12</xdr:row>
      <xdr:rowOff>19050</xdr:rowOff>
    </xdr:from>
    <xdr:to>
      <xdr:col>45</xdr:col>
      <xdr:colOff>82913</xdr:colOff>
      <xdr:row>12</xdr:row>
      <xdr:rowOff>133350</xdr:rowOff>
    </xdr:to>
    <xdr:sp macro="" textlink="">
      <xdr:nvSpPr>
        <xdr:cNvPr id="5381" name="9">
          <a:extLst>
            <a:ext uri="{FF2B5EF4-FFF2-40B4-BE49-F238E27FC236}">
              <a16:creationId xmlns:a16="http://schemas.microsoft.com/office/drawing/2014/main" id="{72BDA323-B9C4-3184-2749-0D54D1642E9E}"/>
            </a:ext>
          </a:extLst>
        </xdr:cNvPr>
        <xdr:cNvSpPr/>
      </xdr:nvSpPr>
      <xdr:spPr>
        <a:xfrm>
          <a:off x="15091682" y="2057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61232</xdr:colOff>
      <xdr:row>12</xdr:row>
      <xdr:rowOff>76200</xdr:rowOff>
    </xdr:from>
    <xdr:to>
      <xdr:col>45</xdr:col>
      <xdr:colOff>61232</xdr:colOff>
      <xdr:row>12</xdr:row>
      <xdr:rowOff>76200</xdr:rowOff>
    </xdr:to>
    <xdr:cxnSp macro="">
      <xdr:nvCxnSpPr>
        <xdr:cNvPr id="5382" name="직선 화살표 연결선 5381">
          <a:extLst>
            <a:ext uri="{FF2B5EF4-FFF2-40B4-BE49-F238E27FC236}">
              <a16:creationId xmlns:a16="http://schemas.microsoft.com/office/drawing/2014/main" id="{5675053D-AC38-C649-D61E-DD3E5A07C6E2}"/>
            </a:ext>
          </a:extLst>
        </xdr:cNvPr>
        <xdr:cNvCxnSpPr/>
      </xdr:nvCxnSpPr>
      <xdr:spPr>
        <a:xfrm>
          <a:off x="15091682"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11</xdr:row>
      <xdr:rowOff>19050</xdr:rowOff>
    </xdr:from>
    <xdr:to>
      <xdr:col>41</xdr:col>
      <xdr:colOff>82913</xdr:colOff>
      <xdr:row>11</xdr:row>
      <xdr:rowOff>133350</xdr:rowOff>
    </xdr:to>
    <xdr:sp macro="" textlink="">
      <xdr:nvSpPr>
        <xdr:cNvPr id="5383" name="8">
          <a:extLst>
            <a:ext uri="{FF2B5EF4-FFF2-40B4-BE49-F238E27FC236}">
              <a16:creationId xmlns:a16="http://schemas.microsoft.com/office/drawing/2014/main" id="{52FC75B1-3E22-0729-74A7-44D7DF0A4DCB}"/>
            </a:ext>
          </a:extLst>
        </xdr:cNvPr>
        <xdr:cNvSpPr/>
      </xdr:nvSpPr>
      <xdr:spPr>
        <a:xfrm>
          <a:off x="14520182" y="1905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11</xdr:row>
      <xdr:rowOff>76200</xdr:rowOff>
    </xdr:from>
    <xdr:to>
      <xdr:col>41</xdr:col>
      <xdr:colOff>61232</xdr:colOff>
      <xdr:row>11</xdr:row>
      <xdr:rowOff>76200</xdr:rowOff>
    </xdr:to>
    <xdr:cxnSp macro="">
      <xdr:nvCxnSpPr>
        <xdr:cNvPr id="5384" name="직선 화살표 연결선 5383">
          <a:extLst>
            <a:ext uri="{FF2B5EF4-FFF2-40B4-BE49-F238E27FC236}">
              <a16:creationId xmlns:a16="http://schemas.microsoft.com/office/drawing/2014/main" id="{B5D283A2-AB8D-29FF-DB2C-2AA04330FABB}"/>
            </a:ext>
          </a:extLst>
        </xdr:cNvPr>
        <xdr:cNvCxnSpPr/>
      </xdr:nvCxnSpPr>
      <xdr:spPr>
        <a:xfrm>
          <a:off x="14520182"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10</xdr:row>
      <xdr:rowOff>19050</xdr:rowOff>
    </xdr:from>
    <xdr:to>
      <xdr:col>82</xdr:col>
      <xdr:colOff>103324</xdr:colOff>
      <xdr:row>10</xdr:row>
      <xdr:rowOff>133350</xdr:rowOff>
    </xdr:to>
    <xdr:sp macro="" textlink="">
      <xdr:nvSpPr>
        <xdr:cNvPr id="5385" name="7">
          <a:extLst>
            <a:ext uri="{FF2B5EF4-FFF2-40B4-BE49-F238E27FC236}">
              <a16:creationId xmlns:a16="http://schemas.microsoft.com/office/drawing/2014/main" id="{EFC9C8C1-DAE0-C430-5E0E-12A33C2509F0}"/>
            </a:ext>
          </a:extLst>
        </xdr:cNvPr>
        <xdr:cNvSpPr/>
      </xdr:nvSpPr>
      <xdr:spPr>
        <a:xfrm>
          <a:off x="14520182" y="1752600"/>
          <a:ext cx="58999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10</xdr:row>
      <xdr:rowOff>76200</xdr:rowOff>
    </xdr:from>
    <xdr:to>
      <xdr:col>41</xdr:col>
      <xdr:colOff>61232</xdr:colOff>
      <xdr:row>10</xdr:row>
      <xdr:rowOff>76200</xdr:rowOff>
    </xdr:to>
    <xdr:cxnSp macro="">
      <xdr:nvCxnSpPr>
        <xdr:cNvPr id="5386" name="직선 화살표 연결선 5385">
          <a:extLst>
            <a:ext uri="{FF2B5EF4-FFF2-40B4-BE49-F238E27FC236}">
              <a16:creationId xmlns:a16="http://schemas.microsoft.com/office/drawing/2014/main" id="{12698087-E99B-D6BD-5840-AD45CE540783}"/>
            </a:ext>
          </a:extLst>
        </xdr:cNvPr>
        <xdr:cNvCxnSpPr/>
      </xdr:nvCxnSpPr>
      <xdr:spPr>
        <a:xfrm>
          <a:off x="14520182"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9</xdr:row>
      <xdr:rowOff>19050</xdr:rowOff>
    </xdr:from>
    <xdr:to>
      <xdr:col>33</xdr:col>
      <xdr:colOff>24946</xdr:colOff>
      <xdr:row>9</xdr:row>
      <xdr:rowOff>146050</xdr:rowOff>
    </xdr:to>
    <xdr:sp macro="" textlink="">
      <xdr:nvSpPr>
        <xdr:cNvPr id="5387" name="6">
          <a:extLst>
            <a:ext uri="{FF2B5EF4-FFF2-40B4-BE49-F238E27FC236}">
              <a16:creationId xmlns:a16="http://schemas.microsoft.com/office/drawing/2014/main" id="{D926B27D-AB78-7F47-01AD-59B8CD2445F2}"/>
            </a:ext>
          </a:extLst>
        </xdr:cNvPr>
        <xdr:cNvSpPr/>
      </xdr:nvSpPr>
      <xdr:spPr>
        <a:xfrm>
          <a:off x="13213896" y="16002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8</xdr:row>
      <xdr:rowOff>19050</xdr:rowOff>
    </xdr:from>
    <xdr:to>
      <xdr:col>32</xdr:col>
      <xdr:colOff>1270</xdr:colOff>
      <xdr:row>8</xdr:row>
      <xdr:rowOff>133350</xdr:rowOff>
    </xdr:to>
    <xdr:sp macro="" textlink="">
      <xdr:nvSpPr>
        <xdr:cNvPr id="5388" name="5">
          <a:extLst>
            <a:ext uri="{FF2B5EF4-FFF2-40B4-BE49-F238E27FC236}">
              <a16:creationId xmlns:a16="http://schemas.microsoft.com/office/drawing/2014/main" id="{6C1ED432-747C-CF81-05C7-BD0A3A8AD4C9}"/>
            </a:ext>
          </a:extLst>
        </xdr:cNvPr>
        <xdr:cNvSpPr/>
      </xdr:nvSpPr>
      <xdr:spPr>
        <a:xfrm>
          <a:off x="13071021" y="14478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8</xdr:row>
      <xdr:rowOff>76200</xdr:rowOff>
    </xdr:from>
    <xdr:to>
      <xdr:col>32</xdr:col>
      <xdr:colOff>0</xdr:colOff>
      <xdr:row>8</xdr:row>
      <xdr:rowOff>76200</xdr:rowOff>
    </xdr:to>
    <xdr:cxnSp macro="">
      <xdr:nvCxnSpPr>
        <xdr:cNvPr id="5389" name="직선 화살표 연결선 5388">
          <a:extLst>
            <a:ext uri="{FF2B5EF4-FFF2-40B4-BE49-F238E27FC236}">
              <a16:creationId xmlns:a16="http://schemas.microsoft.com/office/drawing/2014/main" id="{4F582EF9-D756-79DC-9618-686552FDC563}"/>
            </a:ext>
          </a:extLst>
        </xdr:cNvPr>
        <xdr:cNvCxnSpPr/>
      </xdr:nvCxnSpPr>
      <xdr:spPr>
        <a:xfrm>
          <a:off x="13071021" y="15049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7</xdr:row>
      <xdr:rowOff>19050</xdr:rowOff>
    </xdr:from>
    <xdr:to>
      <xdr:col>32</xdr:col>
      <xdr:colOff>62502</xdr:colOff>
      <xdr:row>7</xdr:row>
      <xdr:rowOff>133350</xdr:rowOff>
    </xdr:to>
    <xdr:sp macro="" textlink="">
      <xdr:nvSpPr>
        <xdr:cNvPr id="5390" name="4">
          <a:extLst>
            <a:ext uri="{FF2B5EF4-FFF2-40B4-BE49-F238E27FC236}">
              <a16:creationId xmlns:a16="http://schemas.microsoft.com/office/drawing/2014/main" id="{533EFF2E-A3A0-B754-10AB-A089175B7C76}"/>
            </a:ext>
          </a:extLst>
        </xdr:cNvPr>
        <xdr:cNvSpPr/>
      </xdr:nvSpPr>
      <xdr:spPr>
        <a:xfrm>
          <a:off x="13071021" y="12954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7</xdr:row>
      <xdr:rowOff>76200</xdr:rowOff>
    </xdr:from>
    <xdr:to>
      <xdr:col>32</xdr:col>
      <xdr:colOff>61232</xdr:colOff>
      <xdr:row>7</xdr:row>
      <xdr:rowOff>76200</xdr:rowOff>
    </xdr:to>
    <xdr:cxnSp macro="">
      <xdr:nvCxnSpPr>
        <xdr:cNvPr id="5391" name="직선 화살표 연결선 5390">
          <a:extLst>
            <a:ext uri="{FF2B5EF4-FFF2-40B4-BE49-F238E27FC236}">
              <a16:creationId xmlns:a16="http://schemas.microsoft.com/office/drawing/2014/main" id="{829083E7-96FA-8EB3-E9EB-68EE90D6F307}"/>
            </a:ext>
          </a:extLst>
        </xdr:cNvPr>
        <xdr:cNvCxnSpPr/>
      </xdr:nvCxnSpPr>
      <xdr:spPr>
        <a:xfrm>
          <a:off x="13071021" y="1352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6</xdr:row>
      <xdr:rowOff>19050</xdr:rowOff>
    </xdr:from>
    <xdr:to>
      <xdr:col>32</xdr:col>
      <xdr:colOff>1270</xdr:colOff>
      <xdr:row>6</xdr:row>
      <xdr:rowOff>133350</xdr:rowOff>
    </xdr:to>
    <xdr:sp macro="" textlink="">
      <xdr:nvSpPr>
        <xdr:cNvPr id="5392" name="3">
          <a:extLst>
            <a:ext uri="{FF2B5EF4-FFF2-40B4-BE49-F238E27FC236}">
              <a16:creationId xmlns:a16="http://schemas.microsoft.com/office/drawing/2014/main" id="{C4E63069-D97C-93F2-CDE8-29805A1DCF72}"/>
            </a:ext>
          </a:extLst>
        </xdr:cNvPr>
        <xdr:cNvSpPr/>
      </xdr:nvSpPr>
      <xdr:spPr>
        <a:xfrm>
          <a:off x="13071021" y="1143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6</xdr:row>
      <xdr:rowOff>76200</xdr:rowOff>
    </xdr:from>
    <xdr:to>
      <xdr:col>32</xdr:col>
      <xdr:colOff>0</xdr:colOff>
      <xdr:row>6</xdr:row>
      <xdr:rowOff>76200</xdr:rowOff>
    </xdr:to>
    <xdr:cxnSp macro="">
      <xdr:nvCxnSpPr>
        <xdr:cNvPr id="5393" name="직선 화살표 연결선 5392">
          <a:extLst>
            <a:ext uri="{FF2B5EF4-FFF2-40B4-BE49-F238E27FC236}">
              <a16:creationId xmlns:a16="http://schemas.microsoft.com/office/drawing/2014/main" id="{DDD6785E-932F-0200-76A3-CDE5229504F9}"/>
            </a:ext>
          </a:extLst>
        </xdr:cNvPr>
        <xdr:cNvCxnSpPr/>
      </xdr:nvCxnSpPr>
      <xdr:spPr>
        <a:xfrm>
          <a:off x="13071021" y="1200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5</xdr:row>
      <xdr:rowOff>19050</xdr:rowOff>
    </xdr:from>
    <xdr:to>
      <xdr:col>32</xdr:col>
      <xdr:colOff>62502</xdr:colOff>
      <xdr:row>5</xdr:row>
      <xdr:rowOff>133350</xdr:rowOff>
    </xdr:to>
    <xdr:sp macro="" textlink="">
      <xdr:nvSpPr>
        <xdr:cNvPr id="5394" name="2">
          <a:extLst>
            <a:ext uri="{FF2B5EF4-FFF2-40B4-BE49-F238E27FC236}">
              <a16:creationId xmlns:a16="http://schemas.microsoft.com/office/drawing/2014/main" id="{964955D9-4C2E-CC6F-9BB9-CC2A12B1FAA3}"/>
            </a:ext>
          </a:extLst>
        </xdr:cNvPr>
        <xdr:cNvSpPr/>
      </xdr:nvSpPr>
      <xdr:spPr>
        <a:xfrm>
          <a:off x="13071021" y="9906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5</xdr:row>
      <xdr:rowOff>76200</xdr:rowOff>
    </xdr:from>
    <xdr:to>
      <xdr:col>32</xdr:col>
      <xdr:colOff>61232</xdr:colOff>
      <xdr:row>5</xdr:row>
      <xdr:rowOff>76200</xdr:rowOff>
    </xdr:to>
    <xdr:cxnSp macro="">
      <xdr:nvCxnSpPr>
        <xdr:cNvPr id="5395" name="직선 화살표 연결선 5394">
          <a:extLst>
            <a:ext uri="{FF2B5EF4-FFF2-40B4-BE49-F238E27FC236}">
              <a16:creationId xmlns:a16="http://schemas.microsoft.com/office/drawing/2014/main" id="{17D76E0F-0C98-6A1E-1C1B-71E633687C18}"/>
            </a:ext>
          </a:extLst>
        </xdr:cNvPr>
        <xdr:cNvCxnSpPr/>
      </xdr:nvCxnSpPr>
      <xdr:spPr>
        <a:xfrm>
          <a:off x="13071021" y="1047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4</xdr:row>
      <xdr:rowOff>19050</xdr:rowOff>
    </xdr:from>
    <xdr:to>
      <xdr:col>83</xdr:col>
      <xdr:colOff>62502</xdr:colOff>
      <xdr:row>4</xdr:row>
      <xdr:rowOff>133350</xdr:rowOff>
    </xdr:to>
    <xdr:sp macro="" textlink="">
      <xdr:nvSpPr>
        <xdr:cNvPr id="5396" name="1">
          <a:extLst>
            <a:ext uri="{FF2B5EF4-FFF2-40B4-BE49-F238E27FC236}">
              <a16:creationId xmlns:a16="http://schemas.microsoft.com/office/drawing/2014/main" id="{944A03A5-3046-E030-2FAB-B0C237BD33FB}"/>
            </a:ext>
          </a:extLst>
        </xdr:cNvPr>
        <xdr:cNvSpPr/>
      </xdr:nvSpPr>
      <xdr:spPr>
        <a:xfrm>
          <a:off x="13071021" y="838200"/>
          <a:ext cx="74511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4</xdr:row>
      <xdr:rowOff>76200</xdr:rowOff>
    </xdr:from>
    <xdr:to>
      <xdr:col>45</xdr:col>
      <xdr:colOff>95718</xdr:colOff>
      <xdr:row>4</xdr:row>
      <xdr:rowOff>76200</xdr:rowOff>
    </xdr:to>
    <xdr:cxnSp macro="">
      <xdr:nvCxnSpPr>
        <xdr:cNvPr id="5397" name="직선 화살표 연결선 5396">
          <a:extLst>
            <a:ext uri="{FF2B5EF4-FFF2-40B4-BE49-F238E27FC236}">
              <a16:creationId xmlns:a16="http://schemas.microsoft.com/office/drawing/2014/main" id="{3659D6A2-77D6-4681-F9C7-BAF91CFEB834}"/>
            </a:ext>
          </a:extLst>
        </xdr:cNvPr>
        <xdr:cNvCxnSpPr/>
      </xdr:nvCxnSpPr>
      <xdr:spPr>
        <a:xfrm>
          <a:off x="13071021" y="895350"/>
          <a:ext cx="20551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101600</xdr:colOff>
      <xdr:row>0</xdr:row>
      <xdr:rowOff>88011</xdr:rowOff>
    </xdr:from>
    <xdr:to>
      <xdr:col>30</xdr:col>
      <xdr:colOff>1117600</xdr:colOff>
      <xdr:row>0</xdr:row>
      <xdr:rowOff>265811</xdr:rowOff>
    </xdr:to>
    <xdr:sp macro="" textlink="">
      <xdr:nvSpPr>
        <xdr:cNvPr id="5398" name="ProgressContainer">
          <a:extLst>
            <a:ext uri="{FF2B5EF4-FFF2-40B4-BE49-F238E27FC236}">
              <a16:creationId xmlns:a16="http://schemas.microsoft.com/office/drawing/2014/main" id="{39E2A9D9-62FA-20E3-0F40-B3F10139AB07}"/>
            </a:ext>
          </a:extLst>
        </xdr:cNvPr>
        <xdr:cNvSpPr/>
      </xdr:nvSpPr>
      <xdr:spPr>
        <a:xfrm>
          <a:off x="11950700"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101600</xdr:colOff>
      <xdr:row>0</xdr:row>
      <xdr:rowOff>132461</xdr:rowOff>
    </xdr:from>
    <xdr:to>
      <xdr:col>30</xdr:col>
      <xdr:colOff>146407</xdr:colOff>
      <xdr:row>0</xdr:row>
      <xdr:rowOff>221361</xdr:rowOff>
    </xdr:to>
    <xdr:sp macro="" textlink="">
      <xdr:nvSpPr>
        <xdr:cNvPr id="5399" name="ActualBar">
          <a:extLst>
            <a:ext uri="{FF2B5EF4-FFF2-40B4-BE49-F238E27FC236}">
              <a16:creationId xmlns:a16="http://schemas.microsoft.com/office/drawing/2014/main" id="{CBA05AEF-9DC5-B645-9682-37F7C855A111}"/>
            </a:ext>
          </a:extLst>
        </xdr:cNvPr>
        <xdr:cNvSpPr/>
      </xdr:nvSpPr>
      <xdr:spPr>
        <a:xfrm>
          <a:off x="11950700" y="132461"/>
          <a:ext cx="44807" cy="88900"/>
        </a:xfrm>
        <a:prstGeom prst="rect">
          <a:avLst/>
        </a:prstGeom>
        <a:solidFill>
          <a:srgbClr val="FFFF00"/>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151512</xdr:colOff>
      <xdr:row>0</xdr:row>
      <xdr:rowOff>70231</xdr:rowOff>
    </xdr:from>
    <xdr:to>
      <xdr:col>30</xdr:col>
      <xdr:colOff>151512</xdr:colOff>
      <xdr:row>0</xdr:row>
      <xdr:rowOff>301371</xdr:rowOff>
    </xdr:to>
    <xdr:cxnSp macro="">
      <xdr:nvCxnSpPr>
        <xdr:cNvPr id="5400" name="PlannedMarker">
          <a:extLst>
            <a:ext uri="{FF2B5EF4-FFF2-40B4-BE49-F238E27FC236}">
              <a16:creationId xmlns:a16="http://schemas.microsoft.com/office/drawing/2014/main" id="{B1D739D5-6DD6-2BAF-4997-E088BD772C10}"/>
            </a:ext>
          </a:extLst>
        </xdr:cNvPr>
        <xdr:cNvCxnSpPr/>
      </xdr:nvCxnSpPr>
      <xdr:spPr>
        <a:xfrm>
          <a:off x="12000612"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596900</xdr:colOff>
      <xdr:row>0</xdr:row>
      <xdr:rowOff>265811</xdr:rowOff>
    </xdr:from>
    <xdr:to>
      <xdr:col>30</xdr:col>
      <xdr:colOff>1117600</xdr:colOff>
      <xdr:row>2</xdr:row>
      <xdr:rowOff>14986</xdr:rowOff>
    </xdr:to>
    <xdr:sp macro="" textlink="">
      <xdr:nvSpPr>
        <xdr:cNvPr id="5401" name="ActualLabel">
          <a:extLst>
            <a:ext uri="{FF2B5EF4-FFF2-40B4-BE49-F238E27FC236}">
              <a16:creationId xmlns:a16="http://schemas.microsoft.com/office/drawing/2014/main" id="{09C227E1-514F-B44C-8A69-5D3360B1D7DE}"/>
            </a:ext>
          </a:extLst>
        </xdr:cNvPr>
        <xdr:cNvSpPr txBox="1"/>
      </xdr:nvSpPr>
      <xdr:spPr>
        <a:xfrm>
          <a:off x="6616700"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26-09-02,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4.41%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4.91%</a:t>
          </a:r>
          <a:endParaRPr lang="ko-KR" altLang="en-US" sz="1050">
            <a:solidFill>
              <a:srgbClr val="0070C0"/>
            </a:solidFill>
            <a:latin typeface="Arial" panose="020B0604020202020204" pitchFamily="34" charset="0"/>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6-schedule-change-management/" TargetMode="External"/><Relationship Id="rId13" Type="http://schemas.openxmlformats.org/officeDocument/2006/relationships/hyperlink" Target="https://xlworks.net/xlgantt-howto-11-calendar/" TargetMode="External"/><Relationship Id="rId3" Type="http://schemas.openxmlformats.org/officeDocument/2006/relationships/hyperlink" Target="https://xlworks.net/xlgantt-easy-tip/" TargetMode="External"/><Relationship Id="rId7" Type="http://schemas.openxmlformats.org/officeDocument/2006/relationships/hyperlink" Target="https://xlworks.net/xlgantt-howto-05-analysis-report/" TargetMode="External"/><Relationship Id="rId12" Type="http://schemas.openxmlformats.org/officeDocument/2006/relationships/hyperlink" Target="https://xlworks.net/xlgantt-howto-10-import-schedule/"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project-scheduler/" TargetMode="External"/><Relationship Id="rId16" Type="http://schemas.openxmlformats.org/officeDocument/2006/relationships/hyperlink" Target="https://xlworks.net/xlgantt-howto-15-color-theme/" TargetMode="External"/><Relationship Id="rId1" Type="http://schemas.openxmlformats.org/officeDocument/2006/relationships/hyperlink" Target="https://xlworks.net/xlgantt-project-scheduler/" TargetMode="External"/><Relationship Id="rId6" Type="http://schemas.openxmlformats.org/officeDocument/2006/relationships/hyperlink" Target="https://xlworks.net/xlgantt-howto-04-project-progress/" TargetMode="External"/><Relationship Id="rId11" Type="http://schemas.openxmlformats.org/officeDocument/2006/relationships/hyperlink" Target="https://xlworks.net/xlgantt-howto-09-multilingual-support/" TargetMode="External"/><Relationship Id="rId5" Type="http://schemas.openxmlformats.org/officeDocument/2006/relationships/hyperlink" Target="https://xlworks.net/xlgantt-howto-03-gantt-chart/" TargetMode="External"/><Relationship Id="rId15" Type="http://schemas.openxmlformats.org/officeDocument/2006/relationships/hyperlink" Target="https://xlworks.net/xlgantt-howto-14-workloads/" TargetMode="External"/><Relationship Id="rId10" Type="http://schemas.openxmlformats.org/officeDocument/2006/relationships/hyperlink" Target="https://xlworks.net/xlgantt-howto-08-add-tasks-to-outlook/" TargetMode="External"/><Relationship Id="rId4" Type="http://schemas.openxmlformats.org/officeDocument/2006/relationships/hyperlink" Target="https://xlworks.net/xlgantt-howto-02-task/" TargetMode="External"/><Relationship Id="rId9" Type="http://schemas.openxmlformats.org/officeDocument/2006/relationships/hyperlink" Target="https://xlworks.net/xlgantt-howto-07-deliverables/" TargetMode="External"/><Relationship Id="rId14" Type="http://schemas.openxmlformats.org/officeDocument/2006/relationships/hyperlink" Target="https://xlworks.net/xlgantt-howto-12-integration-with-exce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heetViews>
  <sheetFormatPr defaultColWidth="9" defaultRowHeight="15.75"/>
  <cols>
    <col min="1" max="1" width="5.875" style="75" customWidth="1"/>
    <col min="2" max="2" width="29.875" style="96" customWidth="1"/>
    <col min="3" max="3" width="1.125" style="75" customWidth="1"/>
    <col min="4" max="11" width="9" style="75" customWidth="1"/>
    <col min="12" max="12" width="19.5" style="75" customWidth="1"/>
    <col min="13" max="21" width="9" style="75" customWidth="1"/>
    <col min="22" max="22" width="0" style="75" hidden="1"/>
    <col min="23" max="26" width="9" style="75" customWidth="1"/>
    <col min="27" max="28" width="0" style="75" hidden="1"/>
    <col min="29" max="29" width="9" style="75" customWidth="1"/>
    <col min="30" max="16384" width="9" style="75"/>
  </cols>
  <sheetData>
    <row r="1" spans="1:12" ht="45" customHeight="1">
      <c r="A1" s="149"/>
      <c r="B1" s="159" t="s">
        <v>361</v>
      </c>
      <c r="C1" s="147"/>
      <c r="D1" s="147"/>
      <c r="E1" s="147"/>
      <c r="F1" s="147"/>
      <c r="G1" s="147"/>
      <c r="H1" s="148"/>
      <c r="I1" s="148"/>
      <c r="J1" s="247" t="s">
        <v>362</v>
      </c>
      <c r="K1" s="248"/>
      <c r="L1" s="248"/>
    </row>
    <row r="2" spans="1:12" s="32" customFormat="1" ht="18" customHeight="1">
      <c r="A2" s="145"/>
      <c r="B2" s="146"/>
      <c r="C2" s="146"/>
      <c r="D2" s="146"/>
      <c r="E2" s="146"/>
      <c r="F2" s="146"/>
      <c r="G2" s="146"/>
      <c r="H2" s="249" t="s">
        <v>363</v>
      </c>
      <c r="I2" s="250"/>
      <c r="J2" s="250"/>
      <c r="K2" s="250"/>
      <c r="L2" s="250"/>
    </row>
    <row r="4" spans="1:12" ht="17.25" customHeight="1">
      <c r="B4" s="251" t="s">
        <v>364</v>
      </c>
      <c r="C4" s="252"/>
      <c r="D4" s="252"/>
      <c r="E4" s="252"/>
      <c r="F4" s="252"/>
      <c r="G4" s="252"/>
      <c r="H4" s="252"/>
      <c r="I4" s="252"/>
      <c r="J4" s="252"/>
      <c r="K4" s="252"/>
      <c r="L4" s="252"/>
    </row>
    <row r="5" spans="1:12" ht="27.75" customHeight="1">
      <c r="B5" s="253"/>
      <c r="C5" s="252"/>
      <c r="D5" s="252"/>
      <c r="E5" s="252"/>
      <c r="F5" s="252"/>
      <c r="G5" s="252"/>
      <c r="H5" s="252"/>
      <c r="I5" s="252"/>
      <c r="J5" s="252"/>
      <c r="K5" s="252"/>
      <c r="L5" s="252"/>
    </row>
    <row r="6" spans="1:12" s="32" customFormat="1" ht="14.1" customHeight="1">
      <c r="B6" s="76"/>
    </row>
    <row r="7" spans="1:12" s="32" customFormat="1" ht="18.95" customHeight="1">
      <c r="B7" s="77" t="s">
        <v>365</v>
      </c>
      <c r="D7" s="78"/>
    </row>
    <row r="8" spans="1:12" s="32" customFormat="1" ht="7.5" customHeight="1">
      <c r="B8" s="76"/>
    </row>
    <row r="9" spans="1:12" s="32" customFormat="1" ht="29.25" customHeight="1" thickBot="1">
      <c r="A9" s="79"/>
      <c r="B9" s="80" t="s">
        <v>366</v>
      </c>
      <c r="C9" s="79"/>
      <c r="D9" s="246" t="s">
        <v>367</v>
      </c>
      <c r="E9" s="244"/>
      <c r="F9" s="244"/>
      <c r="G9" s="244"/>
      <c r="H9" s="244"/>
      <c r="I9" s="244"/>
      <c r="J9" s="244"/>
      <c r="K9" s="244"/>
      <c r="L9" s="244"/>
    </row>
    <row r="10" spans="1:12" s="32" customFormat="1" ht="29.25" customHeight="1" thickTop="1" thickBot="1">
      <c r="A10" s="79"/>
      <c r="B10" s="81" t="s">
        <v>368</v>
      </c>
      <c r="C10" s="79"/>
      <c r="D10" s="246" t="s">
        <v>369</v>
      </c>
      <c r="E10" s="244"/>
      <c r="F10" s="244"/>
      <c r="G10" s="244"/>
      <c r="H10" s="244"/>
      <c r="I10" s="244"/>
      <c r="J10" s="244"/>
      <c r="K10" s="244"/>
      <c r="L10" s="244"/>
    </row>
    <row r="11" spans="1:12" s="32" customFormat="1" ht="29.25" customHeight="1" thickTop="1" thickBot="1">
      <c r="A11" s="79"/>
      <c r="B11" s="82" t="s">
        <v>370</v>
      </c>
      <c r="C11" s="79"/>
      <c r="D11" s="246" t="s">
        <v>371</v>
      </c>
      <c r="E11" s="244"/>
      <c r="F11" s="244"/>
      <c r="G11" s="244"/>
      <c r="H11" s="244"/>
      <c r="I11" s="244"/>
      <c r="J11" s="244"/>
      <c r="K11" s="244"/>
      <c r="L11" s="244"/>
    </row>
    <row r="12" spans="1:12" s="32" customFormat="1" ht="29.25" customHeight="1" thickTop="1" thickBot="1">
      <c r="A12" s="79"/>
      <c r="B12" s="83" t="s">
        <v>17</v>
      </c>
      <c r="C12" s="79"/>
      <c r="D12" s="246" t="s">
        <v>372</v>
      </c>
      <c r="E12" s="244"/>
      <c r="F12" s="244"/>
      <c r="G12" s="244"/>
      <c r="H12" s="244"/>
      <c r="I12" s="244"/>
      <c r="J12" s="244"/>
      <c r="K12" s="244"/>
      <c r="L12" s="244"/>
    </row>
    <row r="13" spans="1:12" s="32" customFormat="1" ht="29.25" customHeight="1" thickTop="1" thickBot="1">
      <c r="A13" s="79"/>
      <c r="B13" s="84" t="s">
        <v>373</v>
      </c>
      <c r="C13" s="79"/>
      <c r="D13" s="245" t="s">
        <v>374</v>
      </c>
      <c r="E13" s="244"/>
      <c r="F13" s="244"/>
      <c r="G13" s="244"/>
      <c r="H13" s="244"/>
      <c r="I13" s="244"/>
      <c r="J13" s="244"/>
      <c r="K13" s="244"/>
      <c r="L13" s="244"/>
    </row>
    <row r="14" spans="1:12" s="32" customFormat="1" ht="29.25" customHeight="1" thickTop="1" thickBot="1">
      <c r="A14" s="79"/>
      <c r="B14" s="85" t="s">
        <v>375</v>
      </c>
      <c r="C14" s="79"/>
      <c r="D14" s="246" t="s">
        <v>376</v>
      </c>
      <c r="E14" s="244"/>
      <c r="F14" s="244"/>
      <c r="G14" s="244"/>
      <c r="H14" s="244"/>
      <c r="I14" s="244"/>
      <c r="J14" s="244"/>
      <c r="K14" s="244"/>
      <c r="L14" s="244"/>
    </row>
    <row r="15" spans="1:12" ht="17.100000000000001" customHeight="1" thickTop="1">
      <c r="A15" s="86"/>
      <c r="B15" s="87"/>
      <c r="C15" s="86"/>
      <c r="D15" s="88"/>
      <c r="E15" s="88"/>
      <c r="F15" s="88"/>
      <c r="G15" s="88"/>
      <c r="H15" s="88"/>
      <c r="I15" s="88"/>
      <c r="J15" s="88"/>
      <c r="K15" s="88"/>
      <c r="L15" s="88"/>
    </row>
    <row r="16" spans="1:12" s="32" customFormat="1" ht="18.95" customHeight="1">
      <c r="B16" s="77" t="s">
        <v>377</v>
      </c>
      <c r="D16" s="78"/>
    </row>
    <row r="17" spans="2:12" s="32" customFormat="1" ht="5.25" customHeight="1">
      <c r="B17" s="89"/>
      <c r="D17" s="78"/>
    </row>
    <row r="18" spans="2:12" s="32" customFormat="1" ht="26.25" customHeight="1" thickBot="1">
      <c r="B18" s="90" t="s">
        <v>378</v>
      </c>
      <c r="D18" s="243" t="s">
        <v>379</v>
      </c>
      <c r="E18" s="244"/>
      <c r="F18" s="244"/>
      <c r="G18" s="244"/>
      <c r="H18" s="244"/>
      <c r="I18" s="244"/>
      <c r="J18" s="244"/>
      <c r="K18" s="244"/>
      <c r="L18" s="97" t="s">
        <v>380</v>
      </c>
    </row>
    <row r="19" spans="2:12" s="32" customFormat="1" ht="37.5" customHeight="1" thickTop="1" thickBot="1">
      <c r="B19" s="90" t="s">
        <v>381</v>
      </c>
      <c r="D19" s="243" t="s">
        <v>382</v>
      </c>
      <c r="E19" s="244"/>
      <c r="F19" s="244"/>
      <c r="G19" s="244"/>
      <c r="H19" s="244"/>
      <c r="I19" s="244"/>
      <c r="J19" s="244"/>
      <c r="K19" s="244"/>
      <c r="L19" s="97" t="s">
        <v>380</v>
      </c>
    </row>
    <row r="20" spans="2:12" s="32" customFormat="1" ht="26.25" customHeight="1" thickTop="1" thickBot="1">
      <c r="B20" s="90" t="s">
        <v>383</v>
      </c>
      <c r="D20" s="243" t="s">
        <v>384</v>
      </c>
      <c r="E20" s="244"/>
      <c r="F20" s="244"/>
      <c r="G20" s="244"/>
      <c r="H20" s="244"/>
      <c r="I20" s="244"/>
      <c r="J20" s="244"/>
      <c r="K20" s="244"/>
      <c r="L20" s="97" t="s">
        <v>380</v>
      </c>
    </row>
    <row r="21" spans="2:12" s="32" customFormat="1" ht="26.25" customHeight="1" thickTop="1" thickBot="1">
      <c r="B21" s="90" t="s">
        <v>385</v>
      </c>
      <c r="D21" s="243" t="s">
        <v>386</v>
      </c>
      <c r="E21" s="244"/>
      <c r="F21" s="244"/>
      <c r="G21" s="244"/>
      <c r="H21" s="244"/>
      <c r="I21" s="244"/>
      <c r="J21" s="244"/>
      <c r="K21" s="244"/>
      <c r="L21" s="97" t="s">
        <v>380</v>
      </c>
    </row>
    <row r="22" spans="2:12" s="32" customFormat="1" ht="33.75" customHeight="1" thickTop="1" thickBot="1">
      <c r="B22" s="90" t="s">
        <v>387</v>
      </c>
      <c r="D22" s="243" t="s">
        <v>388</v>
      </c>
      <c r="E22" s="244"/>
      <c r="F22" s="244"/>
      <c r="G22" s="244"/>
      <c r="H22" s="244"/>
      <c r="I22" s="244"/>
      <c r="J22" s="244"/>
      <c r="K22" s="244"/>
      <c r="L22" s="97" t="s">
        <v>380</v>
      </c>
    </row>
    <row r="23" spans="2:12" s="32" customFormat="1" ht="52.5" customHeight="1" thickTop="1" thickBot="1">
      <c r="B23" s="90" t="s">
        <v>389</v>
      </c>
      <c r="D23" s="243" t="s">
        <v>390</v>
      </c>
      <c r="E23" s="244"/>
      <c r="F23" s="244"/>
      <c r="G23" s="244"/>
      <c r="H23" s="244"/>
      <c r="I23" s="244"/>
      <c r="J23" s="244"/>
      <c r="K23" s="244"/>
      <c r="L23" s="97" t="s">
        <v>380</v>
      </c>
    </row>
    <row r="24" spans="2:12" s="32" customFormat="1" ht="47.25" customHeight="1" thickTop="1" thickBot="1">
      <c r="B24" s="90" t="s">
        <v>20</v>
      </c>
      <c r="D24" s="243" t="s">
        <v>391</v>
      </c>
      <c r="E24" s="244"/>
      <c r="F24" s="244"/>
      <c r="G24" s="244"/>
      <c r="H24" s="244"/>
      <c r="I24" s="244"/>
      <c r="J24" s="244"/>
      <c r="K24" s="244"/>
      <c r="L24" s="97" t="s">
        <v>380</v>
      </c>
    </row>
    <row r="25" spans="2:12" s="32" customFormat="1" ht="33.75" customHeight="1" thickTop="1" thickBot="1">
      <c r="B25" s="90" t="s">
        <v>392</v>
      </c>
      <c r="D25" s="243" t="s">
        <v>393</v>
      </c>
      <c r="E25" s="244"/>
      <c r="F25" s="244"/>
      <c r="G25" s="244"/>
      <c r="H25" s="244"/>
      <c r="I25" s="244"/>
      <c r="J25" s="244"/>
      <c r="K25" s="244"/>
      <c r="L25" s="97" t="s">
        <v>380</v>
      </c>
    </row>
    <row r="26" spans="2:12" s="32" customFormat="1" ht="53.25" customHeight="1" thickTop="1" thickBot="1">
      <c r="B26" s="90" t="s">
        <v>394</v>
      </c>
      <c r="D26" s="243" t="s">
        <v>395</v>
      </c>
      <c r="E26" s="244"/>
      <c r="F26" s="244"/>
      <c r="G26" s="244"/>
      <c r="H26" s="244"/>
      <c r="I26" s="244"/>
      <c r="J26" s="244"/>
      <c r="K26" s="244"/>
      <c r="L26" s="97" t="s">
        <v>380</v>
      </c>
    </row>
    <row r="27" spans="2:12" s="32" customFormat="1" ht="35.25" customHeight="1" thickTop="1" thickBot="1">
      <c r="B27" s="90" t="s">
        <v>396</v>
      </c>
      <c r="D27" s="243" t="s">
        <v>397</v>
      </c>
      <c r="E27" s="244"/>
      <c r="F27" s="244"/>
      <c r="G27" s="244"/>
      <c r="H27" s="244"/>
      <c r="I27" s="244"/>
      <c r="J27" s="244"/>
      <c r="K27" s="244"/>
      <c r="L27" s="97" t="s">
        <v>380</v>
      </c>
    </row>
    <row r="28" spans="2:12" s="32" customFormat="1" ht="43.5" customHeight="1" thickTop="1" thickBot="1">
      <c r="B28" s="90" t="s">
        <v>17</v>
      </c>
      <c r="D28" s="243" t="s">
        <v>398</v>
      </c>
      <c r="E28" s="244"/>
      <c r="F28" s="244"/>
      <c r="G28" s="244"/>
      <c r="H28" s="244"/>
      <c r="I28" s="244"/>
      <c r="J28" s="244"/>
      <c r="K28" s="244"/>
      <c r="L28" s="97" t="s">
        <v>380</v>
      </c>
    </row>
    <row r="29" spans="2:12" s="32" customFormat="1" ht="49.5" customHeight="1" thickTop="1" thickBot="1">
      <c r="B29" s="90" t="s">
        <v>399</v>
      </c>
      <c r="D29" s="243" t="s">
        <v>400</v>
      </c>
      <c r="E29" s="244"/>
      <c r="F29" s="244"/>
      <c r="G29" s="244"/>
      <c r="H29" s="244"/>
      <c r="I29" s="244"/>
      <c r="J29" s="244"/>
      <c r="K29" s="244"/>
      <c r="L29" s="97" t="s">
        <v>380</v>
      </c>
    </row>
    <row r="30" spans="2:12" s="32" customFormat="1" ht="24.75" customHeight="1" thickTop="1" thickBot="1">
      <c r="B30" s="135" t="s">
        <v>401</v>
      </c>
      <c r="D30" s="243" t="s">
        <v>402</v>
      </c>
      <c r="E30" s="244"/>
      <c r="F30" s="244"/>
      <c r="G30" s="244"/>
      <c r="H30" s="244"/>
      <c r="I30" s="244"/>
      <c r="J30" s="244"/>
      <c r="K30" s="244"/>
      <c r="L30" s="97" t="s">
        <v>380</v>
      </c>
    </row>
    <row r="31" spans="2:12" s="32" customFormat="1" ht="24.75" customHeight="1" thickTop="1" thickBot="1">
      <c r="B31" s="90" t="s">
        <v>403</v>
      </c>
      <c r="D31" s="243" t="s">
        <v>404</v>
      </c>
      <c r="E31" s="244"/>
      <c r="F31" s="244"/>
      <c r="G31" s="244"/>
      <c r="H31" s="244"/>
      <c r="I31" s="244"/>
      <c r="J31" s="244"/>
      <c r="K31" s="244"/>
      <c r="L31" s="97" t="s">
        <v>380</v>
      </c>
    </row>
    <row r="32" spans="2:12" s="32" customFormat="1" ht="24.75" customHeight="1" thickTop="1" thickBot="1">
      <c r="B32" s="90" t="s">
        <v>405</v>
      </c>
      <c r="D32" s="243" t="s">
        <v>406</v>
      </c>
      <c r="E32" s="244"/>
      <c r="F32" s="244"/>
      <c r="G32" s="244"/>
      <c r="H32" s="244"/>
      <c r="I32" s="244"/>
      <c r="J32" s="244"/>
      <c r="K32" s="244"/>
      <c r="L32" s="97" t="s">
        <v>380</v>
      </c>
    </row>
    <row r="33" spans="2:12" s="32" customFormat="1" thickTop="1">
      <c r="B33" s="91"/>
      <c r="D33" s="78"/>
      <c r="L33" s="79"/>
    </row>
    <row r="34" spans="2:12" s="32" customFormat="1" ht="18.75" customHeight="1">
      <c r="B34" s="92" t="s">
        <v>407</v>
      </c>
      <c r="C34" s="93"/>
      <c r="D34" s="94"/>
      <c r="E34" s="93"/>
      <c r="F34" s="93"/>
      <c r="G34" s="93"/>
      <c r="H34" s="93"/>
      <c r="I34" s="93"/>
      <c r="J34" s="93"/>
      <c r="K34" s="93"/>
      <c r="L34" s="95"/>
    </row>
    <row r="35" spans="2:12" s="32" customFormat="1" ht="59.25" customHeight="1">
      <c r="B35" s="241" t="s">
        <v>408</v>
      </c>
      <c r="C35" s="242"/>
      <c r="D35" s="242"/>
      <c r="E35" s="242"/>
      <c r="F35" s="242"/>
      <c r="G35" s="242"/>
      <c r="H35" s="242"/>
      <c r="I35" s="242"/>
      <c r="J35" s="242"/>
      <c r="K35" s="242"/>
      <c r="L35" s="242"/>
    </row>
  </sheetData>
  <mergeCells count="25">
    <mergeCell ref="J1:L1"/>
    <mergeCell ref="D30:K30"/>
    <mergeCell ref="D25:K25"/>
    <mergeCell ref="D24:K24"/>
    <mergeCell ref="D29:K29"/>
    <mergeCell ref="D23:K23"/>
    <mergeCell ref="D9:L9"/>
    <mergeCell ref="D27:K27"/>
    <mergeCell ref="D12:L12"/>
    <mergeCell ref="H2:L2"/>
    <mergeCell ref="B4:L5"/>
    <mergeCell ref="D14:L14"/>
    <mergeCell ref="D28:K28"/>
    <mergeCell ref="D18:K18"/>
    <mergeCell ref="D10:L10"/>
    <mergeCell ref="B35:L35"/>
    <mergeCell ref="D20:K20"/>
    <mergeCell ref="D26:K26"/>
    <mergeCell ref="D13:L13"/>
    <mergeCell ref="D11:L11"/>
    <mergeCell ref="D19:K19"/>
    <mergeCell ref="D22:K22"/>
    <mergeCell ref="D31:K31"/>
    <mergeCell ref="D21:K21"/>
    <mergeCell ref="D32:K32"/>
  </mergeCells>
  <phoneticPr fontId="1" type="noConversion"/>
  <hyperlinks>
    <hyperlink ref="J1" r:id="rId1" display="https://xlworks.net/xlgantt-project-scheduler/" xr:uid="{00000000-0004-0000-0000-000000000000}"/>
    <hyperlink ref="H2" r:id="rId2" display="https://xlworks.net/xlgantt-project-scheduler/" xr:uid="{00000000-0004-0000-0000-000001000000}"/>
    <hyperlink ref="B9" location="Schedule!A1" display="Schedule" xr:uid="{00000000-0004-0000-0000-000002000000}"/>
    <hyperlink ref="B10" location="Progress!A1" display="Progress" xr:uid="{00000000-0004-0000-0000-000003000000}"/>
    <hyperlink ref="B11" location="AnalysisReport!A1" display="AnalysisReport" xr:uid="{00000000-0004-0000-0000-000004000000}"/>
    <hyperlink ref="B12" location="Calendar!A1" display="Calendar" xr:uid="{00000000-0004-0000-0000-000005000000}"/>
    <hyperlink ref="B13" location="Progress_Data!A1" display="Progress_Data" xr:uid="{00000000-0004-0000-0000-000006000000}"/>
    <hyperlink ref="L18" r:id="rId3" display="https://xlworks.net/xlgantt-easy-tip/" xr:uid="{00000000-0004-0000-0000-000007000000}"/>
    <hyperlink ref="L19" r:id="rId4" display="https://xlworks.net/xlgantt-howto-02-task/" xr:uid="{00000000-0004-0000-0000-000008000000}"/>
    <hyperlink ref="L20" r:id="rId5" display="https://xlworks.net/xlgantt-howto-03-gantt-chart/" xr:uid="{00000000-0004-0000-0000-000009000000}"/>
    <hyperlink ref="L21" r:id="rId6" display="https://xlworks.net/xlgantt-howto-04-project-progress/" xr:uid="{00000000-0004-0000-0000-00000A000000}"/>
    <hyperlink ref="L22" r:id="rId7" display="https://xlworks.net/xlgantt-howto-05-analysis-report/" xr:uid="{00000000-0004-0000-0000-00000B000000}"/>
    <hyperlink ref="L23" r:id="rId8" display="https://xlworks.net/xlgantt-howto-06-schedule-change-management/" xr:uid="{00000000-0004-0000-0000-00000C000000}"/>
    <hyperlink ref="L24" r:id="rId9" display="https://xlworks.net/xlgantt-howto-07-deliverables/" xr:uid="{00000000-0004-0000-0000-00000D000000}"/>
    <hyperlink ref="L25" r:id="rId10" display="https://xlworks.net/xlgantt-howto-08-add-tasks-to-outlook/" xr:uid="{00000000-0004-0000-0000-00000E000000}"/>
    <hyperlink ref="L26" r:id="rId11" display="https://xlworks.net/xlgantt-howto-09-multilingual-support/" xr:uid="{00000000-0004-0000-0000-00000F000000}"/>
    <hyperlink ref="L27" r:id="rId12" display="https://xlworks.net/xlgantt-howto-10-import-schedule/" xr:uid="{00000000-0004-0000-0000-000010000000}"/>
    <hyperlink ref="L28" r:id="rId13" display="https://xlworks.net/xlgantt-howto-11-calendar/" xr:uid="{00000000-0004-0000-0000-000011000000}"/>
    <hyperlink ref="L29" r:id="rId14" display="https://xlworks.net/xlgantt-howto-12-integration-with-excel/" xr:uid="{00000000-0004-0000-0000-000012000000}"/>
    <hyperlink ref="L30" r:id="rId15" display="https://xlworks.net/xlgantt-howto-14-workloads/" xr:uid="{00000000-0004-0000-0000-000013000000}"/>
    <hyperlink ref="L31" r:id="rId16" display="https://xlworks.net/xlgantt-howto-15-color-theme/" xr:uid="{00000000-0004-0000-0000-000014000000}"/>
    <hyperlink ref="L32" r:id="rId17" display="https://xlworks.net/xlgantt-howto-16-task-dependencies/" xr:uid="{00000000-0004-0000-0000-000015000000}"/>
  </hyperlinks>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OL18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6"/>
  <cols>
    <col min="1" max="1" width="1.625" style="107" hidden="1" customWidth="1"/>
    <col min="2" max="2" width="9" style="107" hidden="1" customWidth="1"/>
    <col min="3" max="3" width="8.375" style="107" hidden="1" customWidth="1"/>
    <col min="4" max="4" width="6.625" style="108" customWidth="1"/>
    <col min="5" max="13" width="2.625" style="109" customWidth="1"/>
    <col min="14" max="14" width="11.375" style="109" customWidth="1"/>
    <col min="15" max="15" width="27" style="108" bestFit="1" customWidth="1"/>
    <col min="16" max="16" width="10.375" style="110" bestFit="1" customWidth="1"/>
    <col min="17" max="17" width="10" style="110" bestFit="1" customWidth="1"/>
    <col min="18" max="18" width="7.625" style="109" customWidth="1"/>
    <col min="19" max="19" width="7.375" style="111" customWidth="1"/>
    <col min="20" max="20" width="7.125" style="111" bestFit="1" customWidth="1"/>
    <col min="21" max="21" width="6" style="111" customWidth="1"/>
    <col min="22" max="22" width="5.875" style="111" customWidth="1"/>
    <col min="23" max="24" width="9.625" style="110" hidden="1" customWidth="1"/>
    <col min="25" max="25" width="7.5" style="112" hidden="1" customWidth="1"/>
    <col min="26" max="26" width="6" style="113" hidden="1" customWidth="1"/>
    <col min="27" max="27" width="7.125" style="111" hidden="1" customWidth="1"/>
    <col min="28" max="28" width="12.875" style="109" customWidth="1"/>
    <col min="29" max="29" width="10.875" style="109" customWidth="1"/>
    <col min="30" max="30" width="8.75" style="114" bestFit="1" customWidth="1"/>
    <col min="31" max="31" width="15.5" style="115" customWidth="1"/>
    <col min="32" max="402" width="1.875" style="99" customWidth="1"/>
    <col min="403" max="16384" width="10" style="99"/>
  </cols>
  <sheetData>
    <row r="1" spans="1:402" s="100" customFormat="1" ht="24.95" customHeight="1">
      <c r="A1" s="160"/>
      <c r="B1" s="180"/>
      <c r="C1" s="162"/>
      <c r="D1" s="167" t="str">
        <f t="array" ref="D1">xlgantt.ProjectName()</f>
        <v>서울 동행맵 고도화 구축 용역</v>
      </c>
      <c r="E1" s="168"/>
      <c r="F1" s="168"/>
      <c r="G1" s="168"/>
      <c r="H1" s="168"/>
      <c r="I1" s="168"/>
      <c r="J1" s="168"/>
      <c r="K1" s="168"/>
      <c r="L1" s="168"/>
      <c r="M1" s="168"/>
      <c r="N1" s="168"/>
      <c r="O1" s="212"/>
      <c r="P1" s="168"/>
      <c r="Q1" s="169"/>
      <c r="R1" s="170"/>
      <c r="S1" s="171"/>
      <c r="T1" s="172"/>
      <c r="U1" s="173"/>
      <c r="V1" s="173"/>
      <c r="W1" s="174"/>
      <c r="X1" s="174"/>
      <c r="Y1" s="161"/>
      <c r="Z1" s="175"/>
      <c r="AA1" s="163"/>
      <c r="AB1" s="164"/>
      <c r="AC1" s="165" t="str">
        <f t="array" ref="AC1">xlgantt.ProjectProgress()</f>
        <v>2026-06-23~2027-06-22</v>
      </c>
      <c r="AD1" s="166"/>
      <c r="AE1" s="165"/>
      <c r="AF1" s="271" t="s">
        <v>1795</v>
      </c>
      <c r="AG1" s="270"/>
      <c r="AH1" s="270"/>
      <c r="AI1" s="270"/>
      <c r="AJ1" s="270"/>
      <c r="AK1" s="270"/>
      <c r="AL1" s="270"/>
      <c r="AM1" s="270"/>
      <c r="AN1" s="270"/>
      <c r="AO1" s="270"/>
      <c r="AP1" s="270"/>
      <c r="AQ1" s="270"/>
      <c r="AR1" s="270"/>
      <c r="AS1" s="270"/>
      <c r="AT1" s="270"/>
      <c r="AU1" s="270"/>
      <c r="AV1" s="270"/>
      <c r="AW1" s="270"/>
      <c r="AX1" s="270"/>
      <c r="AY1" s="270"/>
      <c r="AZ1" s="270"/>
      <c r="BA1" s="270"/>
      <c r="BB1" s="270"/>
      <c r="BC1" s="270"/>
      <c r="BD1" s="270"/>
      <c r="BE1" s="270"/>
      <c r="BF1" s="270"/>
      <c r="BG1" s="270"/>
      <c r="BH1" s="270"/>
      <c r="BI1" s="270"/>
      <c r="BJ1" s="270"/>
    </row>
    <row r="2" spans="1:402" s="100" customFormat="1" ht="15" customHeight="1">
      <c r="A2" s="151"/>
      <c r="B2" s="151"/>
      <c r="C2" s="152"/>
      <c r="D2" s="177"/>
      <c r="E2" s="177"/>
      <c r="F2" s="177"/>
      <c r="G2" s="153"/>
      <c r="H2" s="154"/>
      <c r="I2" s="153"/>
      <c r="J2" s="153"/>
      <c r="K2" s="153"/>
      <c r="L2" s="153"/>
      <c r="M2" s="153"/>
      <c r="N2" s="153"/>
      <c r="O2" s="213"/>
      <c r="P2" s="153"/>
      <c r="Q2" s="153"/>
      <c r="R2" s="153"/>
      <c r="S2" s="155"/>
      <c r="T2" s="155"/>
      <c r="U2" s="155"/>
      <c r="V2" s="155"/>
      <c r="W2" s="153"/>
      <c r="X2" s="153"/>
      <c r="Y2" s="153"/>
      <c r="Z2" s="153"/>
      <c r="AA2" s="153"/>
      <c r="AB2" s="153"/>
      <c r="AC2" s="156"/>
      <c r="AD2" s="157"/>
      <c r="AE2" s="153"/>
      <c r="AF2" s="221" t="s">
        <v>1</v>
      </c>
      <c r="AG2" s="221"/>
      <c r="AH2" s="221"/>
      <c r="AI2" s="221"/>
      <c r="AJ2" s="221" t="s">
        <v>2</v>
      </c>
      <c r="AK2" s="221"/>
      <c r="AL2" s="221"/>
      <c r="AM2" s="221"/>
      <c r="AN2" s="221" t="s">
        <v>3</v>
      </c>
      <c r="AO2" s="221"/>
      <c r="AP2" s="221"/>
      <c r="AQ2" s="221"/>
      <c r="AR2" s="221" t="s">
        <v>4</v>
      </c>
      <c r="AS2" s="221"/>
      <c r="AT2" s="221"/>
      <c r="AU2" s="221"/>
      <c r="AV2" s="221" t="s">
        <v>5</v>
      </c>
      <c r="AW2" s="221"/>
      <c r="AX2" s="221"/>
      <c r="AY2" s="221"/>
      <c r="AZ2" s="221" t="s">
        <v>6</v>
      </c>
      <c r="BA2" s="221"/>
      <c r="BB2" s="221"/>
      <c r="BC2" s="221"/>
      <c r="BD2" s="221" t="s">
        <v>7</v>
      </c>
      <c r="BE2" s="221"/>
      <c r="BF2" s="221"/>
      <c r="BG2" s="221"/>
      <c r="BH2" s="221" t="s">
        <v>8</v>
      </c>
      <c r="BI2" s="221"/>
      <c r="BJ2" s="221"/>
      <c r="BK2" s="221"/>
      <c r="BL2" s="221" t="s">
        <v>9</v>
      </c>
      <c r="BM2" s="221"/>
      <c r="BN2" s="221"/>
      <c r="BO2" s="221"/>
      <c r="BP2" s="221" t="s">
        <v>10</v>
      </c>
      <c r="BQ2" s="221"/>
      <c r="BR2" s="221"/>
      <c r="BS2" s="221"/>
      <c r="BT2" s="221" t="s">
        <v>11</v>
      </c>
      <c r="BU2" s="221"/>
      <c r="BV2" s="221"/>
      <c r="BW2" s="221"/>
      <c r="BX2" s="221" t="s">
        <v>12</v>
      </c>
      <c r="BY2" s="221"/>
      <c r="BZ2" s="221"/>
      <c r="CA2" s="221"/>
      <c r="CB2" s="221" t="s">
        <v>13</v>
      </c>
      <c r="CC2" s="221"/>
      <c r="CD2" s="221"/>
      <c r="CE2" s="221"/>
      <c r="CF2" s="221" t="s">
        <v>14</v>
      </c>
      <c r="CG2" s="221"/>
      <c r="CH2" s="221"/>
      <c r="CI2" s="221"/>
      <c r="CJ2" s="189"/>
      <c r="CK2" s="189"/>
      <c r="CL2" s="189"/>
      <c r="CM2" s="189"/>
      <c r="CN2" s="189"/>
      <c r="CO2" s="189"/>
      <c r="CP2" s="189"/>
      <c r="CQ2" s="189"/>
      <c r="CR2" s="189"/>
      <c r="CS2" s="189"/>
      <c r="CT2" s="189"/>
      <c r="CU2" s="189"/>
      <c r="CV2" s="189"/>
      <c r="CW2" s="189"/>
      <c r="CX2" s="189"/>
      <c r="CY2" s="189"/>
      <c r="CZ2" s="189"/>
      <c r="DA2" s="189"/>
      <c r="DB2" s="189"/>
      <c r="DC2" s="189"/>
      <c r="DD2" s="189"/>
      <c r="DE2" s="189"/>
      <c r="DF2" s="189"/>
      <c r="DG2" s="189"/>
      <c r="DH2" s="189"/>
      <c r="DI2" s="189"/>
      <c r="DJ2" s="189"/>
      <c r="DK2" s="189"/>
      <c r="DL2" s="189"/>
      <c r="DM2" s="189"/>
      <c r="DN2" s="189"/>
      <c r="DO2" s="189"/>
      <c r="DP2" s="189"/>
      <c r="DQ2" s="189"/>
      <c r="DR2" s="189"/>
      <c r="DS2" s="189"/>
      <c r="DT2" s="189"/>
      <c r="DU2" s="189"/>
      <c r="DV2" s="189"/>
      <c r="DW2" s="189"/>
      <c r="DX2" s="189"/>
      <c r="DY2" s="189"/>
      <c r="DZ2" s="189"/>
      <c r="EA2" s="189"/>
      <c r="EB2" s="189"/>
      <c r="EC2" s="189"/>
      <c r="ED2" s="189"/>
      <c r="EE2" s="189"/>
      <c r="EF2" s="189"/>
      <c r="EG2" s="189"/>
      <c r="EH2" s="189"/>
      <c r="EI2" s="189"/>
      <c r="EJ2" s="189"/>
      <c r="EK2" s="189"/>
      <c r="EL2" s="189"/>
      <c r="EM2" s="189"/>
      <c r="EN2" s="189"/>
      <c r="EO2" s="189"/>
      <c r="EP2" s="189"/>
      <c r="EQ2" s="189"/>
      <c r="ER2" s="189"/>
      <c r="ES2" s="189"/>
      <c r="ET2" s="189"/>
      <c r="EU2" s="189"/>
      <c r="EV2" s="189"/>
      <c r="EW2" s="189"/>
      <c r="EX2" s="189"/>
      <c r="EY2" s="189"/>
      <c r="EZ2" s="189"/>
      <c r="FA2" s="189"/>
      <c r="FB2" s="189"/>
      <c r="FC2" s="189"/>
      <c r="FD2" s="189"/>
      <c r="FE2" s="189"/>
      <c r="FF2" s="189"/>
      <c r="FG2" s="189"/>
      <c r="FH2" s="189"/>
      <c r="FI2" s="189"/>
      <c r="FJ2" s="189"/>
      <c r="FK2" s="189"/>
      <c r="FL2" s="189"/>
      <c r="FM2" s="189"/>
      <c r="FN2" s="189"/>
      <c r="FO2" s="189"/>
      <c r="FP2" s="189"/>
      <c r="FQ2" s="189"/>
      <c r="FR2" s="189"/>
      <c r="FS2" s="189"/>
      <c r="FT2" s="189"/>
      <c r="FU2" s="189"/>
      <c r="FV2" s="189"/>
      <c r="FW2" s="189"/>
      <c r="FX2" s="189"/>
      <c r="FY2" s="189"/>
      <c r="FZ2" s="189"/>
      <c r="GA2" s="189"/>
      <c r="GB2" s="189"/>
      <c r="GC2" s="189"/>
      <c r="GD2" s="189"/>
      <c r="GE2" s="189"/>
      <c r="GF2" s="189"/>
      <c r="GG2" s="189"/>
      <c r="GH2" s="189"/>
      <c r="GI2" s="189"/>
      <c r="GJ2" s="189"/>
      <c r="GK2" s="189"/>
      <c r="GL2" s="189"/>
      <c r="GM2" s="189"/>
      <c r="GN2" s="189"/>
      <c r="GO2" s="189"/>
      <c r="GP2" s="189"/>
      <c r="GQ2" s="189"/>
      <c r="GR2" s="189"/>
      <c r="GS2" s="189"/>
      <c r="GT2" s="189"/>
      <c r="GU2" s="189"/>
      <c r="GV2" s="189"/>
      <c r="GW2" s="189"/>
      <c r="GX2" s="189"/>
      <c r="GY2" s="189"/>
      <c r="GZ2" s="189"/>
      <c r="HA2" s="189"/>
      <c r="HB2" s="189"/>
      <c r="HC2" s="189"/>
      <c r="HD2" s="189"/>
      <c r="HE2" s="189"/>
      <c r="HF2" s="189"/>
      <c r="HG2" s="189"/>
      <c r="HH2" s="189"/>
      <c r="HI2" s="189"/>
      <c r="HJ2" s="189"/>
      <c r="HK2" s="189"/>
      <c r="HL2" s="189"/>
      <c r="HM2" s="189"/>
      <c r="HN2" s="189"/>
      <c r="HO2" s="189"/>
      <c r="HP2" s="189"/>
      <c r="HQ2" s="189"/>
      <c r="HR2" s="189"/>
      <c r="HS2" s="189"/>
      <c r="HT2" s="189"/>
      <c r="HU2" s="189"/>
      <c r="HV2" s="189"/>
      <c r="HW2" s="189"/>
      <c r="HX2" s="189"/>
      <c r="HY2" s="189"/>
      <c r="HZ2" s="189"/>
      <c r="IA2" s="189"/>
      <c r="IB2" s="189"/>
      <c r="IC2" s="189"/>
      <c r="ID2" s="189"/>
      <c r="IE2" s="189"/>
      <c r="IF2" s="189"/>
      <c r="IG2" s="189"/>
      <c r="IH2" s="189"/>
      <c r="II2" s="189"/>
      <c r="IJ2" s="189"/>
      <c r="IK2" s="189"/>
      <c r="IL2" s="189"/>
      <c r="IM2" s="189"/>
      <c r="IN2" s="189"/>
      <c r="IO2" s="189"/>
      <c r="IP2" s="189"/>
      <c r="IQ2" s="189"/>
      <c r="IR2" s="189"/>
      <c r="IS2" s="189"/>
      <c r="IT2" s="189"/>
      <c r="IU2" s="189"/>
      <c r="IV2" s="189"/>
      <c r="IW2" s="189"/>
      <c r="IX2" s="189"/>
      <c r="IY2" s="189"/>
      <c r="IZ2" s="189"/>
      <c r="JA2" s="189"/>
      <c r="JB2" s="189"/>
      <c r="JC2" s="189"/>
      <c r="JD2" s="189"/>
      <c r="JE2" s="189"/>
      <c r="JF2" s="189"/>
      <c r="JG2" s="189"/>
      <c r="JH2" s="189"/>
      <c r="JI2" s="189"/>
      <c r="JJ2" s="189"/>
      <c r="JK2" s="189"/>
      <c r="JL2" s="189"/>
      <c r="JM2" s="189"/>
      <c r="JN2" s="189"/>
      <c r="JO2" s="189"/>
      <c r="JP2" s="189"/>
      <c r="JQ2" s="189"/>
      <c r="JR2" s="189"/>
      <c r="JS2" s="189"/>
      <c r="JT2" s="189"/>
      <c r="JU2" s="189"/>
      <c r="JV2" s="189"/>
      <c r="JW2" s="189"/>
      <c r="JX2" s="189"/>
      <c r="JY2" s="189"/>
      <c r="JZ2" s="189"/>
      <c r="KA2" s="189"/>
      <c r="KB2" s="189"/>
      <c r="KC2" s="189"/>
      <c r="KD2" s="189"/>
      <c r="KE2" s="189"/>
      <c r="KF2" s="189"/>
      <c r="KG2" s="189"/>
      <c r="KH2" s="189"/>
      <c r="KI2" s="189"/>
      <c r="KJ2" s="189"/>
      <c r="KK2" s="189"/>
      <c r="KL2" s="189"/>
      <c r="KM2" s="189"/>
      <c r="KN2" s="189"/>
      <c r="KO2" s="189"/>
      <c r="KP2" s="189"/>
      <c r="KQ2" s="189"/>
      <c r="KR2" s="189"/>
      <c r="KS2" s="189"/>
      <c r="KT2" s="189"/>
      <c r="KU2" s="189"/>
      <c r="KV2" s="189"/>
      <c r="KW2" s="189"/>
      <c r="KX2" s="189"/>
      <c r="KY2" s="189"/>
      <c r="KZ2" s="189"/>
      <c r="LA2" s="189"/>
      <c r="LB2" s="189"/>
      <c r="LC2" s="189"/>
      <c r="LD2" s="189"/>
      <c r="LE2" s="189"/>
      <c r="LF2" s="189"/>
      <c r="LG2" s="189"/>
      <c r="LH2" s="189"/>
      <c r="LI2" s="189"/>
      <c r="LJ2" s="189"/>
      <c r="LK2" s="189"/>
      <c r="LL2" s="189"/>
      <c r="LM2" s="189"/>
      <c r="LN2" s="189"/>
      <c r="LO2" s="189"/>
      <c r="LP2" s="189"/>
      <c r="LQ2" s="189"/>
      <c r="LR2" s="189"/>
      <c r="LS2" s="189"/>
      <c r="LT2" s="189"/>
      <c r="LU2" s="189"/>
      <c r="LV2" s="189"/>
      <c r="LW2" s="189"/>
      <c r="LX2" s="189"/>
      <c r="LY2" s="189"/>
      <c r="LZ2" s="189"/>
      <c r="MA2" s="189"/>
      <c r="MB2" s="189"/>
      <c r="MC2" s="189"/>
      <c r="MD2" s="189"/>
      <c r="ME2" s="189"/>
      <c r="MF2" s="189"/>
      <c r="MG2" s="189"/>
      <c r="MH2" s="189"/>
      <c r="MI2" s="189"/>
      <c r="MJ2" s="189"/>
      <c r="MK2" s="189"/>
      <c r="ML2" s="189"/>
      <c r="MM2" s="189"/>
      <c r="MN2" s="189"/>
      <c r="MO2" s="189"/>
      <c r="MP2" s="189"/>
      <c r="MQ2" s="189"/>
      <c r="MR2" s="189"/>
      <c r="MS2" s="189"/>
      <c r="MT2" s="189"/>
      <c r="MU2" s="189"/>
      <c r="MV2" s="189"/>
      <c r="MW2" s="189"/>
      <c r="MX2" s="189"/>
      <c r="MY2" s="189"/>
      <c r="MZ2" s="189"/>
      <c r="NA2" s="189"/>
      <c r="NB2" s="189"/>
      <c r="NC2" s="189"/>
      <c r="ND2" s="189"/>
      <c r="NE2" s="189"/>
      <c r="NF2" s="189"/>
      <c r="NG2" s="189"/>
      <c r="NH2" s="189"/>
      <c r="NI2" s="189"/>
      <c r="NJ2" s="189"/>
      <c r="NK2" s="189"/>
      <c r="NL2" s="189"/>
      <c r="NM2" s="189"/>
      <c r="NN2" s="189"/>
      <c r="NO2" s="189"/>
      <c r="NP2" s="189"/>
      <c r="NQ2" s="189"/>
      <c r="NR2" s="189"/>
      <c r="NS2" s="189"/>
      <c r="NT2" s="189"/>
      <c r="NU2" s="189"/>
      <c r="NV2" s="189"/>
      <c r="NW2" s="189"/>
      <c r="NX2" s="189"/>
      <c r="NY2" s="189"/>
      <c r="NZ2" s="189"/>
      <c r="OA2" s="189"/>
      <c r="OB2" s="189"/>
      <c r="OC2" s="189"/>
      <c r="OD2" s="189"/>
      <c r="OE2" s="189"/>
      <c r="OF2" s="189"/>
      <c r="OG2" s="189"/>
      <c r="OH2" s="189"/>
      <c r="OI2" s="189"/>
      <c r="OJ2" s="189"/>
      <c r="OK2" s="189"/>
      <c r="OL2" s="189"/>
    </row>
    <row r="3" spans="1:402" s="98" customFormat="1" ht="18.95" customHeight="1">
      <c r="A3" s="224" t="s">
        <v>1796</v>
      </c>
      <c r="B3" s="236" t="s">
        <v>1797</v>
      </c>
      <c r="C3" s="230" t="s">
        <v>1798</v>
      </c>
      <c r="D3" s="227" t="s">
        <v>1799</v>
      </c>
      <c r="E3" s="232" t="s">
        <v>1800</v>
      </c>
      <c r="F3" s="220"/>
      <c r="G3" s="220"/>
      <c r="H3" s="220"/>
      <c r="I3" s="220"/>
      <c r="J3" s="220"/>
      <c r="K3" s="220"/>
      <c r="L3" s="220"/>
      <c r="M3" s="220"/>
      <c r="N3" s="220"/>
      <c r="O3" s="231" t="s">
        <v>1801</v>
      </c>
      <c r="P3" s="231" t="s">
        <v>1802</v>
      </c>
      <c r="Q3" s="231" t="s">
        <v>1803</v>
      </c>
      <c r="R3" s="235" t="s">
        <v>1804</v>
      </c>
      <c r="S3" s="228" t="s">
        <v>1805</v>
      </c>
      <c r="T3" s="238" t="s">
        <v>1806</v>
      </c>
      <c r="U3" s="228" t="s">
        <v>1807</v>
      </c>
      <c r="V3" s="228" t="s">
        <v>1808</v>
      </c>
      <c r="W3" s="229" t="s">
        <v>1809</v>
      </c>
      <c r="X3" s="229" t="s">
        <v>1810</v>
      </c>
      <c r="Y3" s="234" t="s">
        <v>1811</v>
      </c>
      <c r="Z3" s="222" t="s">
        <v>1812</v>
      </c>
      <c r="AA3" s="237" t="s">
        <v>1813</v>
      </c>
      <c r="AB3" s="231" t="s">
        <v>1814</v>
      </c>
      <c r="AC3" s="235" t="s">
        <v>1815</v>
      </c>
      <c r="AD3" s="239" t="s">
        <v>1816</v>
      </c>
      <c r="AE3" s="240" t="s">
        <v>1817</v>
      </c>
      <c r="AF3" s="226" t="s">
        <v>22</v>
      </c>
      <c r="AG3" s="266"/>
      <c r="AH3" s="266"/>
      <c r="AI3" s="266"/>
      <c r="AJ3" s="219" t="s">
        <v>23</v>
      </c>
      <c r="AK3" s="266"/>
      <c r="AL3" s="266"/>
      <c r="AM3" s="266"/>
      <c r="AN3" s="219" t="s">
        <v>24</v>
      </c>
      <c r="AO3" s="266"/>
      <c r="AP3" s="266"/>
      <c r="AQ3" s="266"/>
      <c r="AR3" s="219" t="s">
        <v>25</v>
      </c>
      <c r="AS3" s="266"/>
      <c r="AT3" s="266"/>
      <c r="AU3" s="266"/>
      <c r="AV3" s="219" t="s">
        <v>26</v>
      </c>
      <c r="AW3" s="266"/>
      <c r="AX3" s="266"/>
      <c r="AY3" s="266"/>
      <c r="AZ3" s="219" t="s">
        <v>27</v>
      </c>
      <c r="BA3" s="266"/>
      <c r="BB3" s="266"/>
      <c r="BC3" s="266"/>
      <c r="BD3" s="219" t="s">
        <v>28</v>
      </c>
      <c r="BE3" s="266"/>
      <c r="BF3" s="266"/>
      <c r="BG3" s="266"/>
      <c r="BH3" s="219" t="s">
        <v>29</v>
      </c>
      <c r="BI3" s="266"/>
      <c r="BJ3" s="266"/>
      <c r="BK3" s="266"/>
      <c r="BL3" s="219" t="s">
        <v>30</v>
      </c>
      <c r="BM3" s="266"/>
      <c r="BN3" s="266"/>
      <c r="BO3" s="266"/>
      <c r="BP3" s="219" t="s">
        <v>31</v>
      </c>
      <c r="BQ3" s="266"/>
      <c r="BR3" s="266"/>
      <c r="BS3" s="266"/>
      <c r="BT3" s="219" t="s">
        <v>32</v>
      </c>
      <c r="BU3" s="266"/>
      <c r="BV3" s="266"/>
      <c r="BW3" s="266"/>
      <c r="BX3" s="219" t="s">
        <v>33</v>
      </c>
      <c r="BY3" s="266"/>
      <c r="BZ3" s="266"/>
      <c r="CA3" s="266"/>
      <c r="CB3" s="219" t="s">
        <v>34</v>
      </c>
      <c r="CC3" s="266"/>
      <c r="CD3" s="266"/>
      <c r="CE3" s="266"/>
      <c r="CF3" s="219" t="s">
        <v>35</v>
      </c>
      <c r="CG3" s="266"/>
      <c r="CH3" s="266"/>
      <c r="CI3" s="267"/>
    </row>
    <row r="4" spans="1:402" s="98" customFormat="1" ht="6" customHeight="1">
      <c r="A4" s="225"/>
      <c r="B4" s="223"/>
      <c r="C4" s="223"/>
      <c r="D4" s="223"/>
      <c r="E4" s="233"/>
      <c r="F4" s="220"/>
      <c r="G4" s="220"/>
      <c r="H4" s="220"/>
      <c r="I4" s="220"/>
      <c r="J4" s="220"/>
      <c r="K4" s="220"/>
      <c r="L4" s="220"/>
      <c r="M4" s="220"/>
      <c r="N4" s="220"/>
      <c r="O4" s="223"/>
      <c r="P4" s="223"/>
      <c r="Q4" s="223"/>
      <c r="R4" s="223"/>
      <c r="S4" s="223"/>
      <c r="T4" s="223"/>
      <c r="U4" s="223"/>
      <c r="V4" s="223"/>
      <c r="W4" s="223"/>
      <c r="X4" s="223"/>
      <c r="Y4" s="223"/>
      <c r="Z4" s="223"/>
      <c r="AA4" s="223"/>
      <c r="AB4" s="223"/>
      <c r="AC4" s="223"/>
      <c r="AD4" s="223"/>
      <c r="AE4" s="233"/>
      <c r="AF4" s="268">
        <v>46194</v>
      </c>
      <c r="AG4" s="269">
        <v>46201</v>
      </c>
      <c r="AH4" s="269">
        <v>46208</v>
      </c>
      <c r="AI4" s="269">
        <v>46215</v>
      </c>
      <c r="AJ4" s="269">
        <v>46222</v>
      </c>
      <c r="AK4" s="269">
        <v>46229</v>
      </c>
      <c r="AL4" s="269">
        <v>46236</v>
      </c>
      <c r="AM4" s="269">
        <v>46243</v>
      </c>
      <c r="AN4" s="269">
        <v>46250</v>
      </c>
      <c r="AO4" s="269">
        <v>46257</v>
      </c>
      <c r="AP4" s="269">
        <v>46264</v>
      </c>
      <c r="AQ4" s="269">
        <v>46271</v>
      </c>
      <c r="AR4" s="269">
        <v>46278</v>
      </c>
      <c r="AS4" s="269">
        <v>46285</v>
      </c>
      <c r="AT4" s="269">
        <v>46292</v>
      </c>
      <c r="AU4" s="269">
        <v>46299</v>
      </c>
      <c r="AV4" s="269">
        <v>46306</v>
      </c>
      <c r="AW4" s="269">
        <v>46313</v>
      </c>
      <c r="AX4" s="269">
        <v>46320</v>
      </c>
      <c r="AY4" s="269">
        <v>46327</v>
      </c>
      <c r="AZ4" s="269">
        <v>46334</v>
      </c>
      <c r="BA4" s="269">
        <v>46341</v>
      </c>
      <c r="BB4" s="269">
        <v>46348</v>
      </c>
      <c r="BC4" s="269">
        <v>46355</v>
      </c>
      <c r="BD4" s="269">
        <v>46362</v>
      </c>
      <c r="BE4" s="269">
        <v>46369</v>
      </c>
      <c r="BF4" s="269">
        <v>46376</v>
      </c>
      <c r="BG4" s="269">
        <v>46383</v>
      </c>
      <c r="BH4" s="269">
        <v>46390</v>
      </c>
      <c r="BI4" s="269">
        <v>46397</v>
      </c>
      <c r="BJ4" s="269">
        <v>46404</v>
      </c>
      <c r="BK4" s="269">
        <v>46411</v>
      </c>
      <c r="BL4" s="269">
        <v>46418</v>
      </c>
      <c r="BM4" s="269">
        <v>46425</v>
      </c>
      <c r="BN4" s="269">
        <v>46432</v>
      </c>
      <c r="BO4" s="269">
        <v>46439</v>
      </c>
      <c r="BP4" s="269">
        <v>46446</v>
      </c>
      <c r="BQ4" s="269">
        <v>46453</v>
      </c>
      <c r="BR4" s="269">
        <v>46460</v>
      </c>
      <c r="BS4" s="269">
        <v>46467</v>
      </c>
      <c r="BT4" s="269">
        <v>46474</v>
      </c>
      <c r="BU4" s="269">
        <v>46481</v>
      </c>
      <c r="BV4" s="269">
        <v>46488</v>
      </c>
      <c r="BW4" s="269">
        <v>46495</v>
      </c>
      <c r="BX4" s="269">
        <v>46502</v>
      </c>
      <c r="BY4" s="269">
        <v>46509</v>
      </c>
      <c r="BZ4" s="269">
        <v>46516</v>
      </c>
      <c r="CA4" s="269">
        <v>46523</v>
      </c>
      <c r="CB4" s="269">
        <v>46530</v>
      </c>
      <c r="CC4" s="269">
        <v>46537</v>
      </c>
      <c r="CD4" s="269">
        <v>46544</v>
      </c>
      <c r="CE4" s="269">
        <v>46551</v>
      </c>
      <c r="CF4" s="269">
        <v>46558</v>
      </c>
      <c r="CG4" s="200"/>
      <c r="CH4" s="200"/>
      <c r="CI4" s="190"/>
      <c r="CJ4" s="191"/>
      <c r="CK4" s="191"/>
      <c r="CL4" s="191"/>
      <c r="CM4" s="191"/>
      <c r="CN4" s="191"/>
      <c r="CO4" s="191"/>
      <c r="CP4" s="191"/>
      <c r="CQ4" s="191"/>
      <c r="CR4" s="191"/>
      <c r="CS4" s="191"/>
      <c r="CT4" s="191"/>
      <c r="CU4" s="191"/>
      <c r="CV4" s="191"/>
      <c r="CW4" s="191"/>
      <c r="CX4" s="191"/>
      <c r="CY4" s="191"/>
      <c r="CZ4" s="191"/>
      <c r="DA4" s="191"/>
      <c r="DB4" s="191"/>
      <c r="DC4" s="191"/>
      <c r="DD4" s="191"/>
      <c r="DE4" s="191"/>
      <c r="DF4" s="191"/>
      <c r="DG4" s="191"/>
      <c r="DH4" s="191"/>
      <c r="DI4" s="191"/>
      <c r="DJ4" s="191"/>
      <c r="DK4" s="191"/>
      <c r="DL4" s="191"/>
      <c r="DM4" s="191"/>
      <c r="DN4" s="191"/>
      <c r="DO4" s="191"/>
      <c r="DP4" s="191"/>
      <c r="DQ4" s="191"/>
      <c r="DR4" s="191"/>
      <c r="DS4" s="191"/>
      <c r="DT4" s="191"/>
      <c r="DU4" s="191"/>
      <c r="DV4" s="191"/>
      <c r="DW4" s="191"/>
      <c r="DX4" s="191"/>
      <c r="DY4" s="191"/>
      <c r="DZ4" s="191"/>
      <c r="EA4" s="191"/>
      <c r="EB4" s="191"/>
      <c r="EC4" s="191"/>
      <c r="ED4" s="191"/>
      <c r="EE4" s="191"/>
      <c r="EF4" s="191"/>
      <c r="EG4" s="191"/>
      <c r="EH4" s="191"/>
      <c r="EI4" s="191"/>
      <c r="EJ4" s="191"/>
      <c r="EK4" s="191"/>
      <c r="EL4" s="191"/>
      <c r="EM4" s="191"/>
      <c r="EN4" s="191"/>
      <c r="EO4" s="191"/>
      <c r="EP4" s="191"/>
      <c r="EQ4" s="191"/>
      <c r="ER4" s="191"/>
      <c r="ES4" s="191"/>
      <c r="ET4" s="191"/>
      <c r="EU4" s="191"/>
      <c r="EV4" s="191"/>
      <c r="EW4" s="191"/>
      <c r="EX4" s="191"/>
      <c r="EY4" s="191"/>
      <c r="EZ4" s="191"/>
      <c r="FA4" s="191"/>
      <c r="FB4" s="191"/>
      <c r="FC4" s="191"/>
      <c r="FD4" s="191"/>
      <c r="FE4" s="191"/>
      <c r="FF4" s="191"/>
      <c r="FG4" s="191"/>
      <c r="FH4" s="191"/>
      <c r="FI4" s="191"/>
      <c r="FJ4" s="191"/>
      <c r="FK4" s="191"/>
      <c r="FL4" s="191"/>
      <c r="FM4" s="191"/>
      <c r="FN4" s="191"/>
      <c r="FO4" s="191"/>
      <c r="FP4" s="191"/>
      <c r="FQ4" s="191"/>
      <c r="FR4" s="191"/>
      <c r="FS4" s="191"/>
      <c r="FT4" s="191"/>
      <c r="FU4" s="191"/>
      <c r="FV4" s="191"/>
      <c r="FW4" s="191"/>
      <c r="FX4" s="191"/>
      <c r="FY4" s="191"/>
      <c r="FZ4" s="191"/>
      <c r="GA4" s="191"/>
      <c r="GB4" s="191"/>
      <c r="GC4" s="191"/>
      <c r="GD4" s="191"/>
      <c r="GE4" s="191"/>
      <c r="GF4" s="191"/>
      <c r="GG4" s="191"/>
      <c r="GH4" s="191"/>
      <c r="GI4" s="191"/>
      <c r="GJ4" s="191"/>
      <c r="GK4" s="191"/>
      <c r="GL4" s="191"/>
      <c r="GM4" s="191"/>
      <c r="GN4" s="191"/>
      <c r="GO4" s="191"/>
      <c r="GP4" s="191"/>
      <c r="GQ4" s="191"/>
      <c r="GR4" s="191"/>
      <c r="GS4" s="191"/>
      <c r="GT4" s="191"/>
      <c r="GU4" s="191"/>
      <c r="GV4" s="191"/>
      <c r="GW4" s="191"/>
      <c r="GX4" s="191"/>
      <c r="GY4" s="191"/>
      <c r="GZ4" s="191"/>
      <c r="HA4" s="191"/>
      <c r="HB4" s="191"/>
      <c r="HC4" s="191"/>
      <c r="HD4" s="191"/>
      <c r="HE4" s="191"/>
      <c r="HF4" s="191"/>
      <c r="HG4" s="191"/>
      <c r="HH4" s="191"/>
      <c r="HI4" s="191"/>
      <c r="HJ4" s="191"/>
      <c r="HK4" s="191"/>
      <c r="HL4" s="191"/>
      <c r="HM4" s="191"/>
      <c r="HN4" s="191"/>
      <c r="HO4" s="191"/>
      <c r="HP4" s="191"/>
      <c r="HQ4" s="191"/>
      <c r="HR4" s="191"/>
      <c r="HS4" s="191"/>
      <c r="HT4" s="191"/>
      <c r="HU4" s="191"/>
      <c r="HV4" s="191"/>
      <c r="HW4" s="191"/>
      <c r="HX4" s="191"/>
      <c r="HY4" s="191"/>
      <c r="HZ4" s="191"/>
      <c r="IA4" s="191"/>
      <c r="IB4" s="191"/>
      <c r="IC4" s="191"/>
      <c r="ID4" s="191"/>
      <c r="IE4" s="191"/>
      <c r="IF4" s="191"/>
      <c r="IG4" s="191"/>
      <c r="IH4" s="191"/>
      <c r="II4" s="191"/>
      <c r="IJ4" s="191"/>
      <c r="IK4" s="191"/>
      <c r="IL4" s="191"/>
      <c r="IM4" s="191"/>
      <c r="IN4" s="191"/>
      <c r="IO4" s="191"/>
      <c r="IP4" s="191"/>
      <c r="IQ4" s="191"/>
      <c r="IR4" s="191"/>
      <c r="IS4" s="191"/>
      <c r="IT4" s="191"/>
      <c r="IU4" s="191"/>
      <c r="IV4" s="191"/>
      <c r="IW4" s="191"/>
      <c r="IX4" s="191"/>
      <c r="IY4" s="191"/>
      <c r="IZ4" s="191"/>
      <c r="JA4" s="191"/>
      <c r="JB4" s="191"/>
      <c r="JC4" s="191"/>
      <c r="JD4" s="191"/>
      <c r="JE4" s="191"/>
      <c r="JF4" s="191"/>
      <c r="JG4" s="191"/>
      <c r="JH4" s="191"/>
      <c r="JI4" s="191"/>
      <c r="JJ4" s="191"/>
      <c r="JK4" s="191"/>
      <c r="JL4" s="191"/>
      <c r="JM4" s="191"/>
      <c r="JN4" s="191"/>
      <c r="JO4" s="191"/>
      <c r="JP4" s="191"/>
      <c r="JQ4" s="191"/>
      <c r="JR4" s="191"/>
      <c r="JS4" s="191"/>
      <c r="JT4" s="191"/>
      <c r="JU4" s="191"/>
      <c r="JV4" s="191"/>
      <c r="JW4" s="191"/>
      <c r="JX4" s="191"/>
      <c r="JY4" s="191"/>
      <c r="JZ4" s="191"/>
      <c r="KA4" s="191"/>
      <c r="KB4" s="191"/>
      <c r="KC4" s="191"/>
      <c r="KD4" s="191"/>
      <c r="KE4" s="191"/>
      <c r="KF4" s="191"/>
      <c r="KG4" s="191"/>
      <c r="KH4" s="191"/>
      <c r="KI4" s="191"/>
      <c r="KJ4" s="191"/>
      <c r="KK4" s="191"/>
      <c r="KL4" s="191"/>
      <c r="KM4" s="191"/>
      <c r="KN4" s="191"/>
      <c r="KO4" s="191"/>
      <c r="KP4" s="191"/>
      <c r="KQ4" s="191"/>
      <c r="KR4" s="191"/>
      <c r="KS4" s="191"/>
      <c r="KT4" s="191"/>
      <c r="KU4" s="191"/>
      <c r="KV4" s="191"/>
      <c r="KW4" s="191"/>
      <c r="KX4" s="191"/>
      <c r="KY4" s="191"/>
      <c r="KZ4" s="191"/>
      <c r="LA4" s="191"/>
      <c r="LB4" s="191"/>
      <c r="LC4" s="191"/>
      <c r="LD4" s="191"/>
      <c r="LE4" s="191"/>
      <c r="LF4" s="191"/>
      <c r="LG4" s="191"/>
      <c r="LH4" s="191"/>
      <c r="LI4" s="191"/>
      <c r="LJ4" s="191"/>
      <c r="LK4" s="191"/>
      <c r="LL4" s="191"/>
      <c r="LM4" s="191"/>
      <c r="LN4" s="191"/>
      <c r="LO4" s="191"/>
      <c r="LP4" s="191"/>
      <c r="LQ4" s="191"/>
      <c r="LR4" s="191"/>
      <c r="LS4" s="191"/>
      <c r="LT4" s="191"/>
      <c r="LU4" s="191"/>
      <c r="LV4" s="191"/>
      <c r="LW4" s="191"/>
      <c r="LX4" s="191"/>
      <c r="LY4" s="191"/>
      <c r="LZ4" s="191"/>
      <c r="MA4" s="191"/>
      <c r="MB4" s="191"/>
      <c r="MC4" s="191"/>
      <c r="MD4" s="191"/>
      <c r="ME4" s="191"/>
      <c r="MF4" s="191"/>
      <c r="MG4" s="191"/>
      <c r="MH4" s="191"/>
      <c r="MI4" s="191"/>
      <c r="MJ4" s="191"/>
      <c r="MK4" s="191"/>
      <c r="ML4" s="191"/>
      <c r="MM4" s="191"/>
      <c r="MN4" s="191"/>
      <c r="MO4" s="191"/>
      <c r="MP4" s="191"/>
      <c r="MQ4" s="191"/>
      <c r="MR4" s="191"/>
      <c r="MS4" s="191"/>
      <c r="MT4" s="191"/>
      <c r="MU4" s="191"/>
      <c r="MV4" s="191"/>
      <c r="MW4" s="191"/>
      <c r="MX4" s="191"/>
      <c r="MY4" s="191"/>
      <c r="MZ4" s="191"/>
      <c r="NA4" s="191"/>
      <c r="NB4" s="191"/>
      <c r="NC4" s="191"/>
      <c r="ND4" s="191"/>
      <c r="NE4" s="191"/>
      <c r="NF4" s="191"/>
      <c r="NG4" s="191"/>
      <c r="NH4" s="191"/>
      <c r="NI4" s="191"/>
      <c r="NJ4" s="191"/>
      <c r="NK4" s="191"/>
      <c r="NL4" s="191"/>
      <c r="NM4" s="191"/>
      <c r="NN4" s="191"/>
      <c r="NO4" s="191"/>
      <c r="NP4" s="191"/>
      <c r="NQ4" s="191"/>
      <c r="NR4" s="191"/>
      <c r="NS4" s="191"/>
      <c r="NT4" s="191"/>
      <c r="NU4" s="191"/>
      <c r="NV4" s="191"/>
      <c r="NW4" s="191"/>
      <c r="NX4" s="191"/>
      <c r="NY4" s="191"/>
      <c r="NZ4" s="191"/>
      <c r="OA4" s="191"/>
      <c r="OB4" s="191"/>
      <c r="OC4" s="191"/>
      <c r="OD4" s="191"/>
      <c r="OE4" s="191"/>
      <c r="OF4" s="191"/>
      <c r="OG4" s="191"/>
      <c r="OH4" s="191"/>
      <c r="OI4" s="191"/>
      <c r="OJ4" s="191"/>
      <c r="OK4" s="191"/>
      <c r="OL4" s="191"/>
    </row>
    <row r="5" spans="1:402" ht="12" customHeight="1">
      <c r="A5" s="101"/>
      <c r="B5" s="101" t="s">
        <v>36</v>
      </c>
      <c r="C5" s="101">
        <v>1</v>
      </c>
      <c r="D5" s="116" t="s">
        <v>37</v>
      </c>
      <c r="E5" s="102" t="s">
        <v>38</v>
      </c>
      <c r="F5" s="102"/>
      <c r="G5" s="102"/>
      <c r="H5" s="102"/>
      <c r="I5" s="102"/>
      <c r="J5" s="102"/>
      <c r="K5" s="102"/>
      <c r="L5" s="102"/>
      <c r="M5" s="102"/>
      <c r="N5" s="102"/>
      <c r="O5" s="214"/>
      <c r="P5" s="103">
        <v>46196</v>
      </c>
      <c r="Q5" s="103">
        <v>46560</v>
      </c>
      <c r="R5" s="102"/>
      <c r="S5" s="104">
        <v>29</v>
      </c>
      <c r="T5" s="104">
        <v>9</v>
      </c>
      <c r="U5" s="104">
        <v>248</v>
      </c>
      <c r="V5" s="104">
        <v>50</v>
      </c>
      <c r="W5" s="103"/>
      <c r="X5" s="103"/>
      <c r="Y5" s="105">
        <v>0</v>
      </c>
      <c r="Z5" s="106">
        <v>0</v>
      </c>
      <c r="AA5" s="104"/>
      <c r="AB5" s="102"/>
      <c r="AC5" s="102"/>
      <c r="AD5" s="281">
        <v>0.31034482758620691</v>
      </c>
      <c r="AE5" s="286">
        <v>0.27586206896551724</v>
      </c>
      <c r="AF5" s="118"/>
      <c r="AG5" s="119"/>
      <c r="AH5" s="119"/>
      <c r="AI5" s="119"/>
      <c r="AJ5" s="119"/>
      <c r="AK5" s="119"/>
      <c r="AL5" s="119"/>
      <c r="AM5" s="119"/>
      <c r="AN5" s="119"/>
      <c r="AO5" s="119"/>
      <c r="AP5" s="119"/>
      <c r="AQ5" s="119"/>
      <c r="AR5" s="119"/>
      <c r="AS5" s="119"/>
      <c r="AT5" s="119" t="str">
        <f>"     " &amp; TEXT(AE5,"#0.00%") &amp; " "</f>
        <v xml:space="preserve">     27.59% </v>
      </c>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t="str">
        <f>"   " &amp; "프로젝트 관리" &amp; " " &amp; IF(P5="","",TEXT(P5,"M/D-")) &amp; IF(Q5="","",TEXT(Q5,"M/D")) &amp; " "</f>
        <v xml:space="preserve">   프로젝트 관리 6/23-6/22 </v>
      </c>
      <c r="CG5" s="119"/>
      <c r="CH5" s="117"/>
      <c r="CI5" s="117"/>
    </row>
    <row r="6" spans="1:402" ht="12" customHeight="1" outlineLevel="1">
      <c r="A6" s="101"/>
      <c r="B6" s="101" t="s">
        <v>36</v>
      </c>
      <c r="C6" s="101">
        <v>2</v>
      </c>
      <c r="D6" s="116" t="s">
        <v>39</v>
      </c>
      <c r="E6" s="102"/>
      <c r="F6" s="102" t="s">
        <v>40</v>
      </c>
      <c r="G6" s="102"/>
      <c r="H6" s="102"/>
      <c r="I6" s="102"/>
      <c r="J6" s="102"/>
      <c r="K6" s="102"/>
      <c r="L6" s="102"/>
      <c r="M6" s="102"/>
      <c r="N6" s="102"/>
      <c r="O6" s="214"/>
      <c r="P6" s="103">
        <v>46196</v>
      </c>
      <c r="Q6" s="103">
        <v>46203</v>
      </c>
      <c r="R6" s="102"/>
      <c r="S6" s="104">
        <v>8</v>
      </c>
      <c r="T6" s="104">
        <v>8</v>
      </c>
      <c r="U6" s="104">
        <v>6</v>
      </c>
      <c r="V6" s="104">
        <v>6</v>
      </c>
      <c r="W6" s="103"/>
      <c r="X6" s="103"/>
      <c r="Y6" s="105">
        <v>0</v>
      </c>
      <c r="Z6" s="106">
        <v>0</v>
      </c>
      <c r="AA6" s="104"/>
      <c r="AB6" s="102"/>
      <c r="AC6" s="102"/>
      <c r="AD6" s="281">
        <v>1</v>
      </c>
      <c r="AE6" s="283">
        <v>1</v>
      </c>
      <c r="AF6" s="118"/>
      <c r="AG6" s="119" t="str">
        <f>"   " &amp; TEXT(AE6,"#0.00%") &amp; " " &amp; "프로젝트 착수 및 계획수립" &amp; " " &amp; IF(P6="","",TEXT(P6,"M/D-")) &amp; IF(Q6="","",TEXT(Q6,"M/D")) &amp; " "</f>
        <v xml:space="preserve">   100.00% 프로젝트 착수 및 계획수립 6/23-6/30 </v>
      </c>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row>
    <row r="7" spans="1:402" ht="12" customHeight="1" outlineLevel="2">
      <c r="A7" s="101"/>
      <c r="B7" s="101"/>
      <c r="C7" s="101">
        <v>3</v>
      </c>
      <c r="D7" s="116" t="s">
        <v>41</v>
      </c>
      <c r="E7" s="102"/>
      <c r="F7" s="102"/>
      <c r="G7" s="102" t="s">
        <v>42</v>
      </c>
      <c r="H7" s="194"/>
      <c r="I7" s="102"/>
      <c r="J7" s="102"/>
      <c r="K7" s="102"/>
      <c r="L7" s="102"/>
      <c r="M7" s="102"/>
      <c r="N7" s="102"/>
      <c r="O7" s="214"/>
      <c r="P7" s="103">
        <v>46196</v>
      </c>
      <c r="Q7" s="103">
        <v>46200</v>
      </c>
      <c r="R7" s="102"/>
      <c r="S7" s="104">
        <v>4</v>
      </c>
      <c r="T7" s="104">
        <v>4</v>
      </c>
      <c r="U7" s="104">
        <v>4</v>
      </c>
      <c r="V7" s="104">
        <v>4</v>
      </c>
      <c r="W7" s="103">
        <v>46086</v>
      </c>
      <c r="X7" s="103">
        <v>46086</v>
      </c>
      <c r="Y7" s="105">
        <v>1</v>
      </c>
      <c r="Z7" s="106">
        <v>1</v>
      </c>
      <c r="AA7" s="104">
        <v>2</v>
      </c>
      <c r="AB7" s="102"/>
      <c r="AC7" s="102"/>
      <c r="AD7" s="281">
        <v>1</v>
      </c>
      <c r="AE7" s="282">
        <v>1</v>
      </c>
      <c r="AF7" s="118"/>
      <c r="AG7" s="119" t="str">
        <f>"" &amp; TEXT(AE7,"#0.00%") &amp; " " &amp; "프로젝트,착수" &amp; " " &amp; IF(P7="","",TEXT(P7,"M/D-")) &amp; IF(Q7="","",TEXT(Q7,"M/D")) &amp; " "</f>
        <v xml:space="preserve">100.00% 프로젝트,착수 6/23-6/27 </v>
      </c>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c r="BK7" s="119"/>
      <c r="BL7" s="119"/>
      <c r="BM7" s="119"/>
      <c r="BN7" s="119"/>
      <c r="BO7" s="119"/>
      <c r="BP7" s="119"/>
      <c r="BQ7" s="119"/>
      <c r="BR7" s="119"/>
      <c r="BS7" s="119"/>
      <c r="BT7" s="119"/>
      <c r="BU7" s="119"/>
      <c r="BV7" s="119"/>
      <c r="BW7" s="119"/>
      <c r="BX7" s="119"/>
      <c r="BY7" s="119"/>
      <c r="BZ7" s="119"/>
      <c r="CA7" s="119"/>
      <c r="CB7" s="119"/>
      <c r="CC7" s="119"/>
      <c r="CD7" s="119"/>
      <c r="CE7" s="119"/>
      <c r="CF7" s="119"/>
      <c r="CG7" s="119"/>
    </row>
    <row r="8" spans="1:402" ht="12" customHeight="1" outlineLevel="2">
      <c r="A8" s="101"/>
      <c r="B8" s="101" t="s">
        <v>36</v>
      </c>
      <c r="C8" s="101">
        <v>3</v>
      </c>
      <c r="D8" s="116" t="s">
        <v>43</v>
      </c>
      <c r="E8" s="102"/>
      <c r="F8" s="102"/>
      <c r="G8" s="102" t="s">
        <v>44</v>
      </c>
      <c r="H8" s="102"/>
      <c r="I8" s="102"/>
      <c r="J8" s="102"/>
      <c r="K8" s="102"/>
      <c r="L8" s="102"/>
      <c r="M8" s="102"/>
      <c r="N8" s="102"/>
      <c r="O8" s="214"/>
      <c r="P8" s="103">
        <v>46196</v>
      </c>
      <c r="Q8" s="103">
        <v>46203</v>
      </c>
      <c r="R8" s="102"/>
      <c r="S8" s="104">
        <v>4</v>
      </c>
      <c r="T8" s="104">
        <v>4</v>
      </c>
      <c r="U8" s="104">
        <v>6</v>
      </c>
      <c r="V8" s="104">
        <v>6</v>
      </c>
      <c r="W8" s="103"/>
      <c r="X8" s="103"/>
      <c r="Y8" s="105">
        <v>0</v>
      </c>
      <c r="Z8" s="106">
        <v>0</v>
      </c>
      <c r="AA8" s="104"/>
      <c r="AB8" s="102"/>
      <c r="AC8" s="102"/>
      <c r="AD8" s="281">
        <v>1</v>
      </c>
      <c r="AE8" s="283">
        <v>1</v>
      </c>
      <c r="AF8" s="118"/>
      <c r="AG8" s="119" t="str">
        <f>"   " &amp; TEXT(AE8,"#0.00%") &amp; " " &amp; "프로젝트 범위정의" &amp; " " &amp; IF(P8="","",TEXT(P8,"M/D-")) &amp; IF(Q8="","",TEXT(Q8,"M/D")) &amp; " "</f>
        <v xml:space="preserve">   100.00% 프로젝트 범위정의 6/23-6/30 </v>
      </c>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c r="BK8" s="119"/>
      <c r="BL8" s="119"/>
      <c r="BM8" s="119"/>
      <c r="BN8" s="119"/>
      <c r="BO8" s="119"/>
      <c r="BP8" s="119"/>
      <c r="BQ8" s="119"/>
      <c r="BR8" s="119"/>
      <c r="BS8" s="119"/>
      <c r="BT8" s="119"/>
      <c r="BU8" s="119"/>
      <c r="BV8" s="119"/>
      <c r="BW8" s="119"/>
      <c r="BX8" s="119"/>
      <c r="BY8" s="119"/>
      <c r="BZ8" s="119"/>
      <c r="CA8" s="119"/>
      <c r="CB8" s="119"/>
      <c r="CC8" s="119"/>
      <c r="CD8" s="119"/>
      <c r="CE8" s="119"/>
      <c r="CF8" s="119"/>
      <c r="CG8" s="119"/>
    </row>
    <row r="9" spans="1:402" ht="12" customHeight="1" outlineLevel="3">
      <c r="A9" s="101"/>
      <c r="B9" s="101"/>
      <c r="C9" s="101">
        <v>4</v>
      </c>
      <c r="D9" s="116" t="s">
        <v>45</v>
      </c>
      <c r="E9" s="102"/>
      <c r="F9" s="102"/>
      <c r="G9" s="102"/>
      <c r="H9" s="102" t="s">
        <v>46</v>
      </c>
      <c r="I9" s="102"/>
      <c r="J9" s="102"/>
      <c r="K9" s="102"/>
      <c r="L9" s="102"/>
      <c r="M9" s="102"/>
      <c r="N9" s="102"/>
      <c r="O9" s="214"/>
      <c r="P9" s="103">
        <v>46196</v>
      </c>
      <c r="Q9" s="103">
        <v>46200</v>
      </c>
      <c r="R9" s="102"/>
      <c r="S9" s="104">
        <v>4</v>
      </c>
      <c r="T9" s="104">
        <v>4</v>
      </c>
      <c r="U9" s="104">
        <v>4</v>
      </c>
      <c r="V9" s="104">
        <v>4</v>
      </c>
      <c r="W9" s="103">
        <v>46086</v>
      </c>
      <c r="X9" s="103">
        <v>46097</v>
      </c>
      <c r="Y9" s="105">
        <v>8</v>
      </c>
      <c r="Z9" s="106">
        <v>8</v>
      </c>
      <c r="AA9" s="104">
        <v>1</v>
      </c>
      <c r="AB9" s="102"/>
      <c r="AC9" s="102"/>
      <c r="AD9" s="281">
        <v>1</v>
      </c>
      <c r="AE9" s="282">
        <v>1</v>
      </c>
      <c r="AF9" s="118"/>
      <c r="AG9" s="119" t="str">
        <f>"" &amp; TEXT(AE9,"#0.00%") &amp; " " &amp; "프로젝트 계획 수립" &amp; " " &amp; IF(P9="","",TEXT(P9,"M/D-")) &amp; IF(Q9="","",TEXT(Q9,"M/D")) &amp; " "</f>
        <v xml:space="preserve">100.00% 프로젝트 계획 수립 6/23-6/27 </v>
      </c>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c r="CA9" s="119"/>
      <c r="CB9" s="119"/>
      <c r="CC9" s="119"/>
      <c r="CD9" s="119"/>
      <c r="CE9" s="119"/>
      <c r="CF9" s="119"/>
      <c r="CG9" s="119"/>
    </row>
    <row r="10" spans="1:402" ht="12" customHeight="1" outlineLevel="3">
      <c r="A10" s="101" t="s">
        <v>47</v>
      </c>
      <c r="B10" s="101"/>
      <c r="C10" s="101">
        <v>4</v>
      </c>
      <c r="D10" s="116" t="s">
        <v>48</v>
      </c>
      <c r="E10" s="102"/>
      <c r="F10" s="102"/>
      <c r="G10" s="102"/>
      <c r="H10" s="102" t="s">
        <v>49</v>
      </c>
      <c r="I10" s="102"/>
      <c r="J10" s="102"/>
      <c r="K10" s="102"/>
      <c r="L10" s="102"/>
      <c r="M10" s="102"/>
      <c r="N10" s="102"/>
      <c r="O10" s="214"/>
      <c r="P10" s="103">
        <v>46203</v>
      </c>
      <c r="Q10" s="103">
        <v>46203</v>
      </c>
      <c r="R10" s="102"/>
      <c r="S10" s="104">
        <v>0</v>
      </c>
      <c r="T10" s="104">
        <v>0</v>
      </c>
      <c r="U10" s="104">
        <v>1</v>
      </c>
      <c r="V10" s="104">
        <v>1</v>
      </c>
      <c r="W10" s="103">
        <v>46100</v>
      </c>
      <c r="X10" s="103">
        <v>46100</v>
      </c>
      <c r="Y10" s="105">
        <v>1</v>
      </c>
      <c r="Z10" s="106">
        <v>1</v>
      </c>
      <c r="AA10" s="104">
        <v>1</v>
      </c>
      <c r="AB10" s="102"/>
      <c r="AC10" s="102"/>
      <c r="AD10" s="281">
        <v>1</v>
      </c>
      <c r="AE10" s="282">
        <v>1</v>
      </c>
      <c r="AF10" s="118"/>
      <c r="AG10" s="119" t="str">
        <f>"      " &amp; TEXT(AE10,"#0.00%") &amp; " " &amp; "착수보고(Kick off)" &amp; " " &amp; IF(P10="","",TEXT(P10,"M/D-")) &amp; IF(Q10="","",TEXT(Q10,"M/D")) &amp; " "</f>
        <v xml:space="preserve">      100.00% 착수보고(Kick off) 6/30-6/30 </v>
      </c>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c r="BU10" s="119"/>
      <c r="BV10" s="119"/>
      <c r="BW10" s="119"/>
      <c r="BX10" s="119"/>
      <c r="BY10" s="119"/>
      <c r="BZ10" s="119"/>
      <c r="CA10" s="119"/>
      <c r="CB10" s="119"/>
      <c r="CC10" s="119"/>
      <c r="CD10" s="119"/>
      <c r="CE10" s="119"/>
      <c r="CF10" s="119"/>
      <c r="CG10" s="119"/>
    </row>
    <row r="11" spans="1:402" ht="12" customHeight="1" outlineLevel="1">
      <c r="A11" s="101"/>
      <c r="B11" s="101" t="s">
        <v>36</v>
      </c>
      <c r="C11" s="101">
        <v>2</v>
      </c>
      <c r="D11" s="116" t="s">
        <v>50</v>
      </c>
      <c r="E11" s="102"/>
      <c r="F11" s="102" t="s">
        <v>51</v>
      </c>
      <c r="G11" s="102"/>
      <c r="H11" s="102"/>
      <c r="I11" s="102"/>
      <c r="J11" s="102"/>
      <c r="K11" s="102"/>
      <c r="L11" s="102"/>
      <c r="M11" s="102"/>
      <c r="N11" s="102"/>
      <c r="O11" s="214"/>
      <c r="P11" s="103">
        <v>46267</v>
      </c>
      <c r="Q11" s="103">
        <v>46555</v>
      </c>
      <c r="R11" s="102"/>
      <c r="S11" s="104">
        <v>11</v>
      </c>
      <c r="T11" s="104">
        <v>1</v>
      </c>
      <c r="U11" s="104">
        <v>196</v>
      </c>
      <c r="V11" s="104">
        <v>1</v>
      </c>
      <c r="W11" s="103"/>
      <c r="X11" s="103"/>
      <c r="Y11" s="105">
        <v>0</v>
      </c>
      <c r="Z11" s="106">
        <v>0</v>
      </c>
      <c r="AA11" s="104"/>
      <c r="AB11" s="102"/>
      <c r="AC11" s="102"/>
      <c r="AD11" s="281">
        <v>9.0909090909090912E-2</v>
      </c>
      <c r="AE11" s="286">
        <v>0</v>
      </c>
      <c r="AF11" s="118"/>
      <c r="AG11" s="119"/>
      <c r="AH11" s="119"/>
      <c r="AI11" s="119"/>
      <c r="AJ11" s="119"/>
      <c r="AK11" s="119"/>
      <c r="AL11" s="119"/>
      <c r="AM11" s="119"/>
      <c r="AN11" s="119"/>
      <c r="AO11" s="119"/>
      <c r="AP11" s="119" t="str">
        <f>"   " &amp; TEXT(AE11,"#0.00%") &amp; " "</f>
        <v xml:space="preserve">   0.00% </v>
      </c>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t="str">
        <f>"     " &amp; "프로젝트 수행 및 통제" &amp; " " &amp; IF(P11="","",TEXT(P11,"M/D-")) &amp; IF(Q11="","",TEXT(Q11,"M/D")) &amp; " "</f>
        <v xml:space="preserve">     프로젝트 수행 및 통제 9/2-6/17 </v>
      </c>
      <c r="CF11" s="119"/>
      <c r="CG11" s="119"/>
    </row>
    <row r="12" spans="1:402" ht="12" customHeight="1" outlineLevel="2">
      <c r="A12" s="101"/>
      <c r="B12" s="101"/>
      <c r="C12" s="101">
        <v>3</v>
      </c>
      <c r="D12" s="116" t="s">
        <v>52</v>
      </c>
      <c r="E12" s="102"/>
      <c r="F12" s="102"/>
      <c r="G12" s="102" t="s">
        <v>53</v>
      </c>
      <c r="H12" s="102"/>
      <c r="I12" s="102"/>
      <c r="J12" s="102"/>
      <c r="K12" s="102"/>
      <c r="L12" s="102"/>
      <c r="M12" s="102"/>
      <c r="N12" s="102"/>
      <c r="O12" s="214"/>
      <c r="P12" s="103">
        <v>46267</v>
      </c>
      <c r="Q12" s="103">
        <v>46267</v>
      </c>
      <c r="R12" s="102"/>
      <c r="S12" s="104">
        <v>1</v>
      </c>
      <c r="T12" s="104">
        <v>1</v>
      </c>
      <c r="U12" s="104">
        <v>1</v>
      </c>
      <c r="V12" s="104">
        <v>1</v>
      </c>
      <c r="W12" s="103"/>
      <c r="X12" s="103"/>
      <c r="Y12" s="105"/>
      <c r="Z12" s="106">
        <v>0</v>
      </c>
      <c r="AA12" s="104">
        <v>1</v>
      </c>
      <c r="AB12" s="102" t="s">
        <v>54</v>
      </c>
      <c r="AC12" s="102"/>
      <c r="AD12" s="281">
        <v>1</v>
      </c>
      <c r="AE12" s="284">
        <v>0</v>
      </c>
      <c r="AF12" s="118"/>
      <c r="AG12" s="119"/>
      <c r="AH12" s="119"/>
      <c r="AI12" s="119"/>
      <c r="AJ12" s="119"/>
      <c r="AK12" s="119"/>
      <c r="AL12" s="119"/>
      <c r="AM12" s="119"/>
      <c r="AN12" s="119"/>
      <c r="AO12" s="119"/>
      <c r="AP12" s="119" t="str">
        <f>"   " &amp; TEXT(AE12,"#0.00%") &amp; " " &amp; "월간보고(2026.08)" &amp; "(공통)" &amp; " " &amp; IF(P12="","",TEXT(P12,"M/D-")) &amp; IF(Q12="","",TEXT(Q12,"M/D")) &amp; " "</f>
        <v xml:space="preserve">   0.00% 월간보고(2026.08)(공통) 9/2-9/2 </v>
      </c>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row>
    <row r="13" spans="1:402" ht="12" customHeight="1" outlineLevel="2">
      <c r="A13" s="101"/>
      <c r="B13" s="101"/>
      <c r="C13" s="101">
        <v>3</v>
      </c>
      <c r="D13" s="116" t="s">
        <v>55</v>
      </c>
      <c r="E13" s="102"/>
      <c r="F13" s="102"/>
      <c r="G13" s="102" t="s">
        <v>56</v>
      </c>
      <c r="H13" s="102"/>
      <c r="I13" s="102"/>
      <c r="J13" s="102"/>
      <c r="K13" s="102"/>
      <c r="L13" s="102"/>
      <c r="M13" s="102"/>
      <c r="N13" s="102"/>
      <c r="O13" s="214"/>
      <c r="P13" s="103">
        <v>46295</v>
      </c>
      <c r="Q13" s="103">
        <v>46295</v>
      </c>
      <c r="R13" s="102"/>
      <c r="S13" s="104">
        <v>1</v>
      </c>
      <c r="T13" s="104">
        <v>0</v>
      </c>
      <c r="U13" s="104">
        <v>1</v>
      </c>
      <c r="V13" s="104">
        <v>0</v>
      </c>
      <c r="W13" s="103"/>
      <c r="X13" s="103"/>
      <c r="Y13" s="105"/>
      <c r="Z13" s="106">
        <v>0</v>
      </c>
      <c r="AA13" s="104">
        <v>1</v>
      </c>
      <c r="AB13" s="102" t="s">
        <v>54</v>
      </c>
      <c r="AC13" s="102"/>
      <c r="AD13" s="281">
        <v>0</v>
      </c>
      <c r="AE13" s="282">
        <v>0</v>
      </c>
      <c r="AF13" s="118"/>
      <c r="AG13" s="119"/>
      <c r="AH13" s="119"/>
      <c r="AI13" s="119"/>
      <c r="AJ13" s="119"/>
      <c r="AK13" s="119"/>
      <c r="AL13" s="119"/>
      <c r="AM13" s="119"/>
      <c r="AN13" s="119"/>
      <c r="AO13" s="119"/>
      <c r="AP13" s="119"/>
      <c r="AQ13" s="119"/>
      <c r="AR13" s="119"/>
      <c r="AS13" s="119"/>
      <c r="AT13" s="119" t="str">
        <f>"   " &amp; TEXT(AE13,"#0.00%") &amp; " " &amp; "월간보고(2026.09)" &amp; "(공통)" &amp; " " &amp; IF(P13="","",TEXT(P13,"M/D-")) &amp; IF(Q13="","",TEXT(Q13,"M/D")) &amp; " "</f>
        <v xml:space="preserve">   0.00% 월간보고(2026.09)(공통) 9/30-9/30 </v>
      </c>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row>
    <row r="14" spans="1:402" ht="12" customHeight="1" outlineLevel="2">
      <c r="A14" s="101"/>
      <c r="B14" s="101"/>
      <c r="C14" s="101">
        <v>3</v>
      </c>
      <c r="D14" s="116" t="s">
        <v>57</v>
      </c>
      <c r="E14" s="102"/>
      <c r="F14" s="102"/>
      <c r="G14" s="102" t="s">
        <v>58</v>
      </c>
      <c r="H14" s="102"/>
      <c r="I14" s="102"/>
      <c r="J14" s="102"/>
      <c r="K14" s="102"/>
      <c r="L14" s="102"/>
      <c r="M14" s="102"/>
      <c r="N14" s="102"/>
      <c r="O14" s="214"/>
      <c r="P14" s="103">
        <v>46330</v>
      </c>
      <c r="Q14" s="103">
        <v>46330</v>
      </c>
      <c r="R14" s="102"/>
      <c r="S14" s="104">
        <v>1</v>
      </c>
      <c r="T14" s="104">
        <v>0</v>
      </c>
      <c r="U14" s="104">
        <v>1</v>
      </c>
      <c r="V14" s="104">
        <v>0</v>
      </c>
      <c r="W14" s="103"/>
      <c r="X14" s="103"/>
      <c r="Y14" s="105"/>
      <c r="Z14" s="106">
        <v>0</v>
      </c>
      <c r="AA14" s="104">
        <v>1</v>
      </c>
      <c r="AB14" s="102" t="s">
        <v>54</v>
      </c>
      <c r="AC14" s="102"/>
      <c r="AD14" s="281">
        <v>0</v>
      </c>
      <c r="AE14" s="282">
        <v>0</v>
      </c>
      <c r="AF14" s="118"/>
      <c r="AG14" s="119"/>
      <c r="AH14" s="119"/>
      <c r="AI14" s="119"/>
      <c r="AJ14" s="119"/>
      <c r="AK14" s="119"/>
      <c r="AL14" s="119"/>
      <c r="AM14" s="119"/>
      <c r="AN14" s="119"/>
      <c r="AO14" s="119"/>
      <c r="AP14" s="119"/>
      <c r="AQ14" s="119"/>
      <c r="AR14" s="119"/>
      <c r="AS14" s="119"/>
      <c r="AT14" s="119"/>
      <c r="AU14" s="119"/>
      <c r="AV14" s="119"/>
      <c r="AW14" s="119"/>
      <c r="AX14" s="119"/>
      <c r="AY14" s="119" t="str">
        <f>"   " &amp; TEXT(AE14,"#0.00%") &amp; " " &amp; "월간보고(2026.10)" &amp; "(공통)" &amp; " " &amp; IF(P14="","",TEXT(P14,"M/D-")) &amp; IF(Q14="","",TEXT(Q14,"M/D")) &amp; " "</f>
        <v xml:space="preserve">   0.00% 월간보고(2026.10)(공통) 11/4-11/4 </v>
      </c>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row>
    <row r="15" spans="1:402" ht="12" customHeight="1" outlineLevel="2">
      <c r="A15" s="101"/>
      <c r="B15" s="101"/>
      <c r="C15" s="101">
        <v>3</v>
      </c>
      <c r="D15" s="116" t="s">
        <v>59</v>
      </c>
      <c r="E15" s="102"/>
      <c r="F15" s="102"/>
      <c r="G15" s="102" t="s">
        <v>60</v>
      </c>
      <c r="H15" s="102"/>
      <c r="I15" s="102"/>
      <c r="J15" s="102"/>
      <c r="K15" s="102"/>
      <c r="L15" s="102"/>
      <c r="M15" s="102"/>
      <c r="N15" s="102"/>
      <c r="O15" s="214"/>
      <c r="P15" s="103">
        <v>46370</v>
      </c>
      <c r="Q15" s="103">
        <v>46370</v>
      </c>
      <c r="R15" s="102"/>
      <c r="S15" s="104">
        <v>1</v>
      </c>
      <c r="T15" s="104">
        <v>0</v>
      </c>
      <c r="U15" s="104">
        <v>1</v>
      </c>
      <c r="V15" s="104">
        <v>0</v>
      </c>
      <c r="W15" s="103"/>
      <c r="X15" s="103"/>
      <c r="Y15" s="105"/>
      <c r="Z15" s="106">
        <v>0</v>
      </c>
      <c r="AA15" s="104">
        <v>1</v>
      </c>
      <c r="AB15" s="102" t="s">
        <v>54</v>
      </c>
      <c r="AC15" s="102"/>
      <c r="AD15" s="281">
        <v>0</v>
      </c>
      <c r="AE15" s="282">
        <v>0</v>
      </c>
      <c r="AF15" s="118"/>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t="str">
        <f>" " &amp; TEXT(AE15,"#0.00%") &amp; " " &amp; "중간보고" &amp; "(공통)" &amp; " " &amp; IF(P15="","",TEXT(P15,"M/D-")) &amp; IF(Q15="","",TEXT(Q15,"M/D")) &amp; " "</f>
        <v xml:space="preserve"> 0.00% 중간보고(공통) 12/14-12/14 </v>
      </c>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row>
    <row r="16" spans="1:402" ht="12" customHeight="1" outlineLevel="2">
      <c r="A16" s="101"/>
      <c r="B16" s="101"/>
      <c r="C16" s="101">
        <v>3</v>
      </c>
      <c r="D16" s="116" t="s">
        <v>61</v>
      </c>
      <c r="E16" s="102"/>
      <c r="F16" s="102"/>
      <c r="G16" s="102" t="s">
        <v>62</v>
      </c>
      <c r="H16" s="102"/>
      <c r="I16" s="102"/>
      <c r="J16" s="102"/>
      <c r="K16" s="102"/>
      <c r="L16" s="102"/>
      <c r="M16" s="102"/>
      <c r="N16" s="102"/>
      <c r="O16" s="214"/>
      <c r="P16" s="103">
        <v>46386</v>
      </c>
      <c r="Q16" s="103">
        <v>46386</v>
      </c>
      <c r="R16" s="102"/>
      <c r="S16" s="104">
        <v>1</v>
      </c>
      <c r="T16" s="104">
        <v>0</v>
      </c>
      <c r="U16" s="104">
        <v>1</v>
      </c>
      <c r="V16" s="104">
        <v>0</v>
      </c>
      <c r="W16" s="103"/>
      <c r="X16" s="103"/>
      <c r="Y16" s="105"/>
      <c r="Z16" s="106">
        <v>0</v>
      </c>
      <c r="AA16" s="104"/>
      <c r="AB16" s="102" t="s">
        <v>54</v>
      </c>
      <c r="AC16" s="102"/>
      <c r="AD16" s="281">
        <v>0</v>
      </c>
      <c r="AE16" s="282">
        <v>0</v>
      </c>
      <c r="AF16" s="118"/>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t="str">
        <f>"   " &amp; TEXT(AE16,"#0.00%") &amp; " " &amp; "월간보고(2026.12)" &amp; "(공통)" &amp; " " &amp; IF(P16="","",TEXT(P16,"M/D-")) &amp; IF(Q16="","",TEXT(Q16,"M/D")) &amp; " "</f>
        <v xml:space="preserve">   0.00% 월간보고(2026.12)(공통) 12/30-12/30 </v>
      </c>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row>
    <row r="17" spans="1:85" ht="12" customHeight="1" outlineLevel="2">
      <c r="A17" s="101"/>
      <c r="B17" s="101"/>
      <c r="C17" s="101">
        <v>3</v>
      </c>
      <c r="D17" s="116" t="s">
        <v>63</v>
      </c>
      <c r="E17" s="102"/>
      <c r="F17" s="102"/>
      <c r="G17" s="102" t="s">
        <v>64</v>
      </c>
      <c r="H17" s="102"/>
      <c r="I17" s="102"/>
      <c r="J17" s="102"/>
      <c r="K17" s="102"/>
      <c r="L17" s="102"/>
      <c r="M17" s="102"/>
      <c r="N17" s="102"/>
      <c r="O17" s="214"/>
      <c r="P17" s="103">
        <v>46421</v>
      </c>
      <c r="Q17" s="103">
        <v>46421</v>
      </c>
      <c r="R17" s="102"/>
      <c r="S17" s="104">
        <v>1</v>
      </c>
      <c r="T17" s="104">
        <v>0</v>
      </c>
      <c r="U17" s="104">
        <v>1</v>
      </c>
      <c r="V17" s="104">
        <v>0</v>
      </c>
      <c r="W17" s="103"/>
      <c r="X17" s="103"/>
      <c r="Y17" s="105"/>
      <c r="Z17" s="106">
        <v>0</v>
      </c>
      <c r="AA17" s="104"/>
      <c r="AB17" s="102" t="s">
        <v>54</v>
      </c>
      <c r="AC17" s="102"/>
      <c r="AD17" s="281">
        <v>0</v>
      </c>
      <c r="AE17" s="282">
        <v>0</v>
      </c>
      <c r="AF17" s="118"/>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c r="BK17" s="119"/>
      <c r="BL17" s="119" t="str">
        <f>"   " &amp; TEXT(AE17,"#0.00%") &amp; " " &amp; "월간보고(2027.01)" &amp; "(공통)" &amp; " " &amp; IF(P17="","",TEXT(P17,"M/D-")) &amp; IF(Q17="","",TEXT(Q17,"M/D")) &amp; " "</f>
        <v xml:space="preserve">   0.00% 월간보고(2027.01)(공통) 2/3-2/3 </v>
      </c>
      <c r="BM17" s="119"/>
      <c r="BN17" s="119"/>
      <c r="BO17" s="119"/>
      <c r="BP17" s="119"/>
      <c r="BQ17" s="119"/>
      <c r="BR17" s="119"/>
      <c r="BS17" s="119"/>
      <c r="BT17" s="119"/>
      <c r="BU17" s="119"/>
      <c r="BV17" s="119"/>
      <c r="BW17" s="119"/>
      <c r="BX17" s="119"/>
      <c r="BY17" s="119"/>
      <c r="BZ17" s="119"/>
      <c r="CA17" s="119"/>
      <c r="CB17" s="119"/>
      <c r="CC17" s="119"/>
      <c r="CD17" s="119"/>
      <c r="CE17" s="119"/>
      <c r="CF17" s="119"/>
      <c r="CG17" s="119"/>
    </row>
    <row r="18" spans="1:85" ht="12" customHeight="1" outlineLevel="2">
      <c r="A18" s="101"/>
      <c r="B18" s="101"/>
      <c r="C18" s="101">
        <v>3</v>
      </c>
      <c r="D18" s="116" t="s">
        <v>65</v>
      </c>
      <c r="E18" s="102"/>
      <c r="F18" s="102"/>
      <c r="G18" s="102" t="s">
        <v>66</v>
      </c>
      <c r="H18" s="102"/>
      <c r="I18" s="102"/>
      <c r="J18" s="102"/>
      <c r="K18" s="102"/>
      <c r="L18" s="102"/>
      <c r="M18" s="102"/>
      <c r="N18" s="102"/>
      <c r="O18" s="214"/>
      <c r="P18" s="103">
        <v>46449</v>
      </c>
      <c r="Q18" s="103">
        <v>46449</v>
      </c>
      <c r="R18" s="102"/>
      <c r="S18" s="104">
        <v>1</v>
      </c>
      <c r="T18" s="104">
        <v>0</v>
      </c>
      <c r="U18" s="104">
        <v>1</v>
      </c>
      <c r="V18" s="104">
        <v>0</v>
      </c>
      <c r="W18" s="103"/>
      <c r="X18" s="103"/>
      <c r="Y18" s="105"/>
      <c r="Z18" s="106">
        <v>0</v>
      </c>
      <c r="AA18" s="104"/>
      <c r="AB18" s="102" t="s">
        <v>54</v>
      </c>
      <c r="AC18" s="102"/>
      <c r="AD18" s="281">
        <v>0</v>
      </c>
      <c r="AE18" s="282">
        <v>0</v>
      </c>
      <c r="AF18" s="118"/>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c r="BK18" s="119"/>
      <c r="BL18" s="119"/>
      <c r="BM18" s="119"/>
      <c r="BN18" s="119"/>
      <c r="BO18" s="119"/>
      <c r="BP18" s="119" t="str">
        <f>"   " &amp; TEXT(AE18,"#0.00%") &amp; " " &amp; "월간보고(2027.02)" &amp; "(공통)" &amp; " " &amp; IF(P18="","",TEXT(P18,"M/D-")) &amp; IF(Q18="","",TEXT(Q18,"M/D")) &amp; " "</f>
        <v xml:space="preserve">   0.00% 월간보고(2027.02)(공통) 3/3-3/3 </v>
      </c>
      <c r="BQ18" s="119"/>
      <c r="BR18" s="119"/>
      <c r="BS18" s="119"/>
      <c r="BT18" s="119"/>
      <c r="BU18" s="119"/>
      <c r="BV18" s="119"/>
      <c r="BW18" s="119"/>
      <c r="BX18" s="119"/>
      <c r="BY18" s="119"/>
      <c r="BZ18" s="119"/>
      <c r="CA18" s="119"/>
      <c r="CB18" s="119"/>
      <c r="CC18" s="119"/>
      <c r="CD18" s="119"/>
      <c r="CE18" s="119"/>
      <c r="CF18" s="119"/>
      <c r="CG18" s="119"/>
    </row>
    <row r="19" spans="1:85" ht="12" customHeight="1" outlineLevel="2">
      <c r="A19" s="101"/>
      <c r="B19" s="101"/>
      <c r="C19" s="101">
        <v>3</v>
      </c>
      <c r="D19" s="116" t="s">
        <v>67</v>
      </c>
      <c r="E19" s="102"/>
      <c r="F19" s="102"/>
      <c r="G19" s="102" t="s">
        <v>68</v>
      </c>
      <c r="H19" s="102"/>
      <c r="I19" s="102"/>
      <c r="J19" s="102"/>
      <c r="K19" s="102"/>
      <c r="L19" s="102"/>
      <c r="M19" s="102"/>
      <c r="N19" s="102"/>
      <c r="O19" s="214"/>
      <c r="P19" s="103">
        <v>46507</v>
      </c>
      <c r="Q19" s="103">
        <v>46507</v>
      </c>
      <c r="R19" s="102"/>
      <c r="S19" s="104">
        <v>1</v>
      </c>
      <c r="T19" s="104">
        <v>0</v>
      </c>
      <c r="U19" s="104">
        <v>1</v>
      </c>
      <c r="V19" s="104">
        <v>0</v>
      </c>
      <c r="W19" s="103"/>
      <c r="X19" s="103"/>
      <c r="Y19" s="105"/>
      <c r="Z19" s="106">
        <v>0</v>
      </c>
      <c r="AA19" s="104"/>
      <c r="AB19" s="102" t="s">
        <v>54</v>
      </c>
      <c r="AC19" s="102"/>
      <c r="AD19" s="281">
        <v>0</v>
      </c>
      <c r="AE19" s="282">
        <v>0</v>
      </c>
      <c r="AF19" s="118"/>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t="str">
        <f>"     " &amp; TEXT(AE19,"#0.00%") &amp; " " &amp; "월간보고(2027.03)" &amp; "(공통)" &amp; " " &amp; IF(P19="","",TEXT(P19,"M/D-")) &amp; IF(Q19="","",TEXT(Q19,"M/D")) &amp; " "</f>
        <v xml:space="preserve">     0.00% 월간보고(2027.03)(공통) 4/30-4/30 </v>
      </c>
      <c r="BY19" s="119"/>
      <c r="BZ19" s="119"/>
      <c r="CA19" s="119"/>
      <c r="CB19" s="119"/>
      <c r="CC19" s="119"/>
      <c r="CD19" s="119"/>
      <c r="CE19" s="119"/>
      <c r="CF19" s="119"/>
      <c r="CG19" s="119"/>
    </row>
    <row r="20" spans="1:85" ht="12" customHeight="1" outlineLevel="2">
      <c r="A20" s="101"/>
      <c r="B20" s="101"/>
      <c r="C20" s="101">
        <v>3</v>
      </c>
      <c r="D20" s="116" t="s">
        <v>69</v>
      </c>
      <c r="E20" s="102"/>
      <c r="F20" s="102"/>
      <c r="G20" s="102" t="s">
        <v>70</v>
      </c>
      <c r="H20" s="102"/>
      <c r="I20" s="102"/>
      <c r="J20" s="102"/>
      <c r="K20" s="102"/>
      <c r="L20" s="102"/>
      <c r="M20" s="102"/>
      <c r="N20" s="102"/>
      <c r="O20" s="214"/>
      <c r="P20" s="103">
        <v>46511</v>
      </c>
      <c r="Q20" s="103">
        <v>46511</v>
      </c>
      <c r="R20" s="102"/>
      <c r="S20" s="104">
        <v>1</v>
      </c>
      <c r="T20" s="104">
        <v>0</v>
      </c>
      <c r="U20" s="104">
        <v>1</v>
      </c>
      <c r="V20" s="104">
        <v>0</v>
      </c>
      <c r="W20" s="103"/>
      <c r="X20" s="103"/>
      <c r="Y20" s="105"/>
      <c r="Z20" s="106">
        <v>0</v>
      </c>
      <c r="AA20" s="104"/>
      <c r="AB20" s="102" t="s">
        <v>54</v>
      </c>
      <c r="AC20" s="102"/>
      <c r="AD20" s="281">
        <v>0</v>
      </c>
      <c r="AE20" s="282">
        <v>0</v>
      </c>
      <c r="AF20" s="118"/>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t="str">
        <f>"  " &amp; TEXT(AE20,"#0.00%") &amp; " " &amp; "월간보고(2027.04)" &amp; "(공통)" &amp; " " &amp; IF(P20="","",TEXT(P20,"M/D-")) &amp; IF(Q20="","",TEXT(Q20,"M/D")) &amp; " "</f>
        <v xml:space="preserve">  0.00% 월간보고(2027.04)(공통) 5/4-5/4 </v>
      </c>
      <c r="BZ20" s="119"/>
      <c r="CA20" s="119"/>
      <c r="CB20" s="119"/>
      <c r="CC20" s="119"/>
      <c r="CD20" s="119"/>
      <c r="CE20" s="119"/>
      <c r="CF20" s="119"/>
      <c r="CG20" s="119"/>
    </row>
    <row r="21" spans="1:85" ht="12" customHeight="1" outlineLevel="2">
      <c r="A21" s="101"/>
      <c r="B21" s="101"/>
      <c r="C21" s="101">
        <v>3</v>
      </c>
      <c r="D21" s="116" t="s">
        <v>71</v>
      </c>
      <c r="E21" s="102"/>
      <c r="F21" s="102"/>
      <c r="G21" s="102" t="s">
        <v>72</v>
      </c>
      <c r="H21" s="102"/>
      <c r="I21" s="102"/>
      <c r="J21" s="102"/>
      <c r="K21" s="102"/>
      <c r="L21" s="102"/>
      <c r="M21" s="102"/>
      <c r="N21" s="102"/>
      <c r="O21" s="214"/>
      <c r="P21" s="103">
        <v>46540</v>
      </c>
      <c r="Q21" s="103">
        <v>46540</v>
      </c>
      <c r="R21" s="102"/>
      <c r="S21" s="104">
        <v>1</v>
      </c>
      <c r="T21" s="104">
        <v>0</v>
      </c>
      <c r="U21" s="104">
        <v>1</v>
      </c>
      <c r="V21" s="104">
        <v>0</v>
      </c>
      <c r="W21" s="103"/>
      <c r="X21" s="103"/>
      <c r="Y21" s="105"/>
      <c r="Z21" s="106">
        <v>0</v>
      </c>
      <c r="AA21" s="104"/>
      <c r="AB21" s="102" t="s">
        <v>54</v>
      </c>
      <c r="AC21" s="102"/>
      <c r="AD21" s="281">
        <v>0</v>
      </c>
      <c r="AE21" s="282">
        <v>0</v>
      </c>
      <c r="AF21" s="118"/>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t="str">
        <f>"   " &amp; TEXT(AE21,"#0.00%") &amp; " " &amp; "월간보고(2027.05)" &amp; "(공통)" &amp; " " &amp; IF(P21="","",TEXT(P21,"M/D-")) &amp; IF(Q21="","",TEXT(Q21,"M/D")) &amp; " "</f>
        <v xml:space="preserve">   0.00% 월간보고(2027.05)(공통) 6/2-6/2 </v>
      </c>
      <c r="CD21" s="119"/>
      <c r="CE21" s="119"/>
      <c r="CF21" s="119"/>
      <c r="CG21" s="119"/>
    </row>
    <row r="22" spans="1:85" ht="12" customHeight="1" outlineLevel="2">
      <c r="A22" s="101"/>
      <c r="B22" s="101"/>
      <c r="C22" s="101">
        <v>3</v>
      </c>
      <c r="D22" s="116" t="s">
        <v>73</v>
      </c>
      <c r="E22" s="102"/>
      <c r="F22" s="102"/>
      <c r="G22" s="102" t="s">
        <v>74</v>
      </c>
      <c r="H22" s="102"/>
      <c r="I22" s="102"/>
      <c r="J22" s="102"/>
      <c r="K22" s="102"/>
      <c r="L22" s="102"/>
      <c r="M22" s="102"/>
      <c r="N22" s="102"/>
      <c r="O22" s="214"/>
      <c r="P22" s="103">
        <v>46555</v>
      </c>
      <c r="Q22" s="103">
        <v>46555</v>
      </c>
      <c r="R22" s="102"/>
      <c r="S22" s="104">
        <v>1</v>
      </c>
      <c r="T22" s="104">
        <v>0</v>
      </c>
      <c r="U22" s="104">
        <v>1</v>
      </c>
      <c r="V22" s="104">
        <v>0</v>
      </c>
      <c r="W22" s="103"/>
      <c r="X22" s="103"/>
      <c r="Y22" s="105"/>
      <c r="Z22" s="106">
        <v>0</v>
      </c>
      <c r="AA22" s="104"/>
      <c r="AB22" s="102" t="s">
        <v>54</v>
      </c>
      <c r="AC22" s="102"/>
      <c r="AD22" s="281">
        <v>0</v>
      </c>
      <c r="AE22" s="282">
        <v>0</v>
      </c>
      <c r="AF22" s="118"/>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t="str">
        <f>"    " &amp; TEXT(AE22,"#0.00%") &amp; " " &amp; "완료보고" &amp; "(공통)" &amp; " " &amp; IF(P22="","",TEXT(P22,"M/D-")) &amp; IF(Q22="","",TEXT(Q22,"M/D")) &amp; " "</f>
        <v xml:space="preserve">    0.00% 완료보고(공통) 6/17-6/17 </v>
      </c>
      <c r="CF22" s="119"/>
      <c r="CG22" s="119"/>
    </row>
    <row r="23" spans="1:85" ht="12" customHeight="1" outlineLevel="1">
      <c r="A23" s="101"/>
      <c r="B23" s="101" t="s">
        <v>36</v>
      </c>
      <c r="C23" s="101">
        <v>2</v>
      </c>
      <c r="D23" s="116" t="s">
        <v>75</v>
      </c>
      <c r="E23" s="102"/>
      <c r="F23" s="102" t="s">
        <v>76</v>
      </c>
      <c r="G23" s="102"/>
      <c r="H23" s="102"/>
      <c r="I23" s="102"/>
      <c r="J23" s="102"/>
      <c r="K23" s="102"/>
      <c r="L23" s="102"/>
      <c r="M23" s="102"/>
      <c r="N23" s="102"/>
      <c r="O23" s="214"/>
      <c r="P23" s="103">
        <v>46538</v>
      </c>
      <c r="Q23" s="103">
        <v>46560</v>
      </c>
      <c r="R23" s="102"/>
      <c r="S23" s="104">
        <v>10</v>
      </c>
      <c r="T23" s="104">
        <v>0</v>
      </c>
      <c r="U23" s="104">
        <v>17</v>
      </c>
      <c r="V23" s="104">
        <v>0</v>
      </c>
      <c r="W23" s="103"/>
      <c r="X23" s="103"/>
      <c r="Y23" s="105">
        <v>0</v>
      </c>
      <c r="Z23" s="106">
        <v>0</v>
      </c>
      <c r="AA23" s="104"/>
      <c r="AB23" s="102"/>
      <c r="AC23" s="102"/>
      <c r="AD23" s="281">
        <v>0</v>
      </c>
      <c r="AE23" s="283">
        <v>0</v>
      </c>
      <c r="AF23" s="118"/>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t="str">
        <f>" " &amp; TEXT(AE23,"#0.00%") &amp; " "</f>
        <v xml:space="preserve"> 0.00% </v>
      </c>
      <c r="CD23" s="119"/>
      <c r="CE23" s="119"/>
      <c r="CF23" s="119" t="str">
        <f>"   " &amp; "프로젝트 종료" &amp; " " &amp; IF(P23="","",TEXT(P23,"M/D-")) &amp; IF(Q23="","",TEXT(Q23,"M/D")) &amp; " "</f>
        <v xml:space="preserve">   프로젝트 종료 5/31-6/22 </v>
      </c>
      <c r="CG23" s="119"/>
    </row>
    <row r="24" spans="1:85" ht="12" customHeight="1" outlineLevel="2">
      <c r="A24" s="101"/>
      <c r="B24" s="101"/>
      <c r="C24" s="101">
        <v>3</v>
      </c>
      <c r="D24" s="116" t="s">
        <v>77</v>
      </c>
      <c r="E24" s="102"/>
      <c r="F24" s="102"/>
      <c r="G24" s="102" t="s">
        <v>78</v>
      </c>
      <c r="H24" s="102"/>
      <c r="I24" s="102"/>
      <c r="J24" s="102"/>
      <c r="K24" s="102"/>
      <c r="L24" s="102"/>
      <c r="M24" s="102"/>
      <c r="N24" s="102"/>
      <c r="O24" s="214"/>
      <c r="P24" s="103">
        <v>46538</v>
      </c>
      <c r="Q24" s="103">
        <v>46542</v>
      </c>
      <c r="R24" s="102"/>
      <c r="S24" s="104">
        <v>5</v>
      </c>
      <c r="T24" s="104">
        <v>0</v>
      </c>
      <c r="U24" s="104">
        <v>5</v>
      </c>
      <c r="V24" s="104">
        <v>0</v>
      </c>
      <c r="W24" s="103"/>
      <c r="X24" s="103"/>
      <c r="Y24" s="105"/>
      <c r="Z24" s="106">
        <v>0</v>
      </c>
      <c r="AA24" s="104">
        <v>1</v>
      </c>
      <c r="AB24" s="102"/>
      <c r="AC24" s="102"/>
      <c r="AD24" s="281">
        <v>0</v>
      </c>
      <c r="AE24" s="282">
        <v>0</v>
      </c>
      <c r="AF24" s="118"/>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t="str">
        <f>" " &amp; TEXT(AE24,"#0.00%") &amp; " " &amp; "종료계획수립" &amp; " " &amp; IF(P24="","",TEXT(P24,"M/D-")) &amp; IF(Q24="","",TEXT(Q24,"M/D")) &amp; " "</f>
        <v xml:space="preserve"> 0.00% 종료계획수립 5/31-6/4 </v>
      </c>
      <c r="CD24" s="119"/>
      <c r="CE24" s="119"/>
      <c r="CF24" s="119"/>
      <c r="CG24" s="119"/>
    </row>
    <row r="25" spans="1:85" ht="12" customHeight="1" outlineLevel="2">
      <c r="A25" s="101"/>
      <c r="B25" s="101"/>
      <c r="C25" s="101">
        <v>3</v>
      </c>
      <c r="D25" s="116" t="s">
        <v>79</v>
      </c>
      <c r="E25" s="102"/>
      <c r="F25" s="102"/>
      <c r="G25" s="102" t="s">
        <v>80</v>
      </c>
      <c r="H25" s="102"/>
      <c r="I25" s="102"/>
      <c r="J25" s="102"/>
      <c r="K25" s="102"/>
      <c r="L25" s="102"/>
      <c r="M25" s="102"/>
      <c r="N25" s="102"/>
      <c r="O25" s="214"/>
      <c r="P25" s="103">
        <v>46545</v>
      </c>
      <c r="Q25" s="103">
        <v>46549</v>
      </c>
      <c r="R25" s="102"/>
      <c r="S25" s="104">
        <v>5</v>
      </c>
      <c r="T25" s="104">
        <v>0</v>
      </c>
      <c r="U25" s="104">
        <v>5</v>
      </c>
      <c r="V25" s="104">
        <v>0</v>
      </c>
      <c r="W25" s="103"/>
      <c r="X25" s="103"/>
      <c r="Y25" s="105"/>
      <c r="Z25" s="106">
        <v>0</v>
      </c>
      <c r="AA25" s="104">
        <v>1</v>
      </c>
      <c r="AB25" s="102"/>
      <c r="AC25" s="102"/>
      <c r="AD25" s="281">
        <v>0</v>
      </c>
      <c r="AE25" s="282">
        <v>0</v>
      </c>
      <c r="AF25" s="118"/>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t="str">
        <f>" " &amp; TEXT(AE25,"#0.00%") &amp; " " &amp; "시스템 인수인계" &amp; " " &amp; IF(P25="","",TEXT(P25,"M/D-")) &amp; IF(Q25="","",TEXT(Q25,"M/D")) &amp; " "</f>
        <v xml:space="preserve"> 0.00% 시스템 인수인계 6/7-6/11 </v>
      </c>
      <c r="CE25" s="119"/>
      <c r="CF25" s="119"/>
      <c r="CG25" s="119"/>
    </row>
    <row r="26" spans="1:85" ht="12" customHeight="1" outlineLevel="2">
      <c r="A26" s="101" t="s">
        <v>81</v>
      </c>
      <c r="B26" s="101"/>
      <c r="C26" s="101">
        <v>3</v>
      </c>
      <c r="D26" s="116" t="s">
        <v>82</v>
      </c>
      <c r="E26" s="102"/>
      <c r="F26" s="102"/>
      <c r="G26" s="102" t="s">
        <v>83</v>
      </c>
      <c r="H26" s="102"/>
      <c r="I26" s="102"/>
      <c r="J26" s="102"/>
      <c r="K26" s="102"/>
      <c r="L26" s="102"/>
      <c r="M26" s="102"/>
      <c r="N26" s="102"/>
      <c r="O26" s="214"/>
      <c r="P26" s="103">
        <v>46552</v>
      </c>
      <c r="Q26" s="103">
        <v>46560</v>
      </c>
      <c r="R26" s="102"/>
      <c r="S26" s="104">
        <v>0</v>
      </c>
      <c r="T26" s="104">
        <v>0</v>
      </c>
      <c r="U26" s="104">
        <v>7</v>
      </c>
      <c r="V26" s="104">
        <v>0</v>
      </c>
      <c r="W26" s="103"/>
      <c r="X26" s="103"/>
      <c r="Y26" s="105"/>
      <c r="Z26" s="106">
        <v>0</v>
      </c>
      <c r="AA26" s="104">
        <v>1</v>
      </c>
      <c r="AB26" s="102"/>
      <c r="AC26" s="102"/>
      <c r="AD26" s="281">
        <v>0</v>
      </c>
      <c r="AE26" s="282">
        <v>0</v>
      </c>
      <c r="AF26" s="118"/>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t="str">
        <f>"     " &amp; TEXT(AE26,"#0.00%") &amp; " " &amp; "검수 및 종료" &amp; " " &amp; IF(P26="","",TEXT(P26,"M/D-")) &amp; IF(Q26="","",TEXT(Q26,"M/D")) &amp; " "</f>
        <v xml:space="preserve">     0.00% 검수 및 종료 6/14-6/22 </v>
      </c>
      <c r="CF26" s="119"/>
      <c r="CG26" s="119"/>
    </row>
    <row r="27" spans="1:85" ht="12" customHeight="1" outlineLevel="2">
      <c r="A27" s="101"/>
      <c r="B27" s="101"/>
      <c r="C27" s="101">
        <v>0</v>
      </c>
      <c r="D27" s="116"/>
      <c r="E27" s="102"/>
      <c r="F27" s="102"/>
      <c r="G27" s="102"/>
      <c r="H27" s="102"/>
      <c r="I27" s="102"/>
      <c r="J27" s="102"/>
      <c r="K27" s="102"/>
      <c r="L27" s="102"/>
      <c r="M27" s="102"/>
      <c r="N27" s="102"/>
      <c r="O27" s="214"/>
      <c r="P27" s="103"/>
      <c r="Q27" s="103"/>
      <c r="R27" s="102"/>
      <c r="S27" s="104"/>
      <c r="T27" s="104"/>
      <c r="U27" s="104">
        <v>0</v>
      </c>
      <c r="V27" s="104">
        <v>0</v>
      </c>
      <c r="W27" s="103"/>
      <c r="X27" s="103"/>
      <c r="Y27" s="105"/>
      <c r="Z27" s="106">
        <v>0</v>
      </c>
      <c r="AA27" s="104"/>
      <c r="AB27" s="102"/>
      <c r="AC27" s="102"/>
      <c r="AD27" s="281"/>
      <c r="AE27" s="281"/>
      <c r="AF27" s="118"/>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c r="BK27" s="119"/>
      <c r="BL27" s="119"/>
      <c r="BM27" s="119"/>
      <c r="BN27" s="119"/>
      <c r="BO27" s="119"/>
      <c r="BP27" s="119"/>
      <c r="BQ27" s="119"/>
      <c r="BR27" s="119"/>
      <c r="BS27" s="119"/>
      <c r="BT27" s="119"/>
      <c r="BU27" s="119"/>
      <c r="BV27" s="119"/>
      <c r="BW27" s="119"/>
      <c r="BX27" s="119"/>
      <c r="BY27" s="119"/>
      <c r="BZ27" s="119"/>
      <c r="CA27" s="119"/>
      <c r="CB27" s="119"/>
      <c r="CC27" s="119"/>
      <c r="CD27" s="119"/>
      <c r="CE27" s="119"/>
      <c r="CF27" s="119"/>
      <c r="CG27" s="119"/>
    </row>
    <row r="28" spans="1:85" ht="12" customHeight="1">
      <c r="A28" s="101"/>
      <c r="B28" s="101" t="s">
        <v>36</v>
      </c>
      <c r="C28" s="101">
        <v>1</v>
      </c>
      <c r="D28" s="116" t="s">
        <v>84</v>
      </c>
      <c r="E28" s="102" t="s">
        <v>85</v>
      </c>
      <c r="F28" s="102"/>
      <c r="G28" s="102"/>
      <c r="H28" s="102"/>
      <c r="I28" s="102"/>
      <c r="J28" s="102"/>
      <c r="K28" s="102"/>
      <c r="L28" s="102"/>
      <c r="M28" s="102"/>
      <c r="N28" s="102"/>
      <c r="O28" s="214"/>
      <c r="P28" s="103">
        <v>46209</v>
      </c>
      <c r="Q28" s="103">
        <v>46416</v>
      </c>
      <c r="R28" s="102"/>
      <c r="S28" s="104">
        <v>1110</v>
      </c>
      <c r="T28" s="104">
        <v>106</v>
      </c>
      <c r="U28" s="104">
        <v>142</v>
      </c>
      <c r="V28" s="104">
        <v>41</v>
      </c>
      <c r="W28" s="103"/>
      <c r="X28" s="103"/>
      <c r="Y28" s="105">
        <v>0</v>
      </c>
      <c r="Z28" s="106">
        <v>0</v>
      </c>
      <c r="AA28" s="104"/>
      <c r="AB28" s="102"/>
      <c r="AC28" s="102"/>
      <c r="AD28" s="281">
        <v>9.5495495495495492E-2</v>
      </c>
      <c r="AE28" s="286">
        <v>8.6936936936936937E-2</v>
      </c>
      <c r="AF28" s="118"/>
      <c r="AG28" s="119"/>
      <c r="AH28" s="119"/>
      <c r="AI28" s="119"/>
      <c r="AJ28" s="119" t="str">
        <f>"     " &amp; TEXT(AE28,"#0.00%") &amp; " "</f>
        <v xml:space="preserve">     8.69% </v>
      </c>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c r="BK28" s="119" t="str">
        <f>"      " &amp; "1단계 시스템 개발" &amp; " " &amp; IF(P28="","",TEXT(P28,"M/D-")) &amp; IF(Q28="","",TEXT(Q28,"M/D")) &amp; " "</f>
        <v xml:space="preserve">      1단계 시스템 개발 7/6-1/29 </v>
      </c>
      <c r="BL28" s="119"/>
      <c r="BM28" s="119"/>
      <c r="BN28" s="119"/>
      <c r="BO28" s="119"/>
      <c r="BP28" s="119"/>
      <c r="BQ28" s="119"/>
      <c r="BR28" s="119"/>
      <c r="BS28" s="119"/>
      <c r="BT28" s="119"/>
      <c r="BU28" s="119"/>
      <c r="BV28" s="119"/>
      <c r="BW28" s="119"/>
      <c r="BX28" s="119"/>
      <c r="BY28" s="119"/>
      <c r="BZ28" s="119"/>
      <c r="CA28" s="119"/>
      <c r="CB28" s="119"/>
      <c r="CC28" s="119"/>
      <c r="CD28" s="119"/>
      <c r="CE28" s="119"/>
      <c r="CF28" s="119"/>
      <c r="CG28" s="119"/>
    </row>
    <row r="29" spans="1:85" ht="12" customHeight="1" outlineLevel="1">
      <c r="A29" s="101"/>
      <c r="B29" s="101" t="s">
        <v>36</v>
      </c>
      <c r="C29" s="101">
        <v>2</v>
      </c>
      <c r="D29" s="116" t="s">
        <v>86</v>
      </c>
      <c r="E29" s="102"/>
      <c r="F29" s="102" t="s">
        <v>87</v>
      </c>
      <c r="G29" s="102"/>
      <c r="H29" s="102"/>
      <c r="I29" s="102"/>
      <c r="J29" s="102"/>
      <c r="K29" s="102"/>
      <c r="L29" s="102"/>
      <c r="M29" s="102"/>
      <c r="N29" s="102"/>
      <c r="O29" s="214"/>
      <c r="P29" s="103">
        <v>46216</v>
      </c>
      <c r="Q29" s="103">
        <v>46276</v>
      </c>
      <c r="R29" s="102"/>
      <c r="S29" s="104">
        <v>48</v>
      </c>
      <c r="T29" s="104">
        <v>39</v>
      </c>
      <c r="U29" s="104">
        <v>43</v>
      </c>
      <c r="V29" s="104">
        <v>36</v>
      </c>
      <c r="W29" s="103"/>
      <c r="X29" s="103"/>
      <c r="Y29" s="105">
        <v>0</v>
      </c>
      <c r="Z29" s="106">
        <v>0</v>
      </c>
      <c r="AA29" s="104"/>
      <c r="AB29" s="102"/>
      <c r="AC29" s="102"/>
      <c r="AD29" s="281">
        <v>0.8125</v>
      </c>
      <c r="AE29" s="287">
        <v>0.71250000000000002</v>
      </c>
      <c r="AF29" s="118"/>
      <c r="AG29" s="119"/>
      <c r="AH29" s="119"/>
      <c r="AI29" s="119"/>
      <c r="AJ29" s="119"/>
      <c r="AK29" s="119"/>
      <c r="AL29" s="119"/>
      <c r="AM29" s="119"/>
      <c r="AN29" s="119"/>
      <c r="AO29" s="119" t="str">
        <f>"  " &amp; TEXT(AE29,"#0.00%") &amp; " " &amp; "분석" &amp; " " &amp; IF(P29="","",TEXT(P29,"M/D-")) &amp; IF(Q29="","",TEXT(Q29,"M/D")) &amp; " "</f>
        <v xml:space="preserve">  71.25% 분석 7/13-9/11 </v>
      </c>
      <c r="AP29" s="119"/>
      <c r="AQ29" s="119"/>
      <c r="AR29" s="119"/>
      <c r="AS29" s="119"/>
      <c r="AT29" s="119"/>
      <c r="AU29" s="119"/>
      <c r="AV29" s="119"/>
      <c r="AW29" s="119"/>
      <c r="AX29" s="119"/>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row>
    <row r="30" spans="1:85" ht="12" customHeight="1" outlineLevel="2">
      <c r="A30" s="101"/>
      <c r="B30" s="101"/>
      <c r="C30" s="101">
        <v>3</v>
      </c>
      <c r="D30" s="116" t="s">
        <v>88</v>
      </c>
      <c r="E30" s="102"/>
      <c r="F30" s="102"/>
      <c r="G30" s="289" t="s">
        <v>89</v>
      </c>
      <c r="H30" s="289"/>
      <c r="I30" s="289"/>
      <c r="J30" s="289"/>
      <c r="K30" s="289"/>
      <c r="L30" s="289"/>
      <c r="M30" s="289"/>
      <c r="N30" s="289"/>
      <c r="O30" s="290"/>
      <c r="P30" s="291">
        <v>46216</v>
      </c>
      <c r="Q30" s="291">
        <v>46269</v>
      </c>
      <c r="R30" s="102"/>
      <c r="S30" s="104">
        <v>38</v>
      </c>
      <c r="T30" s="104">
        <v>36</v>
      </c>
      <c r="U30" s="104">
        <v>38</v>
      </c>
      <c r="V30" s="104">
        <v>36</v>
      </c>
      <c r="W30" s="103">
        <v>46093</v>
      </c>
      <c r="X30" s="103">
        <v>46111</v>
      </c>
      <c r="Y30" s="105">
        <v>13</v>
      </c>
      <c r="Z30" s="106">
        <v>13</v>
      </c>
      <c r="AA30" s="104">
        <v>3</v>
      </c>
      <c r="AB30" s="102"/>
      <c r="AC30" s="102"/>
      <c r="AD30" s="281">
        <v>0.94736842105263153</v>
      </c>
      <c r="AE30" s="285">
        <v>0.9</v>
      </c>
      <c r="AF30" s="118"/>
      <c r="AG30" s="119"/>
      <c r="AH30" s="119"/>
      <c r="AI30" s="119"/>
      <c r="AJ30" s="119"/>
      <c r="AK30" s="119"/>
      <c r="AL30" s="119"/>
      <c r="AM30" s="119"/>
      <c r="AN30" s="119"/>
      <c r="AO30" s="119"/>
      <c r="AP30" s="119" t="str">
        <f>" " &amp; TEXT(AE30,"#0.00%") &amp; " " &amp; "요구사항정의/기획,디자인 컨펌" &amp; " " &amp; IF(P30="","",TEXT(P30,"M/D-")) &amp; IF(Q30="","",TEXT(Q30,"M/D")) &amp; " "</f>
        <v xml:space="preserve"> 90.00% 요구사항정의/기획,디자인 컨펌 7/13-9/4 </v>
      </c>
      <c r="AQ30" s="119"/>
      <c r="AR30" s="119"/>
      <c r="AS30" s="119"/>
      <c r="AT30" s="119"/>
      <c r="AU30" s="119"/>
      <c r="AV30" s="119"/>
      <c r="AW30" s="119"/>
      <c r="AX30" s="119"/>
      <c r="AY30" s="119"/>
      <c r="AZ30" s="119"/>
      <c r="BA30" s="119"/>
      <c r="BB30" s="119"/>
      <c r="BC30" s="119"/>
      <c r="BD30" s="119"/>
      <c r="BE30" s="119"/>
      <c r="BF30" s="119"/>
      <c r="BG30" s="119"/>
      <c r="BH30" s="119"/>
      <c r="BI30" s="119"/>
      <c r="BJ30" s="119"/>
      <c r="BK30" s="119"/>
      <c r="BL30" s="119"/>
      <c r="BM30" s="119"/>
      <c r="BN30" s="119"/>
      <c r="BO30" s="119"/>
      <c r="BP30" s="119"/>
      <c r="BQ30" s="119"/>
      <c r="BR30" s="119"/>
      <c r="BS30" s="119"/>
      <c r="BT30" s="119"/>
      <c r="BU30" s="119"/>
      <c r="BV30" s="119"/>
      <c r="BW30" s="119"/>
      <c r="BX30" s="119"/>
      <c r="BY30" s="119"/>
      <c r="BZ30" s="119"/>
      <c r="CA30" s="119"/>
      <c r="CB30" s="119"/>
      <c r="CC30" s="119"/>
      <c r="CD30" s="119"/>
      <c r="CE30" s="119"/>
      <c r="CF30" s="119"/>
      <c r="CG30" s="119"/>
    </row>
    <row r="31" spans="1:85" ht="12" customHeight="1" outlineLevel="2">
      <c r="A31" s="101"/>
      <c r="B31" s="101" t="s">
        <v>36</v>
      </c>
      <c r="C31" s="101">
        <v>3</v>
      </c>
      <c r="D31" s="116" t="s">
        <v>90</v>
      </c>
      <c r="E31" s="102"/>
      <c r="F31" s="102"/>
      <c r="G31" s="102" t="s">
        <v>91</v>
      </c>
      <c r="H31" s="102"/>
      <c r="I31" s="102"/>
      <c r="J31" s="102"/>
      <c r="K31" s="102"/>
      <c r="L31" s="102"/>
      <c r="M31" s="102"/>
      <c r="N31" s="102"/>
      <c r="O31" s="214"/>
      <c r="P31" s="103">
        <v>46265</v>
      </c>
      <c r="Q31" s="103">
        <v>46276</v>
      </c>
      <c r="R31" s="102"/>
      <c r="S31" s="104">
        <v>10</v>
      </c>
      <c r="T31" s="104">
        <v>3</v>
      </c>
      <c r="U31" s="104">
        <v>10</v>
      </c>
      <c r="V31" s="104">
        <v>3</v>
      </c>
      <c r="W31" s="103"/>
      <c r="X31" s="103"/>
      <c r="Y31" s="105">
        <v>0</v>
      </c>
      <c r="Z31" s="106">
        <v>0</v>
      </c>
      <c r="AA31" s="104"/>
      <c r="AB31" s="102"/>
      <c r="AC31" s="102"/>
      <c r="AD31" s="281">
        <v>0.3</v>
      </c>
      <c r="AE31" s="287">
        <v>0</v>
      </c>
      <c r="AF31" s="118"/>
      <c r="AG31" s="119"/>
      <c r="AH31" s="119"/>
      <c r="AI31" s="119"/>
      <c r="AJ31" s="119"/>
      <c r="AK31" s="119"/>
      <c r="AL31" s="119"/>
      <c r="AM31" s="119"/>
      <c r="AN31" s="119"/>
      <c r="AO31" s="119"/>
      <c r="AP31" s="119" t="str">
        <f>" " &amp; TEXT(AE31,"#0.00%") &amp; " " &amp; "논리모델구축" &amp; " " &amp; IF(P31="","",TEXT(P31,"M/D-")) &amp; IF(Q31="","",TEXT(Q31,"M/D")) &amp; " "</f>
        <v xml:space="preserve"> 0.00% 논리모델구축 8/31-9/11 </v>
      </c>
      <c r="AQ31" s="119"/>
      <c r="AR31" s="119"/>
      <c r="AS31" s="119"/>
      <c r="AT31" s="119"/>
      <c r="AU31" s="119"/>
      <c r="AV31" s="119"/>
      <c r="AW31" s="119"/>
      <c r="AX31" s="119"/>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row>
    <row r="32" spans="1:85" ht="12" customHeight="1" outlineLevel="3">
      <c r="A32" s="101"/>
      <c r="B32" s="101"/>
      <c r="C32" s="101">
        <v>4</v>
      </c>
      <c r="D32" s="116" t="s">
        <v>92</v>
      </c>
      <c r="E32" s="102"/>
      <c r="F32" s="102"/>
      <c r="G32" s="102"/>
      <c r="H32" s="102" t="s">
        <v>93</v>
      </c>
      <c r="I32" s="102"/>
      <c r="J32" s="102"/>
      <c r="K32" s="102"/>
      <c r="L32" s="102"/>
      <c r="M32" s="102"/>
      <c r="N32" s="102"/>
      <c r="O32" s="214"/>
      <c r="P32" s="103">
        <v>46265</v>
      </c>
      <c r="Q32" s="103">
        <v>46269</v>
      </c>
      <c r="R32" s="102"/>
      <c r="S32" s="104">
        <v>5</v>
      </c>
      <c r="T32" s="104">
        <v>3</v>
      </c>
      <c r="U32" s="104">
        <v>5</v>
      </c>
      <c r="V32" s="104">
        <v>3</v>
      </c>
      <c r="W32" s="103"/>
      <c r="X32" s="103"/>
      <c r="Y32" s="105"/>
      <c r="Z32" s="106">
        <v>0</v>
      </c>
      <c r="AA32" s="104"/>
      <c r="AB32" s="102"/>
      <c r="AC32" s="102"/>
      <c r="AD32" s="281">
        <v>0.6</v>
      </c>
      <c r="AE32" s="284">
        <v>0</v>
      </c>
      <c r="AF32" s="118"/>
      <c r="AG32" s="119"/>
      <c r="AH32" s="119"/>
      <c r="AI32" s="119"/>
      <c r="AJ32" s="119"/>
      <c r="AK32" s="119"/>
      <c r="AL32" s="119"/>
      <c r="AM32" s="119"/>
      <c r="AN32" s="119"/>
      <c r="AO32" s="119"/>
      <c r="AP32" s="119" t="str">
        <f>" " &amp; TEXT(AE32,"#0.00%") &amp; " " &amp; "현행 DB 수집/분석" &amp; " " &amp; IF(P32="","",TEXT(P32,"M/D-")) &amp; IF(Q32="","",TEXT(Q32,"M/D")) &amp; " "</f>
        <v xml:space="preserve"> 0.00% 현행 DB 수집/분석 8/31-9/4 </v>
      </c>
      <c r="AQ32" s="119"/>
      <c r="AR32" s="119"/>
      <c r="AS32" s="119"/>
      <c r="AT32" s="119"/>
      <c r="AU32" s="119"/>
      <c r="AV32" s="119"/>
      <c r="AW32" s="119"/>
      <c r="AX32" s="119"/>
      <c r="AY32" s="119"/>
      <c r="AZ32" s="119"/>
      <c r="BA32" s="119"/>
      <c r="BB32" s="119"/>
      <c r="BC32" s="119"/>
      <c r="BD32" s="119"/>
      <c r="BE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c r="CB32" s="119"/>
      <c r="CC32" s="119"/>
      <c r="CD32" s="119"/>
      <c r="CE32" s="119"/>
      <c r="CF32" s="119"/>
      <c r="CG32" s="119"/>
    </row>
    <row r="33" spans="1:85" ht="12" customHeight="1" outlineLevel="3">
      <c r="A33" s="101"/>
      <c r="B33" s="101"/>
      <c r="C33" s="101">
        <v>4</v>
      </c>
      <c r="D33" s="116" t="s">
        <v>94</v>
      </c>
      <c r="E33" s="102"/>
      <c r="F33" s="102"/>
      <c r="G33" s="102"/>
      <c r="H33" s="102" t="s">
        <v>95</v>
      </c>
      <c r="I33" s="289"/>
      <c r="J33" s="289"/>
      <c r="K33" s="289"/>
      <c r="L33" s="289"/>
      <c r="M33" s="289"/>
      <c r="N33" s="289"/>
      <c r="O33" s="290"/>
      <c r="P33" s="291">
        <v>46272</v>
      </c>
      <c r="Q33" s="291">
        <v>46276</v>
      </c>
      <c r="R33" s="102"/>
      <c r="S33" s="104">
        <v>5</v>
      </c>
      <c r="T33" s="104">
        <v>0</v>
      </c>
      <c r="U33" s="104">
        <v>5</v>
      </c>
      <c r="V33" s="104">
        <v>0</v>
      </c>
      <c r="W33" s="103">
        <v>46107</v>
      </c>
      <c r="X33" s="103"/>
      <c r="Y33" s="105">
        <v>-32929</v>
      </c>
      <c r="Z33" s="106">
        <v>0</v>
      </c>
      <c r="AA33" s="104">
        <v>1</v>
      </c>
      <c r="AB33" s="102"/>
      <c r="AC33" s="102"/>
      <c r="AD33" s="281">
        <v>0</v>
      </c>
      <c r="AE33" s="282">
        <v>0</v>
      </c>
      <c r="AF33" s="118"/>
      <c r="AG33" s="119"/>
      <c r="AH33" s="119"/>
      <c r="AI33" s="119"/>
      <c r="AJ33" s="119"/>
      <c r="AK33" s="119"/>
      <c r="AL33" s="119"/>
      <c r="AM33" s="119"/>
      <c r="AN33" s="119"/>
      <c r="AO33" s="119"/>
      <c r="AP33" s="119"/>
      <c r="AQ33" s="119" t="str">
        <f>" " &amp; TEXT(AE33,"#0.00%") &amp; " " &amp; "데이터모델링" &amp; " " &amp; IF(P33="","",TEXT(P33,"M/D-")) &amp; IF(Q33="","",TEXT(Q33,"M/D")) &amp; " "</f>
        <v xml:space="preserve"> 0.00% 데이터모델링 9/7-9/11 </v>
      </c>
      <c r="AR33" s="119"/>
      <c r="AS33" s="119"/>
      <c r="AT33" s="119"/>
      <c r="AU33" s="119"/>
      <c r="AV33" s="119"/>
      <c r="AW33" s="119"/>
      <c r="AX33" s="119"/>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row>
    <row r="34" spans="1:85" ht="12" customHeight="1" outlineLevel="1">
      <c r="A34" s="101"/>
      <c r="B34" s="101" t="s">
        <v>36</v>
      </c>
      <c r="C34" s="101">
        <v>2</v>
      </c>
      <c r="D34" s="116" t="s">
        <v>96</v>
      </c>
      <c r="E34" s="102"/>
      <c r="F34" s="102" t="s">
        <v>97</v>
      </c>
      <c r="G34" s="102"/>
      <c r="H34" s="102"/>
      <c r="I34" s="289"/>
      <c r="J34" s="289"/>
      <c r="K34" s="289"/>
      <c r="L34" s="289"/>
      <c r="M34" s="289"/>
      <c r="N34" s="289"/>
      <c r="O34" s="290"/>
      <c r="P34" s="291">
        <v>46209</v>
      </c>
      <c r="Q34" s="291">
        <v>46374</v>
      </c>
      <c r="R34" s="102"/>
      <c r="S34" s="104">
        <v>443</v>
      </c>
      <c r="T34" s="104">
        <v>67</v>
      </c>
      <c r="U34" s="104">
        <v>114</v>
      </c>
      <c r="V34" s="104">
        <v>41</v>
      </c>
      <c r="W34" s="103"/>
      <c r="X34" s="103"/>
      <c r="Y34" s="105">
        <v>0</v>
      </c>
      <c r="Z34" s="106">
        <v>0</v>
      </c>
      <c r="AA34" s="104"/>
      <c r="AB34" s="102"/>
      <c r="AC34" s="102"/>
      <c r="AD34" s="281">
        <v>0.15124153498871332</v>
      </c>
      <c r="AE34" s="286">
        <v>0.14063205417607222</v>
      </c>
      <c r="AF34" s="118"/>
      <c r="AG34" s="119"/>
      <c r="AH34" s="119"/>
      <c r="AI34" s="119"/>
      <c r="AJ34" s="119"/>
      <c r="AK34" s="119" t="str">
        <f>"   " &amp; TEXT(AE34,"#0.00%") &amp; " "</f>
        <v xml:space="preserve">   14.06% </v>
      </c>
      <c r="AL34" s="119"/>
      <c r="AM34" s="119"/>
      <c r="AN34" s="119"/>
      <c r="AO34" s="119"/>
      <c r="AP34" s="119"/>
      <c r="AQ34" s="119"/>
      <c r="AR34" s="119"/>
      <c r="AS34" s="119"/>
      <c r="AT34" s="119"/>
      <c r="AU34" s="119"/>
      <c r="AV34" s="119"/>
      <c r="AW34" s="119"/>
      <c r="AX34" s="119"/>
      <c r="AY34" s="119"/>
      <c r="AZ34" s="119"/>
      <c r="BA34" s="119"/>
      <c r="BB34" s="119"/>
      <c r="BC34" s="119"/>
      <c r="BD34" s="119"/>
      <c r="BE34" s="119" t="str">
        <f>"      " &amp; "설계" &amp; " " &amp; IF(P34="","",TEXT(P34,"M/D-")) &amp; IF(Q34="","",TEXT(Q34,"M/D")) &amp; " "</f>
        <v xml:space="preserve">      설계 7/6-12/18 </v>
      </c>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row>
    <row r="35" spans="1:85" ht="12" customHeight="1" outlineLevel="2">
      <c r="A35" s="101"/>
      <c r="B35" s="101" t="s">
        <v>36</v>
      </c>
      <c r="C35" s="101">
        <v>3</v>
      </c>
      <c r="D35" s="116" t="s">
        <v>98</v>
      </c>
      <c r="E35" s="102"/>
      <c r="F35" s="102"/>
      <c r="G35" s="102" t="s">
        <v>99</v>
      </c>
      <c r="H35" s="102"/>
      <c r="I35" s="289"/>
      <c r="J35" s="289"/>
      <c r="K35" s="289"/>
      <c r="L35" s="289"/>
      <c r="M35" s="289"/>
      <c r="N35" s="289"/>
      <c r="O35" s="290"/>
      <c r="P35" s="291">
        <v>46252</v>
      </c>
      <c r="Q35" s="291">
        <v>46282</v>
      </c>
      <c r="R35" s="102"/>
      <c r="S35" s="104">
        <v>74</v>
      </c>
      <c r="T35" s="104">
        <v>48</v>
      </c>
      <c r="U35" s="104">
        <v>23</v>
      </c>
      <c r="V35" s="104">
        <v>12</v>
      </c>
      <c r="W35" s="103"/>
      <c r="X35" s="103"/>
      <c r="Y35" s="105">
        <v>0</v>
      </c>
      <c r="Z35" s="106">
        <v>0</v>
      </c>
      <c r="AA35" s="104"/>
      <c r="AB35" s="102"/>
      <c r="AC35" s="102"/>
      <c r="AD35" s="281">
        <v>0.64864864864864868</v>
      </c>
      <c r="AE35" s="286">
        <v>0.58513513513513504</v>
      </c>
      <c r="AF35" s="118"/>
      <c r="AG35" s="119"/>
      <c r="AH35" s="119"/>
      <c r="AI35" s="119"/>
      <c r="AJ35" s="119"/>
      <c r="AK35" s="119"/>
      <c r="AL35" s="119"/>
      <c r="AM35" s="119"/>
      <c r="AN35" s="119"/>
      <c r="AO35" s="119"/>
      <c r="AP35" s="119" t="str">
        <f>"      " &amp; TEXT(AE35,"#0.00%") &amp; " " &amp; "UI 설계" &amp; " " &amp; IF(P35="","",TEXT(P35,"M/D-")) &amp; IF(Q35="","",TEXT(Q35,"M/D")) &amp; " "</f>
        <v xml:space="preserve">      58.51% UI 설계 8/18-9/17 </v>
      </c>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row>
    <row r="36" spans="1:85" ht="12" customHeight="1" outlineLevel="3">
      <c r="A36" s="101"/>
      <c r="B36" s="101" t="s">
        <v>36</v>
      </c>
      <c r="C36" s="101">
        <v>4</v>
      </c>
      <c r="D36" s="116" t="s">
        <v>100</v>
      </c>
      <c r="E36" s="102"/>
      <c r="F36" s="102"/>
      <c r="G36" s="102"/>
      <c r="H36" s="102" t="s">
        <v>101</v>
      </c>
      <c r="I36" s="289"/>
      <c r="J36" s="289"/>
      <c r="K36" s="289"/>
      <c r="L36" s="289"/>
      <c r="M36" s="289"/>
      <c r="N36" s="289"/>
      <c r="O36" s="290"/>
      <c r="P36" s="291">
        <v>46252</v>
      </c>
      <c r="Q36" s="291">
        <v>46282</v>
      </c>
      <c r="R36" s="102"/>
      <c r="S36" s="104">
        <v>64</v>
      </c>
      <c r="T36" s="104">
        <v>45</v>
      </c>
      <c r="U36" s="104">
        <v>23</v>
      </c>
      <c r="V36" s="104">
        <v>12</v>
      </c>
      <c r="W36" s="103"/>
      <c r="X36" s="103"/>
      <c r="Y36" s="105">
        <v>0</v>
      </c>
      <c r="Z36" s="106">
        <v>0</v>
      </c>
      <c r="AA36" s="104"/>
      <c r="AB36" s="102"/>
      <c r="AC36" s="102"/>
      <c r="AD36" s="281">
        <v>0.703125</v>
      </c>
      <c r="AE36" s="286">
        <v>0.67656249999999996</v>
      </c>
      <c r="AF36" s="118"/>
      <c r="AG36" s="119"/>
      <c r="AH36" s="119"/>
      <c r="AI36" s="119"/>
      <c r="AJ36" s="119"/>
      <c r="AK36" s="119"/>
      <c r="AL36" s="119"/>
      <c r="AM36" s="119"/>
      <c r="AN36" s="119"/>
      <c r="AO36" s="119"/>
      <c r="AP36" s="119"/>
      <c r="AQ36" s="119" t="str">
        <f>"  " &amp; TEXT(AE36,"#0.00%") &amp; " " &amp; "동행맵 APP 설계" &amp; " " &amp; IF(P36="","",TEXT(P36,"M/D-")) &amp; IF(Q36="","",TEXT(Q36,"M/D")) &amp; " "</f>
        <v xml:space="preserve">  67.66% 동행맵 APP 설계 8/18-9/17 </v>
      </c>
      <c r="AR36" s="119"/>
      <c r="AS36" s="119"/>
      <c r="AT36" s="119"/>
      <c r="AU36" s="119"/>
      <c r="AV36" s="119"/>
      <c r="AW36" s="119"/>
      <c r="AX36" s="119"/>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row>
    <row r="37" spans="1:85" ht="12" customHeight="1" outlineLevel="4">
      <c r="A37" s="101"/>
      <c r="B37" s="101"/>
      <c r="C37" s="101">
        <v>5</v>
      </c>
      <c r="D37" s="116" t="s">
        <v>102</v>
      </c>
      <c r="E37" s="102"/>
      <c r="F37" s="102"/>
      <c r="G37" s="102"/>
      <c r="H37" s="102"/>
      <c r="I37" s="289" t="s">
        <v>103</v>
      </c>
      <c r="J37" s="289"/>
      <c r="K37" s="289"/>
      <c r="L37" s="289"/>
      <c r="M37" s="289"/>
      <c r="N37" s="289"/>
      <c r="O37" s="290"/>
      <c r="P37" s="291">
        <v>46252</v>
      </c>
      <c r="Q37" s="291">
        <v>46282</v>
      </c>
      <c r="R37" s="102"/>
      <c r="S37" s="104">
        <v>23</v>
      </c>
      <c r="T37" s="104">
        <v>12</v>
      </c>
      <c r="U37" s="104">
        <v>23</v>
      </c>
      <c r="V37" s="104">
        <v>12</v>
      </c>
      <c r="W37" s="103"/>
      <c r="X37" s="103"/>
      <c r="Y37" s="105"/>
      <c r="Z37" s="106">
        <v>0</v>
      </c>
      <c r="AA37" s="104"/>
      <c r="AB37" s="102"/>
      <c r="AC37" s="102"/>
      <c r="AD37" s="281">
        <v>0.52173913043478259</v>
      </c>
      <c r="AE37" s="288">
        <v>0.6</v>
      </c>
      <c r="AF37" s="118"/>
      <c r="AG37" s="119"/>
      <c r="AH37" s="119"/>
      <c r="AI37" s="119"/>
      <c r="AJ37" s="119"/>
      <c r="AK37" s="119"/>
      <c r="AL37" s="119"/>
      <c r="AM37" s="119"/>
      <c r="AN37" s="119"/>
      <c r="AO37" s="119"/>
      <c r="AP37" s="119"/>
      <c r="AQ37" s="119" t="str">
        <f>"" &amp; TEXT(AE37,"#0.00%") &amp; " " &amp; "APP UI 설계" &amp; " " &amp; IF(P37="","",TEXT(P37,"M/D-")) &amp; IF(Q37="","",TEXT(Q37,"M/D")) &amp; " "</f>
        <v xml:space="preserve">60.00% APP UI 설계 8/18-9/17 </v>
      </c>
      <c r="AR37" s="119"/>
      <c r="AS37" s="119"/>
      <c r="AT37" s="119"/>
      <c r="AU37" s="119"/>
      <c r="AV37" s="119"/>
      <c r="AW37" s="119"/>
      <c r="AX37" s="119"/>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row>
    <row r="38" spans="1:85" ht="12" customHeight="1" outlineLevel="4">
      <c r="A38" s="101"/>
      <c r="B38" s="101"/>
      <c r="C38" s="101">
        <v>5</v>
      </c>
      <c r="D38" s="116" t="s">
        <v>104</v>
      </c>
      <c r="E38" s="102"/>
      <c r="F38" s="102"/>
      <c r="G38" s="102"/>
      <c r="H38" s="102"/>
      <c r="I38" s="289" t="s">
        <v>105</v>
      </c>
      <c r="J38" s="289"/>
      <c r="K38" s="289"/>
      <c r="L38" s="289"/>
      <c r="M38" s="289"/>
      <c r="N38" s="289"/>
      <c r="O38" s="290"/>
      <c r="P38" s="291">
        <v>46252</v>
      </c>
      <c r="Q38" s="291">
        <v>46262</v>
      </c>
      <c r="R38" s="102"/>
      <c r="S38" s="104">
        <v>9</v>
      </c>
      <c r="T38" s="104">
        <v>9</v>
      </c>
      <c r="U38" s="104">
        <v>9</v>
      </c>
      <c r="V38" s="104">
        <v>9</v>
      </c>
      <c r="W38" s="103"/>
      <c r="X38" s="103"/>
      <c r="Y38" s="105"/>
      <c r="Z38" s="106">
        <v>0</v>
      </c>
      <c r="AA38" s="104"/>
      <c r="AB38" s="102"/>
      <c r="AC38" s="102"/>
      <c r="AD38" s="281">
        <v>1</v>
      </c>
      <c r="AE38" s="282">
        <v>1</v>
      </c>
      <c r="AF38" s="118"/>
      <c r="AG38" s="119"/>
      <c r="AH38" s="119"/>
      <c r="AI38" s="119"/>
      <c r="AJ38" s="119"/>
      <c r="AK38" s="119"/>
      <c r="AL38" s="119"/>
      <c r="AM38" s="119"/>
      <c r="AN38" s="119"/>
      <c r="AO38" s="119" t="str">
        <f>"      " &amp; TEXT(AE38,"#0.00%") &amp; " " &amp; "교통약자 도보 내비게이션 UI 설계" &amp; " " &amp; IF(P38="","",TEXT(P38,"M/D-")) &amp; IF(Q38="","",TEXT(Q38,"M/D")) &amp; " "</f>
        <v xml:space="preserve">      100.00% 교통약자 도보 내비게이션 UI 설계 8/18-8/28 </v>
      </c>
      <c r="AP38" s="119"/>
      <c r="AQ38" s="119"/>
      <c r="AR38" s="119"/>
      <c r="AS38" s="119"/>
      <c r="AT38" s="119"/>
      <c r="AU38" s="119"/>
      <c r="AV38" s="119"/>
      <c r="AW38" s="119"/>
      <c r="AX38" s="119"/>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row>
    <row r="39" spans="1:85" ht="12" customHeight="1" outlineLevel="4">
      <c r="A39" s="101"/>
      <c r="B39" s="101"/>
      <c r="C39" s="101">
        <v>5</v>
      </c>
      <c r="D39" s="116" t="s">
        <v>106</v>
      </c>
      <c r="E39" s="102"/>
      <c r="F39" s="102"/>
      <c r="G39" s="102"/>
      <c r="H39" s="102"/>
      <c r="I39" s="289" t="s">
        <v>107</v>
      </c>
      <c r="J39" s="289"/>
      <c r="K39" s="289"/>
      <c r="L39" s="289"/>
      <c r="M39" s="289"/>
      <c r="N39" s="289"/>
      <c r="O39" s="290"/>
      <c r="P39" s="291">
        <v>46252</v>
      </c>
      <c r="Q39" s="291">
        <v>46272</v>
      </c>
      <c r="R39" s="102"/>
      <c r="S39" s="104">
        <v>15</v>
      </c>
      <c r="T39" s="104">
        <v>12</v>
      </c>
      <c r="U39" s="104">
        <v>15</v>
      </c>
      <c r="V39" s="104">
        <v>12</v>
      </c>
      <c r="W39" s="103"/>
      <c r="X39" s="103"/>
      <c r="Y39" s="105"/>
      <c r="Z39" s="106">
        <v>0</v>
      </c>
      <c r="AA39" s="104"/>
      <c r="AB39" s="102"/>
      <c r="AC39" s="102"/>
      <c r="AD39" s="281">
        <v>0.8</v>
      </c>
      <c r="AE39" s="282">
        <v>0.8</v>
      </c>
      <c r="AF39" s="118"/>
      <c r="AG39" s="119"/>
      <c r="AH39" s="119"/>
      <c r="AI39" s="119"/>
      <c r="AJ39" s="119"/>
      <c r="AK39" s="119"/>
      <c r="AL39" s="119"/>
      <c r="AM39" s="119"/>
      <c r="AN39" s="119"/>
      <c r="AO39" s="119"/>
      <c r="AP39" s="119" t="str">
        <f>"     " &amp; TEXT(AE39,"#0.00%") &amp; " " &amp; "대중교통 정보 안내 UI 설계" &amp; " " &amp; IF(P39="","",TEXT(P39,"M/D-")) &amp; IF(Q39="","",TEXT(Q39,"M/D")) &amp; " "</f>
        <v xml:space="preserve">     80.00% 대중교통 정보 안내 UI 설계 8/18-9/7 </v>
      </c>
      <c r="AQ39" s="119"/>
      <c r="AR39" s="119"/>
      <c r="AS39" s="119"/>
      <c r="AT39" s="119"/>
      <c r="AU39" s="119"/>
      <c r="AV39" s="119"/>
      <c r="AW39" s="119"/>
      <c r="AX39" s="119"/>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row>
    <row r="40" spans="1:85" ht="12" customHeight="1" outlineLevel="4">
      <c r="A40" s="101"/>
      <c r="B40" s="101"/>
      <c r="C40" s="101">
        <v>5</v>
      </c>
      <c r="D40" s="116" t="s">
        <v>108</v>
      </c>
      <c r="E40" s="102"/>
      <c r="F40" s="102"/>
      <c r="G40" s="102"/>
      <c r="H40" s="102"/>
      <c r="I40" s="289" t="s">
        <v>109</v>
      </c>
      <c r="J40" s="289"/>
      <c r="K40" s="289"/>
      <c r="L40" s="289"/>
      <c r="M40" s="289"/>
      <c r="N40" s="289"/>
      <c r="O40" s="290"/>
      <c r="P40" s="291">
        <v>46252</v>
      </c>
      <c r="Q40" s="291">
        <v>46274</v>
      </c>
      <c r="R40" s="102"/>
      <c r="S40" s="104">
        <v>17</v>
      </c>
      <c r="T40" s="104">
        <v>12</v>
      </c>
      <c r="U40" s="104">
        <v>17</v>
      </c>
      <c r="V40" s="104">
        <v>12</v>
      </c>
      <c r="W40" s="103"/>
      <c r="X40" s="103"/>
      <c r="Y40" s="105"/>
      <c r="Z40" s="106">
        <v>0</v>
      </c>
      <c r="AA40" s="104"/>
      <c r="AB40" s="102"/>
      <c r="AC40" s="102"/>
      <c r="AD40" s="281">
        <v>0.70588235294117652</v>
      </c>
      <c r="AE40" s="284">
        <v>0.5</v>
      </c>
      <c r="AF40" s="118"/>
      <c r="AG40" s="119"/>
      <c r="AH40" s="119"/>
      <c r="AI40" s="119"/>
      <c r="AJ40" s="119"/>
      <c r="AK40" s="119"/>
      <c r="AL40" s="119"/>
      <c r="AM40" s="119"/>
      <c r="AN40" s="119"/>
      <c r="AO40" s="119"/>
      <c r="AP40" s="119" t="str">
        <f>"" &amp; TEXT(AE40,"#0.00%") &amp; " " &amp; "지하철 실내 내비게이션 UI 설계" &amp; " " &amp; IF(P40="","",TEXT(P40,"M/D-")) &amp; IF(Q40="","",TEXT(Q40,"M/D")) &amp; " "</f>
        <v xml:space="preserve">50.00% 지하철 실내 내비게이션 UI 설계 8/18-9/9 </v>
      </c>
      <c r="AQ40" s="119"/>
      <c r="AR40" s="119"/>
      <c r="AS40" s="119"/>
      <c r="AT40" s="119"/>
      <c r="AU40" s="119"/>
      <c r="AV40" s="119"/>
      <c r="AW40" s="119"/>
      <c r="AX40" s="119"/>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row>
    <row r="41" spans="1:85" ht="12" customHeight="1" outlineLevel="3">
      <c r="A41" s="101"/>
      <c r="B41" s="101"/>
      <c r="C41" s="101">
        <v>4</v>
      </c>
      <c r="D41" s="116" t="s">
        <v>110</v>
      </c>
      <c r="E41" s="102"/>
      <c r="F41" s="102"/>
      <c r="G41" s="102"/>
      <c r="H41" s="289" t="s">
        <v>111</v>
      </c>
      <c r="I41" s="289"/>
      <c r="J41" s="289"/>
      <c r="K41" s="289"/>
      <c r="L41" s="289"/>
      <c r="M41" s="289"/>
      <c r="N41" s="289"/>
      <c r="O41" s="290"/>
      <c r="P41" s="291">
        <v>46265</v>
      </c>
      <c r="Q41" s="291">
        <v>46276</v>
      </c>
      <c r="R41" s="102"/>
      <c r="S41" s="104">
        <v>10</v>
      </c>
      <c r="T41" s="104">
        <v>3</v>
      </c>
      <c r="U41" s="104">
        <v>10</v>
      </c>
      <c r="V41" s="104">
        <v>3</v>
      </c>
      <c r="W41" s="103"/>
      <c r="X41" s="103"/>
      <c r="Y41" s="105"/>
      <c r="Z41" s="106">
        <v>0</v>
      </c>
      <c r="AA41" s="104"/>
      <c r="AB41" s="102"/>
      <c r="AC41" s="102"/>
      <c r="AD41" s="281">
        <v>0.3</v>
      </c>
      <c r="AE41" s="284">
        <v>0</v>
      </c>
      <c r="AF41" s="118"/>
      <c r="AG41" s="119"/>
      <c r="AH41" s="119"/>
      <c r="AI41" s="119"/>
      <c r="AJ41" s="119"/>
      <c r="AK41" s="119"/>
      <c r="AL41" s="119"/>
      <c r="AM41" s="119"/>
      <c r="AN41" s="119"/>
      <c r="AO41" s="119"/>
      <c r="AP41" s="119" t="str">
        <f>" " &amp; TEXT(AE41,"#0.00%") &amp; " " &amp; "관리자페이지 UI 설계" &amp; " " &amp; IF(P41="","",TEXT(P41,"M/D-")) &amp; IF(Q41="","",TEXT(Q41,"M/D")) &amp; " "</f>
        <v xml:space="preserve"> 0.00% 관리자페이지 UI 설계 8/31-9/11 </v>
      </c>
      <c r="AQ41" s="119"/>
      <c r="AR41" s="119"/>
      <c r="AS41" s="119"/>
      <c r="AT41" s="119"/>
      <c r="AU41" s="119"/>
      <c r="AV41" s="119"/>
      <c r="AW41" s="119"/>
      <c r="AX41" s="119"/>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row>
    <row r="42" spans="1:85" ht="12" customHeight="1" outlineLevel="2">
      <c r="A42" s="101"/>
      <c r="B42" s="101" t="s">
        <v>36</v>
      </c>
      <c r="C42" s="101">
        <v>3</v>
      </c>
      <c r="D42" s="116" t="s">
        <v>112</v>
      </c>
      <c r="E42" s="102"/>
      <c r="F42" s="102"/>
      <c r="G42" s="102" t="s">
        <v>113</v>
      </c>
      <c r="H42" s="289"/>
      <c r="I42" s="289"/>
      <c r="J42" s="289"/>
      <c r="K42" s="289"/>
      <c r="L42" s="289"/>
      <c r="M42" s="289"/>
      <c r="N42" s="289"/>
      <c r="O42" s="290"/>
      <c r="P42" s="291">
        <v>46209</v>
      </c>
      <c r="Q42" s="291">
        <v>46283</v>
      </c>
      <c r="R42" s="102"/>
      <c r="S42" s="104">
        <v>24</v>
      </c>
      <c r="T42" s="104">
        <v>19</v>
      </c>
      <c r="U42" s="104">
        <v>53</v>
      </c>
      <c r="V42" s="104">
        <v>41</v>
      </c>
      <c r="W42" s="103"/>
      <c r="X42" s="103"/>
      <c r="Y42" s="105">
        <v>0</v>
      </c>
      <c r="Z42" s="106">
        <v>0</v>
      </c>
      <c r="AA42" s="104"/>
      <c r="AB42" s="102"/>
      <c r="AC42" s="102"/>
      <c r="AD42" s="281">
        <v>0.79166666666666663</v>
      </c>
      <c r="AE42" s="283">
        <v>0.79166666666666663</v>
      </c>
      <c r="AF42" s="118"/>
      <c r="AG42" s="119"/>
      <c r="AH42" s="119"/>
      <c r="AI42" s="119"/>
      <c r="AJ42" s="119"/>
      <c r="AK42" s="119"/>
      <c r="AL42" s="119"/>
      <c r="AM42" s="119"/>
      <c r="AN42" s="119"/>
      <c r="AO42" s="119"/>
      <c r="AP42" s="119" t="str">
        <f>"    " &amp; TEXT(AE42,"#0.00%") &amp; " " &amp; "시스템 설계" &amp; " " &amp; IF(P42="","",TEXT(P42,"M/D-")) &amp; IF(Q42="","",TEXT(Q42,"M/D")) &amp; " "</f>
        <v xml:space="preserve">    79.17% 시스템 설계 7/6-9/18 </v>
      </c>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row>
    <row r="43" spans="1:85" ht="12" customHeight="1" outlineLevel="3">
      <c r="A43" s="101"/>
      <c r="B43" s="101"/>
      <c r="C43" s="101">
        <v>4</v>
      </c>
      <c r="D43" s="116" t="s">
        <v>114</v>
      </c>
      <c r="E43" s="102"/>
      <c r="F43" s="102"/>
      <c r="G43" s="102"/>
      <c r="H43" s="289" t="s">
        <v>115</v>
      </c>
      <c r="I43" s="289"/>
      <c r="J43" s="289"/>
      <c r="K43" s="289"/>
      <c r="L43" s="289"/>
      <c r="M43" s="289"/>
      <c r="N43" s="289"/>
      <c r="O43" s="290"/>
      <c r="P43" s="291">
        <v>46209</v>
      </c>
      <c r="Q43" s="291">
        <v>46234</v>
      </c>
      <c r="R43" s="102"/>
      <c r="S43" s="104">
        <v>19</v>
      </c>
      <c r="T43" s="104">
        <v>19</v>
      </c>
      <c r="U43" s="104">
        <v>19</v>
      </c>
      <c r="V43" s="104">
        <v>19</v>
      </c>
      <c r="W43" s="103">
        <v>46107</v>
      </c>
      <c r="X43" s="103">
        <v>46120</v>
      </c>
      <c r="Y43" s="105">
        <v>10</v>
      </c>
      <c r="Z43" s="106">
        <v>10</v>
      </c>
      <c r="AA43" s="104">
        <v>1</v>
      </c>
      <c r="AB43" s="102"/>
      <c r="AC43" s="102"/>
      <c r="AD43" s="281">
        <v>1</v>
      </c>
      <c r="AE43" s="282">
        <v>1</v>
      </c>
      <c r="AF43" s="118"/>
      <c r="AG43" s="119"/>
      <c r="AH43" s="119"/>
      <c r="AI43" s="119"/>
      <c r="AJ43" s="119"/>
      <c r="AK43" s="119" t="str">
        <f>"      " &amp; TEXT(AE43,"#0.00%") &amp; " " &amp; "Architecture설계" &amp; " " &amp; IF(P43="","",TEXT(P43,"M/D-")) &amp; IF(Q43="","",TEXT(Q43,"M/D")) &amp; " "</f>
        <v xml:space="preserve">      100.00% Architecture설계 7/6-7/31 </v>
      </c>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row>
    <row r="44" spans="1:85" ht="12" customHeight="1" outlineLevel="3">
      <c r="A44" s="101"/>
      <c r="B44" s="101"/>
      <c r="C44" s="101">
        <v>4</v>
      </c>
      <c r="D44" s="116" t="s">
        <v>116</v>
      </c>
      <c r="E44" s="102"/>
      <c r="F44" s="102"/>
      <c r="G44" s="102"/>
      <c r="H44" s="289" t="s">
        <v>117</v>
      </c>
      <c r="I44" s="289"/>
      <c r="J44" s="289"/>
      <c r="K44" s="289"/>
      <c r="L44" s="289"/>
      <c r="M44" s="289"/>
      <c r="N44" s="289"/>
      <c r="O44" s="290"/>
      <c r="P44" s="291">
        <v>46279</v>
      </c>
      <c r="Q44" s="291">
        <v>46283</v>
      </c>
      <c r="R44" s="102"/>
      <c r="S44" s="104">
        <v>5</v>
      </c>
      <c r="T44" s="104">
        <v>0</v>
      </c>
      <c r="U44" s="104">
        <v>5</v>
      </c>
      <c r="V44" s="104">
        <v>0</v>
      </c>
      <c r="W44" s="103">
        <v>46114</v>
      </c>
      <c r="X44" s="103">
        <v>46125</v>
      </c>
      <c r="Y44" s="105">
        <v>8</v>
      </c>
      <c r="Z44" s="106">
        <v>8</v>
      </c>
      <c r="AA44" s="104">
        <v>1</v>
      </c>
      <c r="AB44" s="102"/>
      <c r="AC44" s="102"/>
      <c r="AD44" s="281">
        <v>0</v>
      </c>
      <c r="AE44" s="282">
        <v>0</v>
      </c>
      <c r="AF44" s="118"/>
      <c r="AG44" s="119"/>
      <c r="AH44" s="119"/>
      <c r="AI44" s="119"/>
      <c r="AJ44" s="119"/>
      <c r="AK44" s="119"/>
      <c r="AL44" s="119"/>
      <c r="AM44" s="119"/>
      <c r="AN44" s="119"/>
      <c r="AO44" s="119"/>
      <c r="AP44" s="119"/>
      <c r="AQ44" s="119"/>
      <c r="AR44" s="119" t="str">
        <f>" " &amp; TEXT(AE44,"#0.00%") &amp; " " &amp; "데이터베이스설계" &amp; " " &amp; IF(P44="","",TEXT(P44,"M/D-")) &amp; IF(Q44="","",TEXT(Q44,"M/D")) &amp; " "</f>
        <v xml:space="preserve"> 0.00% 데이터베이스설계 9/14-9/18 </v>
      </c>
      <c r="AS44" s="119"/>
      <c r="AT44" s="119"/>
      <c r="AU44" s="119"/>
      <c r="AV44" s="119"/>
      <c r="AW44" s="119"/>
      <c r="AX44" s="119"/>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row>
    <row r="45" spans="1:85" ht="12" customHeight="1" outlineLevel="2">
      <c r="A45" s="101"/>
      <c r="B45" s="101" t="s">
        <v>36</v>
      </c>
      <c r="C45" s="101">
        <v>3</v>
      </c>
      <c r="D45" s="116" t="s">
        <v>118</v>
      </c>
      <c r="E45" s="102"/>
      <c r="F45" s="102"/>
      <c r="G45" s="102" t="s">
        <v>119</v>
      </c>
      <c r="H45" s="289"/>
      <c r="I45" s="289"/>
      <c r="J45" s="289"/>
      <c r="K45" s="289"/>
      <c r="L45" s="289"/>
      <c r="M45" s="289"/>
      <c r="N45" s="289"/>
      <c r="O45" s="290"/>
      <c r="P45" s="291">
        <v>46279</v>
      </c>
      <c r="Q45" s="291">
        <v>46374</v>
      </c>
      <c r="R45" s="102"/>
      <c r="S45" s="104">
        <v>337</v>
      </c>
      <c r="T45" s="104">
        <v>0</v>
      </c>
      <c r="U45" s="104">
        <v>66</v>
      </c>
      <c r="V45" s="104">
        <v>0</v>
      </c>
      <c r="W45" s="103"/>
      <c r="X45" s="103"/>
      <c r="Y45" s="105">
        <v>0</v>
      </c>
      <c r="Z45" s="106">
        <v>0</v>
      </c>
      <c r="AA45" s="104"/>
      <c r="AB45" s="102"/>
      <c r="AC45" s="102"/>
      <c r="AD45" s="281">
        <v>0</v>
      </c>
      <c r="AE45" s="283">
        <v>0</v>
      </c>
      <c r="AF45" s="118"/>
      <c r="AG45" s="119"/>
      <c r="AH45" s="119"/>
      <c r="AI45" s="119"/>
      <c r="AJ45" s="119"/>
      <c r="AK45" s="119"/>
      <c r="AL45" s="119"/>
      <c r="AM45" s="119"/>
      <c r="AN45" s="119"/>
      <c r="AO45" s="119"/>
      <c r="AP45" s="119"/>
      <c r="AQ45" s="119"/>
      <c r="AR45" s="119" t="str">
        <f>" " &amp; TEXT(AE45,"#0.00%") &amp; " "</f>
        <v xml:space="preserve"> 0.00% </v>
      </c>
      <c r="AS45" s="119"/>
      <c r="AT45" s="119"/>
      <c r="AU45" s="119"/>
      <c r="AV45" s="119"/>
      <c r="AW45" s="119"/>
      <c r="AX45" s="119"/>
      <c r="AY45" s="119"/>
      <c r="AZ45" s="119"/>
      <c r="BA45" s="119"/>
      <c r="BB45" s="119"/>
      <c r="BC45" s="119"/>
      <c r="BD45" s="119"/>
      <c r="BE45" s="119" t="str">
        <f>"      " &amp; "프로세스 설계" &amp; " " &amp; IF(P45="","",TEXT(P45,"M/D-")) &amp; IF(Q45="","",TEXT(Q45,"M/D")) &amp; " "</f>
        <v xml:space="preserve">      프로세스 설계 9/14-12/18 </v>
      </c>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row>
    <row r="46" spans="1:85" ht="12" customHeight="1" outlineLevel="3">
      <c r="A46" s="101"/>
      <c r="B46" s="101"/>
      <c r="C46" s="101">
        <v>4</v>
      </c>
      <c r="D46" s="116" t="s">
        <v>120</v>
      </c>
      <c r="E46" s="102"/>
      <c r="F46" s="102"/>
      <c r="G46" s="102"/>
      <c r="H46" s="289" t="s">
        <v>121</v>
      </c>
      <c r="I46" s="289"/>
      <c r="J46" s="289"/>
      <c r="K46" s="289"/>
      <c r="L46" s="289"/>
      <c r="M46" s="289"/>
      <c r="N46" s="289"/>
      <c r="O46" s="290"/>
      <c r="P46" s="291">
        <v>46279</v>
      </c>
      <c r="Q46" s="291">
        <v>46374</v>
      </c>
      <c r="R46" s="102"/>
      <c r="S46" s="104">
        <v>66</v>
      </c>
      <c r="T46" s="104">
        <v>0</v>
      </c>
      <c r="U46" s="104">
        <v>66</v>
      </c>
      <c r="V46" s="104">
        <v>0</v>
      </c>
      <c r="W46" s="103"/>
      <c r="X46" s="103"/>
      <c r="Y46" s="105"/>
      <c r="Z46" s="106">
        <v>0</v>
      </c>
      <c r="AA46" s="104"/>
      <c r="AB46" s="102"/>
      <c r="AC46" s="102"/>
      <c r="AD46" s="281">
        <v>0</v>
      </c>
      <c r="AE46" s="282">
        <v>0</v>
      </c>
      <c r="AF46" s="118"/>
      <c r="AG46" s="119"/>
      <c r="AH46" s="119"/>
      <c r="AI46" s="119"/>
      <c r="AJ46" s="119"/>
      <c r="AK46" s="119"/>
      <c r="AL46" s="119"/>
      <c r="AM46" s="119"/>
      <c r="AN46" s="119"/>
      <c r="AO46" s="119"/>
      <c r="AP46" s="119"/>
      <c r="AQ46" s="119"/>
      <c r="AR46" s="119" t="str">
        <f>" " &amp; TEXT(AE46,"#0.00%") &amp; " "</f>
        <v xml:space="preserve"> 0.00% </v>
      </c>
      <c r="AS46" s="119"/>
      <c r="AT46" s="119"/>
      <c r="AU46" s="119"/>
      <c r="AV46" s="119"/>
      <c r="AW46" s="119"/>
      <c r="AX46" s="119"/>
      <c r="AY46" s="119"/>
      <c r="AZ46" s="119"/>
      <c r="BA46" s="119"/>
      <c r="BB46" s="119"/>
      <c r="BC46" s="119"/>
      <c r="BD46" s="119"/>
      <c r="BE46" s="119" t="str">
        <f>"      " &amp; "APP 기본 기능 설계" &amp; " " &amp; IF(P46="","",TEXT(P46,"M/D-")) &amp; IF(Q46="","",TEXT(Q46,"M/D")) &amp; " "</f>
        <v xml:space="preserve">      APP 기본 기능 설계 9/14-12/18 </v>
      </c>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row>
    <row r="47" spans="1:85" ht="12" customHeight="1" outlineLevel="3">
      <c r="A47" s="101"/>
      <c r="B47" s="101"/>
      <c r="C47" s="101">
        <v>4</v>
      </c>
      <c r="D47" s="116" t="s">
        <v>122</v>
      </c>
      <c r="E47" s="102"/>
      <c r="F47" s="102"/>
      <c r="G47" s="102"/>
      <c r="H47" s="289" t="s">
        <v>123</v>
      </c>
      <c r="I47" s="289"/>
      <c r="J47" s="289"/>
      <c r="K47" s="289"/>
      <c r="L47" s="289"/>
      <c r="M47" s="289"/>
      <c r="N47" s="289"/>
      <c r="O47" s="290"/>
      <c r="P47" s="291">
        <v>46279</v>
      </c>
      <c r="Q47" s="291">
        <v>46374</v>
      </c>
      <c r="R47" s="102"/>
      <c r="S47" s="104">
        <v>66</v>
      </c>
      <c r="T47" s="104">
        <v>0</v>
      </c>
      <c r="U47" s="104">
        <v>66</v>
      </c>
      <c r="V47" s="104">
        <v>0</v>
      </c>
      <c r="W47" s="103"/>
      <c r="X47" s="103"/>
      <c r="Y47" s="105"/>
      <c r="Z47" s="106">
        <v>0</v>
      </c>
      <c r="AA47" s="104"/>
      <c r="AB47" s="102"/>
      <c r="AC47" s="102"/>
      <c r="AD47" s="281">
        <v>0</v>
      </c>
      <c r="AE47" s="282">
        <v>0</v>
      </c>
      <c r="AF47" s="118"/>
      <c r="AG47" s="119"/>
      <c r="AH47" s="119"/>
      <c r="AI47" s="119"/>
      <c r="AJ47" s="119"/>
      <c r="AK47" s="119"/>
      <c r="AL47" s="119"/>
      <c r="AM47" s="119"/>
      <c r="AN47" s="119"/>
      <c r="AO47" s="119"/>
      <c r="AP47" s="119"/>
      <c r="AQ47" s="119"/>
      <c r="AR47" s="119" t="str">
        <f>" " &amp; TEXT(AE47,"#0.00%") &amp; " "</f>
        <v xml:space="preserve"> 0.00% </v>
      </c>
      <c r="AS47" s="119"/>
      <c r="AT47" s="119"/>
      <c r="AU47" s="119"/>
      <c r="AV47" s="119"/>
      <c r="AW47" s="119"/>
      <c r="AX47" s="119"/>
      <c r="AY47" s="119"/>
      <c r="AZ47" s="119"/>
      <c r="BA47" s="119"/>
      <c r="BB47" s="119"/>
      <c r="BC47" s="119"/>
      <c r="BD47" s="119"/>
      <c r="BE47" s="119" t="str">
        <f>"      " &amp; "교통약자 도보 내비게이션 기능 설계" &amp; " " &amp; IF(P47="","",TEXT(P47,"M/D-")) &amp; IF(Q47="","",TEXT(Q47,"M/D")) &amp; " "</f>
        <v xml:space="preserve">      교통약자 도보 내비게이션 기능 설계 9/14-12/18 </v>
      </c>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c r="CB47" s="119"/>
      <c r="CC47" s="119"/>
      <c r="CD47" s="119"/>
      <c r="CE47" s="119"/>
      <c r="CF47" s="119"/>
      <c r="CG47" s="119"/>
    </row>
    <row r="48" spans="1:85" ht="12" customHeight="1" outlineLevel="3">
      <c r="A48" s="101"/>
      <c r="B48" s="101"/>
      <c r="C48" s="101">
        <v>4</v>
      </c>
      <c r="D48" s="116" t="s">
        <v>124</v>
      </c>
      <c r="E48" s="102"/>
      <c r="F48" s="102"/>
      <c r="G48" s="102"/>
      <c r="H48" s="289" t="s">
        <v>125</v>
      </c>
      <c r="I48" s="289"/>
      <c r="J48" s="289"/>
      <c r="K48" s="289"/>
      <c r="L48" s="289"/>
      <c r="M48" s="289"/>
      <c r="N48" s="289"/>
      <c r="O48" s="290"/>
      <c r="P48" s="291">
        <v>46279</v>
      </c>
      <c r="Q48" s="291">
        <v>46374</v>
      </c>
      <c r="R48" s="102"/>
      <c r="S48" s="104">
        <v>66</v>
      </c>
      <c r="T48" s="104">
        <v>0</v>
      </c>
      <c r="U48" s="104">
        <v>66</v>
      </c>
      <c r="V48" s="104">
        <v>0</v>
      </c>
      <c r="W48" s="103"/>
      <c r="X48" s="103"/>
      <c r="Y48" s="105"/>
      <c r="Z48" s="106">
        <v>0</v>
      </c>
      <c r="AA48" s="104"/>
      <c r="AB48" s="102"/>
      <c r="AC48" s="102"/>
      <c r="AD48" s="281">
        <v>0</v>
      </c>
      <c r="AE48" s="282">
        <v>0</v>
      </c>
      <c r="AF48" s="118"/>
      <c r="AG48" s="119"/>
      <c r="AH48" s="119"/>
      <c r="AI48" s="119"/>
      <c r="AJ48" s="119"/>
      <c r="AK48" s="119"/>
      <c r="AL48" s="119"/>
      <c r="AM48" s="119"/>
      <c r="AN48" s="119"/>
      <c r="AO48" s="119"/>
      <c r="AP48" s="119"/>
      <c r="AQ48" s="119"/>
      <c r="AR48" s="119" t="str">
        <f>" " &amp; TEXT(AE48,"#0.00%") &amp; " "</f>
        <v xml:space="preserve"> 0.00% </v>
      </c>
      <c r="AS48" s="119"/>
      <c r="AT48" s="119"/>
      <c r="AU48" s="119"/>
      <c r="AV48" s="119"/>
      <c r="AW48" s="119"/>
      <c r="AX48" s="119"/>
      <c r="AY48" s="119"/>
      <c r="AZ48" s="119"/>
      <c r="BA48" s="119"/>
      <c r="BB48" s="119"/>
      <c r="BC48" s="119"/>
      <c r="BD48" s="119"/>
      <c r="BE48" s="119" t="str">
        <f>"      " &amp; "대중교통 정보 안내 UI 기능 설계" &amp; " " &amp; IF(P48="","",TEXT(P48,"M/D-")) &amp; IF(Q48="","",TEXT(Q48,"M/D")) &amp; " "</f>
        <v xml:space="preserve">      대중교통 정보 안내 UI 기능 설계 9/14-12/18 </v>
      </c>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row>
    <row r="49" spans="1:85" ht="12" customHeight="1" outlineLevel="3">
      <c r="A49" s="101"/>
      <c r="B49" s="101"/>
      <c r="C49" s="101">
        <v>4</v>
      </c>
      <c r="D49" s="116" t="s">
        <v>126</v>
      </c>
      <c r="E49" s="102"/>
      <c r="F49" s="102"/>
      <c r="G49" s="102"/>
      <c r="H49" s="289" t="s">
        <v>127</v>
      </c>
      <c r="I49" s="289"/>
      <c r="J49" s="289"/>
      <c r="K49" s="289"/>
      <c r="L49" s="289"/>
      <c r="M49" s="289"/>
      <c r="N49" s="289"/>
      <c r="O49" s="290"/>
      <c r="P49" s="291">
        <v>46279</v>
      </c>
      <c r="Q49" s="291">
        <v>46374</v>
      </c>
      <c r="R49" s="102"/>
      <c r="S49" s="104">
        <v>66</v>
      </c>
      <c r="T49" s="104">
        <v>0</v>
      </c>
      <c r="U49" s="104">
        <v>66</v>
      </c>
      <c r="V49" s="104">
        <v>0</v>
      </c>
      <c r="W49" s="103"/>
      <c r="X49" s="103"/>
      <c r="Y49" s="105"/>
      <c r="Z49" s="106">
        <v>0</v>
      </c>
      <c r="AA49" s="104"/>
      <c r="AB49" s="102"/>
      <c r="AC49" s="102"/>
      <c r="AD49" s="281">
        <v>0</v>
      </c>
      <c r="AE49" s="282">
        <v>0</v>
      </c>
      <c r="AF49" s="118"/>
      <c r="AG49" s="119"/>
      <c r="AH49" s="119"/>
      <c r="AI49" s="119"/>
      <c r="AJ49" s="119"/>
      <c r="AK49" s="119"/>
      <c r="AL49" s="119"/>
      <c r="AM49" s="119"/>
      <c r="AN49" s="119"/>
      <c r="AO49" s="119"/>
      <c r="AP49" s="119"/>
      <c r="AQ49" s="119"/>
      <c r="AR49" s="119" t="str">
        <f>" " &amp; TEXT(AE49,"#0.00%") &amp; " "</f>
        <v xml:space="preserve"> 0.00% </v>
      </c>
      <c r="AS49" s="119"/>
      <c r="AT49" s="119"/>
      <c r="AU49" s="119"/>
      <c r="AV49" s="119"/>
      <c r="AW49" s="119"/>
      <c r="AX49" s="119"/>
      <c r="AY49" s="119"/>
      <c r="AZ49" s="119"/>
      <c r="BA49" s="119"/>
      <c r="BB49" s="119"/>
      <c r="BC49" s="119"/>
      <c r="BD49" s="119"/>
      <c r="BE49" s="119" t="str">
        <f>"      " &amp; "지하철 실내 내비게이션 기능 설계" &amp; " " &amp; IF(P49="","",TEXT(P49,"M/D-")) &amp; IF(Q49="","",TEXT(Q49,"M/D")) &amp; " "</f>
        <v xml:space="preserve">      지하철 실내 내비게이션 기능 설계 9/14-12/18 </v>
      </c>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row>
    <row r="50" spans="1:85" ht="12" customHeight="1" outlineLevel="3">
      <c r="A50" s="101"/>
      <c r="B50" s="101"/>
      <c r="C50" s="101">
        <v>4</v>
      </c>
      <c r="D50" s="116" t="s">
        <v>128</v>
      </c>
      <c r="E50" s="102"/>
      <c r="F50" s="102"/>
      <c r="G50" s="102"/>
      <c r="H50" s="289" t="s">
        <v>129</v>
      </c>
      <c r="I50" s="289"/>
      <c r="J50" s="289"/>
      <c r="K50" s="289"/>
      <c r="L50" s="289"/>
      <c r="M50" s="289"/>
      <c r="N50" s="289"/>
      <c r="O50" s="290"/>
      <c r="P50" s="291">
        <v>46293</v>
      </c>
      <c r="Q50" s="291">
        <v>46374</v>
      </c>
      <c r="R50" s="102"/>
      <c r="S50" s="104">
        <v>58</v>
      </c>
      <c r="T50" s="104">
        <v>0</v>
      </c>
      <c r="U50" s="104">
        <v>58</v>
      </c>
      <c r="V50" s="104">
        <v>0</v>
      </c>
      <c r="W50" s="103"/>
      <c r="X50" s="103"/>
      <c r="Y50" s="105"/>
      <c r="Z50" s="106">
        <v>0</v>
      </c>
      <c r="AA50" s="104"/>
      <c r="AB50" s="102"/>
      <c r="AC50" s="102"/>
      <c r="AD50" s="281">
        <v>0</v>
      </c>
      <c r="AE50" s="282">
        <v>0</v>
      </c>
      <c r="AF50" s="118"/>
      <c r="AG50" s="119"/>
      <c r="AH50" s="119"/>
      <c r="AI50" s="119"/>
      <c r="AJ50" s="119"/>
      <c r="AK50" s="119"/>
      <c r="AL50" s="119"/>
      <c r="AM50" s="119"/>
      <c r="AN50" s="119"/>
      <c r="AO50" s="119"/>
      <c r="AP50" s="119"/>
      <c r="AQ50" s="119"/>
      <c r="AR50" s="119"/>
      <c r="AS50" s="119"/>
      <c r="AT50" s="119" t="str">
        <f>" " &amp; TEXT(AE50,"#0.00%") &amp; " "</f>
        <v xml:space="preserve"> 0.00% </v>
      </c>
      <c r="AU50" s="119"/>
      <c r="AV50" s="119"/>
      <c r="AW50" s="119"/>
      <c r="AX50" s="119"/>
      <c r="AY50" s="119"/>
      <c r="AZ50" s="119"/>
      <c r="BA50" s="119"/>
      <c r="BB50" s="119"/>
      <c r="BC50" s="119"/>
      <c r="BD50" s="119"/>
      <c r="BE50" s="119" t="str">
        <f>"      " &amp; "관리자페이지 UI 기능 설계" &amp; " " &amp; IF(P50="","",TEXT(P50,"M/D-")) &amp; IF(Q50="","",TEXT(Q50,"M/D")) &amp; " "</f>
        <v xml:space="preserve">      관리자페이지 UI 기능 설계 9/28-12/18 </v>
      </c>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row>
    <row r="51" spans="1:85" ht="12" customHeight="1" outlineLevel="3">
      <c r="A51" s="101"/>
      <c r="B51" s="101"/>
      <c r="C51" s="101">
        <v>4</v>
      </c>
      <c r="D51" s="116" t="s">
        <v>130</v>
      </c>
      <c r="E51" s="102"/>
      <c r="F51" s="102"/>
      <c r="G51" s="102"/>
      <c r="H51" s="289" t="s">
        <v>131</v>
      </c>
      <c r="I51" s="289"/>
      <c r="J51" s="289"/>
      <c r="K51" s="289"/>
      <c r="L51" s="289"/>
      <c r="M51" s="289"/>
      <c r="N51" s="289"/>
      <c r="O51" s="290" t="s">
        <v>132</v>
      </c>
      <c r="P51" s="291">
        <v>46356</v>
      </c>
      <c r="Q51" s="291">
        <v>46374</v>
      </c>
      <c r="R51" s="102"/>
      <c r="S51" s="104">
        <v>15</v>
      </c>
      <c r="T51" s="104">
        <v>0</v>
      </c>
      <c r="U51" s="104">
        <v>15</v>
      </c>
      <c r="V51" s="104">
        <v>0</v>
      </c>
      <c r="W51" s="103"/>
      <c r="X51" s="103"/>
      <c r="Y51" s="105"/>
      <c r="Z51" s="106">
        <v>0</v>
      </c>
      <c r="AA51" s="104"/>
      <c r="AB51" s="102"/>
      <c r="AC51" s="102"/>
      <c r="AD51" s="281">
        <v>0</v>
      </c>
      <c r="AE51" s="282">
        <v>0</v>
      </c>
      <c r="AF51" s="118"/>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t="str">
        <f>" " &amp; TEXT(AE51,"#0.00%") &amp; " " &amp; "버스 예약, 승차 및 하차 안내 기능 설계" &amp; " " &amp; IF(P51="","",TEXT(P51,"M/D-")) &amp; IF(Q51="","",TEXT(Q51,"M/D")) &amp; " "</f>
        <v xml:space="preserve"> 0.00% 버스 예약, 승차 및 하차 안내 기능 설계 11/30-12/18 </v>
      </c>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row>
    <row r="52" spans="1:85" ht="12" customHeight="1" outlineLevel="2">
      <c r="A52" s="101"/>
      <c r="B52" s="101"/>
      <c r="C52" s="101">
        <v>3</v>
      </c>
      <c r="D52" s="116" t="s">
        <v>133</v>
      </c>
      <c r="E52" s="102"/>
      <c r="F52" s="102"/>
      <c r="G52" s="102" t="s">
        <v>134</v>
      </c>
      <c r="H52" s="289"/>
      <c r="I52" s="289"/>
      <c r="J52" s="289"/>
      <c r="K52" s="289"/>
      <c r="L52" s="289"/>
      <c r="M52" s="289"/>
      <c r="N52" s="289"/>
      <c r="O52" s="290"/>
      <c r="P52" s="291">
        <v>46279</v>
      </c>
      <c r="Q52" s="291">
        <v>46290</v>
      </c>
      <c r="R52" s="102"/>
      <c r="S52" s="104">
        <v>8</v>
      </c>
      <c r="T52" s="104">
        <v>0</v>
      </c>
      <c r="U52" s="104">
        <v>8</v>
      </c>
      <c r="V52" s="104">
        <v>0</v>
      </c>
      <c r="W52" s="103"/>
      <c r="X52" s="103"/>
      <c r="Y52" s="105"/>
      <c r="Z52" s="106">
        <v>0</v>
      </c>
      <c r="AA52" s="104">
        <v>1</v>
      </c>
      <c r="AB52" s="102"/>
      <c r="AC52" s="102"/>
      <c r="AD52" s="281">
        <v>0</v>
      </c>
      <c r="AE52" s="282">
        <v>0</v>
      </c>
      <c r="AF52" s="118"/>
      <c r="AG52" s="119"/>
      <c r="AH52" s="119"/>
      <c r="AI52" s="119"/>
      <c r="AJ52" s="119"/>
      <c r="AK52" s="119"/>
      <c r="AL52" s="119"/>
      <c r="AM52" s="119"/>
      <c r="AN52" s="119"/>
      <c r="AO52" s="119"/>
      <c r="AP52" s="119"/>
      <c r="AQ52" s="119"/>
      <c r="AR52" s="119" t="str">
        <f>" " &amp; TEXT(AE52,"#0.00%") &amp; " " &amp; "테스트 설계" &amp; " " &amp; IF(P52="","",TEXT(P52,"M/D-")) &amp; IF(Q52="","",TEXT(Q52,"M/D")) &amp; " "</f>
        <v xml:space="preserve"> 0.00% 테스트 설계 9/14-9/25 </v>
      </c>
      <c r="AS52" s="119"/>
      <c r="AT52" s="119"/>
      <c r="AU52" s="119"/>
      <c r="AV52" s="119"/>
      <c r="AW52" s="119"/>
      <c r="AX52" s="119"/>
      <c r="AY52" s="119"/>
      <c r="AZ52" s="119"/>
      <c r="BA52" s="119"/>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row>
    <row r="53" spans="1:85" ht="12" customHeight="1" outlineLevel="1">
      <c r="A53" s="101"/>
      <c r="B53" s="101" t="s">
        <v>36</v>
      </c>
      <c r="C53" s="101">
        <v>2</v>
      </c>
      <c r="D53" s="116" t="s">
        <v>135</v>
      </c>
      <c r="E53" s="102"/>
      <c r="F53" s="102" t="s">
        <v>136</v>
      </c>
      <c r="G53" s="102"/>
      <c r="H53" s="289"/>
      <c r="I53" s="289"/>
      <c r="J53" s="289"/>
      <c r="K53" s="289"/>
      <c r="L53" s="289"/>
      <c r="M53" s="289"/>
      <c r="N53" s="289"/>
      <c r="O53" s="290"/>
      <c r="P53" s="291">
        <v>46293</v>
      </c>
      <c r="Q53" s="291">
        <v>46416</v>
      </c>
      <c r="R53" s="102"/>
      <c r="S53" s="104">
        <v>614</v>
      </c>
      <c r="T53" s="104">
        <v>0</v>
      </c>
      <c r="U53" s="104">
        <v>86</v>
      </c>
      <c r="V53" s="104">
        <v>0</v>
      </c>
      <c r="W53" s="103"/>
      <c r="X53" s="103"/>
      <c r="Y53" s="105">
        <v>0</v>
      </c>
      <c r="Z53" s="106">
        <v>0</v>
      </c>
      <c r="AA53" s="104"/>
      <c r="AB53" s="102"/>
      <c r="AC53" s="102"/>
      <c r="AD53" s="281">
        <v>0</v>
      </c>
      <c r="AE53" s="283">
        <v>0</v>
      </c>
      <c r="AF53" s="118"/>
      <c r="AG53" s="119"/>
      <c r="AH53" s="119"/>
      <c r="AI53" s="119"/>
      <c r="AJ53" s="119"/>
      <c r="AK53" s="119"/>
      <c r="AL53" s="119"/>
      <c r="AM53" s="119"/>
      <c r="AN53" s="119"/>
      <c r="AO53" s="119"/>
      <c r="AP53" s="119"/>
      <c r="AQ53" s="119"/>
      <c r="AR53" s="119"/>
      <c r="AS53" s="119"/>
      <c r="AT53" s="119" t="str">
        <f>" " &amp; TEXT(AE53,"#0.00%") &amp; " "</f>
        <v xml:space="preserve"> 0.00% </v>
      </c>
      <c r="AU53" s="119"/>
      <c r="AV53" s="119"/>
      <c r="AW53" s="119"/>
      <c r="AX53" s="119"/>
      <c r="AY53" s="119"/>
      <c r="AZ53" s="119"/>
      <c r="BA53" s="119"/>
      <c r="BB53" s="119"/>
      <c r="BC53" s="119"/>
      <c r="BD53" s="119"/>
      <c r="BE53" s="119"/>
      <c r="BF53" s="119"/>
      <c r="BG53" s="119"/>
      <c r="BH53" s="119"/>
      <c r="BI53" s="119"/>
      <c r="BJ53" s="119"/>
      <c r="BK53" s="119" t="str">
        <f>"      " &amp; "개발" &amp; " " &amp; IF(P53="","",TEXT(P53,"M/D-")) &amp; IF(Q53="","",TEXT(Q53,"M/D")) &amp; " "</f>
        <v xml:space="preserve">      개발 9/28-1/29 </v>
      </c>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row>
    <row r="54" spans="1:85" ht="12" customHeight="1" outlineLevel="2">
      <c r="A54" s="101"/>
      <c r="B54" s="101" t="s">
        <v>36</v>
      </c>
      <c r="C54" s="101">
        <v>3</v>
      </c>
      <c r="D54" s="116" t="s">
        <v>137</v>
      </c>
      <c r="E54" s="102"/>
      <c r="F54" s="102"/>
      <c r="G54" s="102" t="s">
        <v>138</v>
      </c>
      <c r="H54" s="289"/>
      <c r="I54" s="289"/>
      <c r="J54" s="289"/>
      <c r="K54" s="289"/>
      <c r="L54" s="289"/>
      <c r="M54" s="289"/>
      <c r="N54" s="289"/>
      <c r="O54" s="290"/>
      <c r="P54" s="291">
        <v>46293</v>
      </c>
      <c r="Q54" s="291">
        <v>46374</v>
      </c>
      <c r="R54" s="102"/>
      <c r="S54" s="104">
        <v>590</v>
      </c>
      <c r="T54" s="104">
        <v>0</v>
      </c>
      <c r="U54" s="104">
        <v>58</v>
      </c>
      <c r="V54" s="104">
        <v>0</v>
      </c>
      <c r="W54" s="103"/>
      <c r="X54" s="103"/>
      <c r="Y54" s="105">
        <v>0</v>
      </c>
      <c r="Z54" s="106">
        <v>0</v>
      </c>
      <c r="AA54" s="104"/>
      <c r="AB54" s="102"/>
      <c r="AC54" s="102"/>
      <c r="AD54" s="281">
        <v>0</v>
      </c>
      <c r="AE54" s="283">
        <v>0</v>
      </c>
      <c r="AF54" s="118"/>
      <c r="AG54" s="119"/>
      <c r="AH54" s="119"/>
      <c r="AI54" s="119"/>
      <c r="AJ54" s="119"/>
      <c r="AK54" s="119"/>
      <c r="AL54" s="119"/>
      <c r="AM54" s="119"/>
      <c r="AN54" s="119"/>
      <c r="AO54" s="119"/>
      <c r="AP54" s="119"/>
      <c r="AQ54" s="119"/>
      <c r="AR54" s="119"/>
      <c r="AS54" s="119"/>
      <c r="AT54" s="119" t="str">
        <f>" " &amp; TEXT(AE54,"#0.00%") &amp; " "</f>
        <v xml:space="preserve"> 0.00% </v>
      </c>
      <c r="AU54" s="119"/>
      <c r="AV54" s="119"/>
      <c r="AW54" s="119"/>
      <c r="AX54" s="119"/>
      <c r="AY54" s="119"/>
      <c r="AZ54" s="119"/>
      <c r="BA54" s="119"/>
      <c r="BB54" s="119"/>
      <c r="BC54" s="119"/>
      <c r="BD54" s="119"/>
      <c r="BE54" s="119" t="str">
        <f>"      " &amp; "프로그램 개발" &amp; " " &amp; IF(P54="","",TEXT(P54,"M/D-")) &amp; IF(Q54="","",TEXT(Q54,"M/D")) &amp; " "</f>
        <v xml:space="preserve">      프로그램 개발 9/28-12/18 </v>
      </c>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row>
    <row r="55" spans="1:85" ht="12" customHeight="1" outlineLevel="3">
      <c r="A55" s="101"/>
      <c r="B55" s="101"/>
      <c r="C55" s="101">
        <v>4</v>
      </c>
      <c r="D55" s="116" t="s">
        <v>139</v>
      </c>
      <c r="E55" s="102"/>
      <c r="F55" s="102"/>
      <c r="G55" s="102"/>
      <c r="H55" s="102" t="s">
        <v>140</v>
      </c>
      <c r="I55" s="102"/>
      <c r="J55" s="102"/>
      <c r="K55" s="102"/>
      <c r="L55" s="102"/>
      <c r="M55" s="102"/>
      <c r="N55" s="102"/>
      <c r="O55" s="214"/>
      <c r="P55" s="103">
        <v>46293</v>
      </c>
      <c r="Q55" s="103">
        <v>46297</v>
      </c>
      <c r="R55" s="102"/>
      <c r="S55" s="104">
        <v>5</v>
      </c>
      <c r="T55" s="104">
        <v>0</v>
      </c>
      <c r="U55" s="104">
        <v>5</v>
      </c>
      <c r="V55" s="104">
        <v>0</v>
      </c>
      <c r="W55" s="103"/>
      <c r="X55" s="103"/>
      <c r="Y55" s="105"/>
      <c r="Z55" s="106">
        <v>0</v>
      </c>
      <c r="AA55" s="104">
        <v>1</v>
      </c>
      <c r="AB55" s="102"/>
      <c r="AC55" s="102"/>
      <c r="AD55" s="281">
        <v>0</v>
      </c>
      <c r="AE55" s="282">
        <v>0</v>
      </c>
      <c r="AF55" s="118"/>
      <c r="AG55" s="119"/>
      <c r="AH55" s="119"/>
      <c r="AI55" s="119"/>
      <c r="AJ55" s="119"/>
      <c r="AK55" s="119"/>
      <c r="AL55" s="119"/>
      <c r="AM55" s="119"/>
      <c r="AN55" s="119"/>
      <c r="AO55" s="119"/>
      <c r="AP55" s="119"/>
      <c r="AQ55" s="119"/>
      <c r="AR55" s="119"/>
      <c r="AS55" s="119"/>
      <c r="AT55" s="119" t="str">
        <f>" " &amp; TEXT(AE55,"#0.00%") &amp; " " &amp; "단위테스트시나리오작성" &amp; " " &amp; IF(P55="","",TEXT(P55,"M/D-")) &amp; IF(Q55="","",TEXT(Q55,"M/D")) &amp; " "</f>
        <v xml:space="preserve"> 0.00% 단위테스트시나리오작성 9/28-10/2 </v>
      </c>
      <c r="AU55" s="119"/>
      <c r="AV55" s="119"/>
      <c r="AW55" s="119"/>
      <c r="AX55" s="119"/>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row>
    <row r="56" spans="1:85" ht="12" customHeight="1" outlineLevel="3">
      <c r="A56" s="101"/>
      <c r="B56" s="101" t="s">
        <v>36</v>
      </c>
      <c r="C56" s="101">
        <v>4</v>
      </c>
      <c r="D56" s="116" t="s">
        <v>141</v>
      </c>
      <c r="E56" s="102"/>
      <c r="F56" s="102"/>
      <c r="G56" s="102"/>
      <c r="H56" s="102" t="s">
        <v>142</v>
      </c>
      <c r="I56" s="102"/>
      <c r="J56" s="102"/>
      <c r="K56" s="102"/>
      <c r="L56" s="102"/>
      <c r="M56" s="102"/>
      <c r="N56" s="102"/>
      <c r="O56" s="214"/>
      <c r="P56" s="103">
        <v>46293</v>
      </c>
      <c r="Q56" s="103">
        <v>46374</v>
      </c>
      <c r="R56" s="102"/>
      <c r="S56" s="104">
        <v>585</v>
      </c>
      <c r="T56" s="104">
        <v>0</v>
      </c>
      <c r="U56" s="104">
        <v>58</v>
      </c>
      <c r="V56" s="104">
        <v>0</v>
      </c>
      <c r="W56" s="103"/>
      <c r="X56" s="103"/>
      <c r="Y56" s="105">
        <v>0</v>
      </c>
      <c r="Z56" s="106">
        <v>0</v>
      </c>
      <c r="AA56" s="104"/>
      <c r="AB56" s="102"/>
      <c r="AC56" s="102"/>
      <c r="AD56" s="281">
        <v>0</v>
      </c>
      <c r="AE56" s="283">
        <v>0</v>
      </c>
      <c r="AF56" s="118"/>
      <c r="AG56" s="119"/>
      <c r="AH56" s="119"/>
      <c r="AI56" s="119"/>
      <c r="AJ56" s="119"/>
      <c r="AK56" s="119"/>
      <c r="AL56" s="119"/>
      <c r="AM56" s="119"/>
      <c r="AN56" s="119"/>
      <c r="AO56" s="119"/>
      <c r="AP56" s="119"/>
      <c r="AQ56" s="119"/>
      <c r="AR56" s="119"/>
      <c r="AS56" s="119"/>
      <c r="AT56" s="119" t="str">
        <f>" " &amp; TEXT(AE56,"#0.00%") &amp; " "</f>
        <v xml:space="preserve"> 0.00% </v>
      </c>
      <c r="AU56" s="119"/>
      <c r="AV56" s="119"/>
      <c r="AW56" s="119"/>
      <c r="AX56" s="119"/>
      <c r="AY56" s="119"/>
      <c r="AZ56" s="119"/>
      <c r="BA56" s="119"/>
      <c r="BB56" s="119"/>
      <c r="BC56" s="119"/>
      <c r="BD56" s="119"/>
      <c r="BE56" s="119" t="str">
        <f>"      " &amp; "프로그램코딩 및 단위테스트" &amp; " " &amp; IF(P56="","",TEXT(P56,"M/D-")) &amp; IF(Q56="","",TEXT(Q56,"M/D")) &amp; " "</f>
        <v xml:space="preserve">      프로그램코딩 및 단위테스트 9/28-12/18 </v>
      </c>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row>
    <row r="57" spans="1:85" ht="12" customHeight="1" outlineLevel="4">
      <c r="A57" s="101"/>
      <c r="B57" s="101" t="s">
        <v>36</v>
      </c>
      <c r="C57" s="101">
        <v>5</v>
      </c>
      <c r="D57" s="116" t="s">
        <v>143</v>
      </c>
      <c r="E57" s="102"/>
      <c r="F57" s="102"/>
      <c r="G57" s="102"/>
      <c r="H57" s="102"/>
      <c r="I57" s="102" t="s">
        <v>121</v>
      </c>
      <c r="J57" s="102"/>
      <c r="K57" s="102"/>
      <c r="L57" s="102"/>
      <c r="M57" s="102"/>
      <c r="N57" s="102"/>
      <c r="O57" s="214"/>
      <c r="P57" s="103">
        <v>46293</v>
      </c>
      <c r="Q57" s="103">
        <v>46374</v>
      </c>
      <c r="R57" s="102"/>
      <c r="S57" s="104">
        <v>111</v>
      </c>
      <c r="T57" s="104">
        <v>0</v>
      </c>
      <c r="U57" s="104">
        <v>58</v>
      </c>
      <c r="V57" s="104">
        <v>0</v>
      </c>
      <c r="W57" s="103"/>
      <c r="X57" s="103"/>
      <c r="Y57" s="105">
        <v>0</v>
      </c>
      <c r="Z57" s="106">
        <v>0</v>
      </c>
      <c r="AA57" s="104"/>
      <c r="AB57" s="102"/>
      <c r="AC57" s="102"/>
      <c r="AD57" s="281">
        <v>0</v>
      </c>
      <c r="AE57" s="283">
        <v>0</v>
      </c>
      <c r="AF57" s="118"/>
      <c r="AG57" s="119"/>
      <c r="AH57" s="119"/>
      <c r="AI57" s="119"/>
      <c r="AJ57" s="119"/>
      <c r="AK57" s="119"/>
      <c r="AL57" s="119"/>
      <c r="AM57" s="119"/>
      <c r="AN57" s="119"/>
      <c r="AO57" s="119"/>
      <c r="AP57" s="119"/>
      <c r="AQ57" s="119"/>
      <c r="AR57" s="119"/>
      <c r="AS57" s="119"/>
      <c r="AT57" s="119" t="str">
        <f>" " &amp; TEXT(AE57,"#0.00%") &amp; " "</f>
        <v xml:space="preserve"> 0.00% </v>
      </c>
      <c r="AU57" s="119"/>
      <c r="AV57" s="119"/>
      <c r="AW57" s="119"/>
      <c r="AX57" s="119"/>
      <c r="AY57" s="119"/>
      <c r="AZ57" s="119"/>
      <c r="BA57" s="119"/>
      <c r="BB57" s="119"/>
      <c r="BC57" s="119"/>
      <c r="BD57" s="119"/>
      <c r="BE57" s="119" t="str">
        <f>"      " &amp; "APP 기본 기능 설계" &amp; " " &amp; IF(P57="","",TEXT(P57,"M/D-")) &amp; IF(Q57="","",TEXT(Q57,"M/D")) &amp; " "</f>
        <v xml:space="preserve">      APP 기본 기능 설계 9/28-12/18 </v>
      </c>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row>
    <row r="58" spans="1:85" ht="12" customHeight="1" outlineLevel="5">
      <c r="A58" s="101"/>
      <c r="B58" s="101" t="s">
        <v>36</v>
      </c>
      <c r="C58" s="101">
        <v>6</v>
      </c>
      <c r="D58" s="116" t="s">
        <v>144</v>
      </c>
      <c r="E58" s="102"/>
      <c r="F58" s="102"/>
      <c r="G58" s="102"/>
      <c r="H58" s="102"/>
      <c r="I58" s="102"/>
      <c r="J58" s="102" t="s">
        <v>145</v>
      </c>
      <c r="K58" s="102"/>
      <c r="L58" s="102"/>
      <c r="M58" s="102"/>
      <c r="N58" s="102"/>
      <c r="O58" s="214"/>
      <c r="P58" s="215">
        <v>46293</v>
      </c>
      <c r="Q58" s="103">
        <v>46374</v>
      </c>
      <c r="R58" s="102"/>
      <c r="S58" s="104">
        <v>58</v>
      </c>
      <c r="T58" s="104">
        <v>0</v>
      </c>
      <c r="U58" s="104">
        <v>58</v>
      </c>
      <c r="V58" s="104">
        <v>0</v>
      </c>
      <c r="W58" s="103"/>
      <c r="X58" s="103"/>
      <c r="Y58" s="105">
        <v>0</v>
      </c>
      <c r="Z58" s="106">
        <v>0</v>
      </c>
      <c r="AA58" s="104"/>
      <c r="AB58" s="102"/>
      <c r="AC58" s="102"/>
      <c r="AD58" s="281">
        <v>0</v>
      </c>
      <c r="AE58" s="283">
        <v>0</v>
      </c>
      <c r="AF58" s="118"/>
      <c r="AG58" s="119"/>
      <c r="AH58" s="119"/>
      <c r="AI58" s="119"/>
      <c r="AJ58" s="119"/>
      <c r="AK58" s="119"/>
      <c r="AL58" s="119"/>
      <c r="AM58" s="119"/>
      <c r="AN58" s="119"/>
      <c r="AO58" s="119"/>
      <c r="AP58" s="119"/>
      <c r="AQ58" s="119"/>
      <c r="AR58" s="119"/>
      <c r="AS58" s="119"/>
      <c r="AT58" s="119" t="str">
        <f>" " &amp; TEXT(AE58,"#0.00%") &amp; " "</f>
        <v xml:space="preserve"> 0.00% </v>
      </c>
      <c r="AU58" s="119"/>
      <c r="AV58" s="119"/>
      <c r="AW58" s="119"/>
      <c r="AX58" s="119"/>
      <c r="AY58" s="119"/>
      <c r="AZ58" s="119"/>
      <c r="BA58" s="119"/>
      <c r="BB58" s="119"/>
      <c r="BC58" s="119"/>
      <c r="BD58" s="119"/>
      <c r="BE58" s="119" t="str">
        <f>"      " &amp; "기능 개발" &amp; " " &amp; IF(P58="","",TEXT(P58,"M/D-")) &amp; IF(Q58="","",TEXT(Q58,"M/D")) &amp; " "</f>
        <v xml:space="preserve">      기능 개발 9/28-12/18 </v>
      </c>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row>
    <row r="59" spans="1:85" ht="12" customHeight="1" outlineLevel="6">
      <c r="A59" s="101"/>
      <c r="B59" s="101"/>
      <c r="C59" s="101">
        <v>7</v>
      </c>
      <c r="D59" s="116" t="s">
        <v>146</v>
      </c>
      <c r="E59" s="102"/>
      <c r="F59" s="102"/>
      <c r="G59" s="102"/>
      <c r="H59" s="102"/>
      <c r="I59" s="102"/>
      <c r="J59" s="102"/>
      <c r="K59" s="102" t="s">
        <v>1818</v>
      </c>
      <c r="L59" s="102"/>
      <c r="M59" s="102"/>
      <c r="N59" s="102"/>
      <c r="O59" s="214"/>
      <c r="P59" s="103">
        <v>46293</v>
      </c>
      <c r="Q59" s="103">
        <v>46310</v>
      </c>
      <c r="R59" s="102"/>
      <c r="S59" s="104">
        <v>12</v>
      </c>
      <c r="T59" s="104">
        <v>0</v>
      </c>
      <c r="U59" s="104">
        <v>12</v>
      </c>
      <c r="V59" s="104">
        <v>0</v>
      </c>
      <c r="W59" s="103"/>
      <c r="X59" s="103"/>
      <c r="Y59" s="105"/>
      <c r="Z59" s="106">
        <v>0</v>
      </c>
      <c r="AA59" s="104">
        <v>1</v>
      </c>
      <c r="AB59" s="102"/>
      <c r="AC59" s="102"/>
      <c r="AD59" s="281">
        <v>0</v>
      </c>
      <c r="AE59" s="282">
        <v>0</v>
      </c>
      <c r="AF59" s="118"/>
      <c r="AG59" s="119"/>
      <c r="AH59" s="119"/>
      <c r="AI59" s="119"/>
      <c r="AJ59" s="119"/>
      <c r="AK59" s="119"/>
      <c r="AL59" s="119"/>
      <c r="AM59" s="119"/>
      <c r="AN59" s="119"/>
      <c r="AO59" s="119"/>
      <c r="AP59" s="119"/>
      <c r="AQ59" s="119"/>
      <c r="AR59" s="119"/>
      <c r="AS59" s="119"/>
      <c r="AT59" s="119" t="str">
        <f>" " &amp; TEXT(AE59,"#0.00%") &amp; " " &amp; "공통 UI 컴포넌트 및 다국어 처리 개발" &amp; " " &amp; IF(P59="","",TEXT(P59,"M/D-")) &amp; IF(Q59="","",TEXT(Q59,"M/D")) &amp; " "</f>
        <v xml:space="preserve"> 0.00% 공통 UI 컴포넌트 및 다국어 처리 개발 9/28-10/15 </v>
      </c>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row>
    <row r="60" spans="1:85" ht="12" customHeight="1" outlineLevel="6">
      <c r="A60" s="101"/>
      <c r="B60" s="101"/>
      <c r="C60" s="101">
        <v>7</v>
      </c>
      <c r="D60" s="116" t="s">
        <v>147</v>
      </c>
      <c r="E60" s="102"/>
      <c r="F60" s="102"/>
      <c r="G60" s="102"/>
      <c r="H60" s="102"/>
      <c r="I60" s="102"/>
      <c r="J60" s="102"/>
      <c r="K60" s="102" t="s">
        <v>1819</v>
      </c>
      <c r="L60" s="102"/>
      <c r="M60" s="102"/>
      <c r="N60" s="102"/>
      <c r="O60" s="214"/>
      <c r="P60" s="103">
        <v>46311</v>
      </c>
      <c r="Q60" s="103">
        <v>46324</v>
      </c>
      <c r="R60" s="102"/>
      <c r="S60" s="104">
        <v>10</v>
      </c>
      <c r="T60" s="104">
        <v>0</v>
      </c>
      <c r="U60" s="104">
        <v>10</v>
      </c>
      <c r="V60" s="104">
        <v>0</v>
      </c>
      <c r="W60" s="103"/>
      <c r="X60" s="103"/>
      <c r="Y60" s="105"/>
      <c r="Z60" s="106">
        <v>0</v>
      </c>
      <c r="AA60" s="104">
        <v>1</v>
      </c>
      <c r="AB60" s="102"/>
      <c r="AC60" s="102"/>
      <c r="AD60" s="281">
        <v>0</v>
      </c>
      <c r="AE60" s="282">
        <v>0</v>
      </c>
      <c r="AF60" s="118"/>
      <c r="AG60" s="119"/>
      <c r="AH60" s="119"/>
      <c r="AI60" s="119"/>
      <c r="AJ60" s="119"/>
      <c r="AK60" s="119"/>
      <c r="AL60" s="119"/>
      <c r="AM60" s="119"/>
      <c r="AN60" s="119"/>
      <c r="AO60" s="119"/>
      <c r="AP60" s="119"/>
      <c r="AQ60" s="119"/>
      <c r="AR60" s="119"/>
      <c r="AS60" s="119"/>
      <c r="AT60" s="119"/>
      <c r="AU60" s="119"/>
      <c r="AV60" s="119" t="str">
        <f>"     " &amp; TEXT(AE60,"#0.00%") &amp; " " &amp; "로그인 및 회원가입 화면 구현" &amp; " " &amp; IF(P60="","",TEXT(P60,"M/D-")) &amp; IF(Q60="","",TEXT(Q60,"M/D")) &amp; " "</f>
        <v xml:space="preserve">     0.00% 로그인 및 회원가입 화면 구현 10/16-10/29 </v>
      </c>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row>
    <row r="61" spans="1:85" ht="12" customHeight="1" outlineLevel="6">
      <c r="A61" s="101"/>
      <c r="B61" s="101"/>
      <c r="C61" s="101">
        <v>7</v>
      </c>
      <c r="D61" s="116" t="s">
        <v>148</v>
      </c>
      <c r="E61" s="102"/>
      <c r="F61" s="102"/>
      <c r="G61" s="102"/>
      <c r="H61" s="102"/>
      <c r="I61" s="102"/>
      <c r="J61" s="102"/>
      <c r="K61" s="102" t="s">
        <v>149</v>
      </c>
      <c r="L61" s="102"/>
      <c r="M61" s="102"/>
      <c r="N61" s="102"/>
      <c r="O61" s="214"/>
      <c r="P61" s="103">
        <v>46325</v>
      </c>
      <c r="Q61" s="103">
        <v>46336</v>
      </c>
      <c r="R61" s="102"/>
      <c r="S61" s="104">
        <v>8</v>
      </c>
      <c r="T61" s="104">
        <v>0</v>
      </c>
      <c r="U61" s="104">
        <v>8</v>
      </c>
      <c r="V61" s="104">
        <v>0</v>
      </c>
      <c r="W61" s="103"/>
      <c r="X61" s="103"/>
      <c r="Y61" s="105"/>
      <c r="Z61" s="106">
        <v>0</v>
      </c>
      <c r="AA61" s="104">
        <v>1</v>
      </c>
      <c r="AB61" s="102"/>
      <c r="AC61" s="102"/>
      <c r="AD61" s="281">
        <v>0</v>
      </c>
      <c r="AE61" s="282">
        <v>0</v>
      </c>
      <c r="AF61" s="118"/>
      <c r="AG61" s="119"/>
      <c r="AH61" s="119"/>
      <c r="AI61" s="119"/>
      <c r="AJ61" s="119"/>
      <c r="AK61" s="119"/>
      <c r="AL61" s="119"/>
      <c r="AM61" s="119"/>
      <c r="AN61" s="119"/>
      <c r="AO61" s="119"/>
      <c r="AP61" s="119"/>
      <c r="AQ61" s="119"/>
      <c r="AR61" s="119"/>
      <c r="AS61" s="119"/>
      <c r="AT61" s="119"/>
      <c r="AU61" s="119"/>
      <c r="AV61" s="119"/>
      <c r="AW61" s="119"/>
      <c r="AX61" s="119" t="str">
        <f>"     " &amp; TEXT(AE61,"#0.00%") &amp; " " &amp; "홈 화면 구현" &amp; " " &amp; IF(P61="","",TEXT(P61,"M/D-")) &amp; IF(Q61="","",TEXT(Q61,"M/D")) &amp; " "</f>
        <v xml:space="preserve">     0.00% 홈 화면 구현 10/30-11/10 </v>
      </c>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row>
    <row r="62" spans="1:85" ht="12" customHeight="1" outlineLevel="6">
      <c r="A62" s="101"/>
      <c r="B62" s="101"/>
      <c r="C62" s="101">
        <v>7</v>
      </c>
      <c r="D62" s="116" t="s">
        <v>150</v>
      </c>
      <c r="E62" s="102"/>
      <c r="F62" s="102"/>
      <c r="G62" s="102"/>
      <c r="H62" s="102"/>
      <c r="I62" s="102"/>
      <c r="J62" s="102"/>
      <c r="K62" s="102" t="s">
        <v>151</v>
      </c>
      <c r="L62" s="102"/>
      <c r="M62" s="102"/>
      <c r="N62" s="102"/>
      <c r="O62" s="214"/>
      <c r="P62" s="103">
        <v>46337</v>
      </c>
      <c r="Q62" s="103">
        <v>46352</v>
      </c>
      <c r="R62" s="102"/>
      <c r="S62" s="104">
        <v>12</v>
      </c>
      <c r="T62" s="104">
        <v>0</v>
      </c>
      <c r="U62" s="104">
        <v>12</v>
      </c>
      <c r="V62" s="104">
        <v>0</v>
      </c>
      <c r="W62" s="103"/>
      <c r="X62" s="103"/>
      <c r="Y62" s="105"/>
      <c r="Z62" s="106">
        <v>0</v>
      </c>
      <c r="AA62" s="104">
        <v>1</v>
      </c>
      <c r="AB62" s="102"/>
      <c r="AC62" s="102"/>
      <c r="AD62" s="281">
        <v>0</v>
      </c>
      <c r="AE62" s="282">
        <v>0</v>
      </c>
      <c r="AF62" s="118"/>
      <c r="AG62" s="119"/>
      <c r="AH62" s="119"/>
      <c r="AI62" s="119"/>
      <c r="AJ62" s="119"/>
      <c r="AK62" s="119"/>
      <c r="AL62" s="119"/>
      <c r="AM62" s="119"/>
      <c r="AN62" s="119"/>
      <c r="AO62" s="119"/>
      <c r="AP62" s="119"/>
      <c r="AQ62" s="119"/>
      <c r="AR62" s="119"/>
      <c r="AS62" s="119"/>
      <c r="AT62" s="119"/>
      <c r="AU62" s="119"/>
      <c r="AV62" s="119"/>
      <c r="AW62" s="119"/>
      <c r="AX62" s="119"/>
      <c r="AY62" s="119"/>
      <c r="AZ62" s="119" t="str">
        <f>"   " &amp; TEXT(AE62,"#0.00%") &amp; " " &amp; "마이페이지 화면 구현" &amp; " " &amp; IF(P62="","",TEXT(P62,"M/D-")) &amp; IF(Q62="","",TEXT(Q62,"M/D")) &amp; " "</f>
        <v xml:space="preserve">   0.00% 마이페이지 화면 구현 11/11-11/26 </v>
      </c>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row>
    <row r="63" spans="1:85" ht="12" customHeight="1" outlineLevel="6">
      <c r="A63" s="101"/>
      <c r="B63" s="101"/>
      <c r="C63" s="101">
        <v>7</v>
      </c>
      <c r="D63" s="116" t="s">
        <v>152</v>
      </c>
      <c r="E63" s="102"/>
      <c r="F63" s="102"/>
      <c r="G63" s="102"/>
      <c r="H63" s="102"/>
      <c r="I63" s="102"/>
      <c r="J63" s="102"/>
      <c r="K63" s="102" t="s">
        <v>153</v>
      </c>
      <c r="L63" s="102"/>
      <c r="M63" s="102"/>
      <c r="N63" s="102"/>
      <c r="O63" s="214"/>
      <c r="P63" s="103">
        <v>46353</v>
      </c>
      <c r="Q63" s="103">
        <v>46364</v>
      </c>
      <c r="R63" s="102"/>
      <c r="S63" s="104">
        <v>8</v>
      </c>
      <c r="T63" s="104">
        <v>0</v>
      </c>
      <c r="U63" s="104">
        <v>8</v>
      </c>
      <c r="V63" s="104">
        <v>0</v>
      </c>
      <c r="W63" s="103"/>
      <c r="X63" s="103"/>
      <c r="Y63" s="105"/>
      <c r="Z63" s="106">
        <v>0</v>
      </c>
      <c r="AA63" s="104">
        <v>1</v>
      </c>
      <c r="AB63" s="102"/>
      <c r="AC63" s="102"/>
      <c r="AD63" s="281">
        <v>0</v>
      </c>
      <c r="AE63" s="282">
        <v>0</v>
      </c>
      <c r="AF63" s="118"/>
      <c r="AG63" s="119"/>
      <c r="AH63" s="119"/>
      <c r="AI63" s="119"/>
      <c r="AJ63" s="119"/>
      <c r="AK63" s="119"/>
      <c r="AL63" s="119"/>
      <c r="AM63" s="119"/>
      <c r="AN63" s="119"/>
      <c r="AO63" s="119"/>
      <c r="AP63" s="119"/>
      <c r="AQ63" s="119"/>
      <c r="AR63" s="119"/>
      <c r="AS63" s="119"/>
      <c r="AT63" s="119"/>
      <c r="AU63" s="119"/>
      <c r="AV63" s="119"/>
      <c r="AW63" s="119"/>
      <c r="AX63" s="119"/>
      <c r="AY63" s="119"/>
      <c r="AZ63" s="119"/>
      <c r="BA63" s="119"/>
      <c r="BB63" s="119" t="str">
        <f>"     " &amp; TEXT(AE63,"#0.00%") &amp; " " &amp; "불편신고 화면 구현" &amp; " " &amp; IF(P63="","",TEXT(P63,"M/D-")) &amp; IF(Q63="","",TEXT(Q63,"M/D")) &amp; " "</f>
        <v xml:space="preserve">     0.00% 불편신고 화면 구현 11/27-12/8 </v>
      </c>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row>
    <row r="64" spans="1:85" ht="12" customHeight="1" outlineLevel="6">
      <c r="A64" s="101"/>
      <c r="B64" s="101"/>
      <c r="C64" s="101">
        <v>7</v>
      </c>
      <c r="D64" s="116" t="s">
        <v>154</v>
      </c>
      <c r="E64" s="102"/>
      <c r="F64" s="102"/>
      <c r="G64" s="102"/>
      <c r="H64" s="102"/>
      <c r="I64" s="102"/>
      <c r="J64" s="102"/>
      <c r="K64" s="102" t="s">
        <v>1820</v>
      </c>
      <c r="L64" s="102"/>
      <c r="M64" s="102"/>
      <c r="N64" s="102"/>
      <c r="O64" s="214"/>
      <c r="P64" s="103">
        <v>46365</v>
      </c>
      <c r="Q64" s="103">
        <v>46374</v>
      </c>
      <c r="R64" s="102"/>
      <c r="S64" s="104">
        <v>8</v>
      </c>
      <c r="T64" s="104">
        <v>0</v>
      </c>
      <c r="U64" s="104">
        <v>8</v>
      </c>
      <c r="V64" s="104">
        <v>0</v>
      </c>
      <c r="W64" s="103"/>
      <c r="X64" s="103"/>
      <c r="Y64" s="105"/>
      <c r="Z64" s="106">
        <v>0</v>
      </c>
      <c r="AA64" s="104">
        <v>1</v>
      </c>
      <c r="AB64" s="102"/>
      <c r="AC64" s="102"/>
      <c r="AD64" s="281">
        <v>0</v>
      </c>
      <c r="AE64" s="282">
        <v>0</v>
      </c>
      <c r="AF64" s="118"/>
      <c r="AG64" s="119"/>
      <c r="AH64" s="119"/>
      <c r="AI64" s="119"/>
      <c r="AJ64" s="119"/>
      <c r="AK64" s="119"/>
      <c r="AL64" s="119"/>
      <c r="AM64" s="119"/>
      <c r="AN64" s="119"/>
      <c r="AO64" s="119"/>
      <c r="AP64" s="119"/>
      <c r="AQ64" s="119"/>
      <c r="AR64" s="119"/>
      <c r="AS64" s="119"/>
      <c r="AT64" s="119"/>
      <c r="AU64" s="119"/>
      <c r="AV64" s="119"/>
      <c r="AW64" s="119"/>
      <c r="AX64" s="119"/>
      <c r="AY64" s="119"/>
      <c r="AZ64" s="119"/>
      <c r="BA64" s="119"/>
      <c r="BB64" s="119"/>
      <c r="BC64" s="119"/>
      <c r="BD64" s="119" t="str">
        <f>"   " &amp; TEXT(AE64,"#0.00%") &amp; " " &amp; "마일리지 화면 구현" &amp; " " &amp; IF(P64="","",TEXT(P64,"M/D-")) &amp; IF(Q64="","",TEXT(Q64,"M/D")) &amp; " "</f>
        <v xml:space="preserve">   0.00% 마일리지 화면 구현 12/9-12/18 </v>
      </c>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row>
    <row r="65" spans="1:85" ht="12" customHeight="1" outlineLevel="5">
      <c r="A65" s="101"/>
      <c r="B65" s="101"/>
      <c r="C65" s="101">
        <v>6</v>
      </c>
      <c r="D65" s="116" t="s">
        <v>155</v>
      </c>
      <c r="E65" s="102"/>
      <c r="F65" s="102"/>
      <c r="G65" s="102"/>
      <c r="H65" s="102"/>
      <c r="I65" s="102"/>
      <c r="J65" s="102" t="s">
        <v>156</v>
      </c>
      <c r="K65" s="102"/>
      <c r="L65" s="102"/>
      <c r="M65" s="102"/>
      <c r="N65" s="102"/>
      <c r="O65" s="214"/>
      <c r="P65" s="103">
        <v>46300</v>
      </c>
      <c r="Q65" s="103">
        <v>46374</v>
      </c>
      <c r="R65" s="102"/>
      <c r="S65" s="104">
        <v>53</v>
      </c>
      <c r="T65" s="104">
        <v>0</v>
      </c>
      <c r="U65" s="104">
        <v>53</v>
      </c>
      <c r="V65" s="104">
        <v>0</v>
      </c>
      <c r="W65" s="103">
        <v>46163</v>
      </c>
      <c r="X65" s="103"/>
      <c r="Y65" s="105">
        <v>-32968</v>
      </c>
      <c r="Z65" s="106">
        <v>0</v>
      </c>
      <c r="AA65" s="104">
        <v>1</v>
      </c>
      <c r="AB65" s="102"/>
      <c r="AC65" s="102"/>
      <c r="AD65" s="281">
        <v>0</v>
      </c>
      <c r="AE65" s="282">
        <v>0</v>
      </c>
      <c r="AF65" s="118"/>
      <c r="AG65" s="119"/>
      <c r="AH65" s="119"/>
      <c r="AI65" s="119"/>
      <c r="AJ65" s="119"/>
      <c r="AK65" s="119"/>
      <c r="AL65" s="119"/>
      <c r="AM65" s="119"/>
      <c r="AN65" s="119"/>
      <c r="AO65" s="119"/>
      <c r="AP65" s="119"/>
      <c r="AQ65" s="119"/>
      <c r="AR65" s="119"/>
      <c r="AS65" s="119"/>
      <c r="AT65" s="119"/>
      <c r="AU65" s="119" t="str">
        <f>" " &amp; TEXT(AE65,"#0.00%") &amp; " "</f>
        <v xml:space="preserve"> 0.00% </v>
      </c>
      <c r="AV65" s="119"/>
      <c r="AW65" s="119"/>
      <c r="AX65" s="119"/>
      <c r="AY65" s="119"/>
      <c r="AZ65" s="119"/>
      <c r="BA65" s="119"/>
      <c r="BB65" s="119"/>
      <c r="BC65" s="119"/>
      <c r="BD65" s="119"/>
      <c r="BE65" s="119" t="str">
        <f>"      " &amp; "단위테스트" &amp; " " &amp; IF(P65="","",TEXT(P65,"M/D-")) &amp; IF(Q65="","",TEXT(Q65,"M/D")) &amp; " "</f>
        <v xml:space="preserve">      단위테스트 10/5-12/18 </v>
      </c>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row>
    <row r="66" spans="1:85" ht="12" customHeight="1" outlineLevel="4">
      <c r="A66" s="101"/>
      <c r="B66" s="101" t="s">
        <v>36</v>
      </c>
      <c r="C66" s="101">
        <v>5</v>
      </c>
      <c r="D66" s="116" t="s">
        <v>157</v>
      </c>
      <c r="E66" s="102"/>
      <c r="F66" s="102"/>
      <c r="G66" s="102"/>
      <c r="H66" s="102"/>
      <c r="I66" s="102" t="s">
        <v>158</v>
      </c>
      <c r="J66" s="102"/>
      <c r="K66" s="102"/>
      <c r="L66" s="102"/>
      <c r="M66" s="102"/>
      <c r="N66" s="102"/>
      <c r="O66" s="214"/>
      <c r="P66" s="103">
        <v>46293</v>
      </c>
      <c r="Q66" s="103">
        <v>46374</v>
      </c>
      <c r="R66" s="102"/>
      <c r="S66" s="104">
        <v>111</v>
      </c>
      <c r="T66" s="104">
        <v>0</v>
      </c>
      <c r="U66" s="104">
        <v>58</v>
      </c>
      <c r="V66" s="104">
        <v>0</v>
      </c>
      <c r="W66" s="103"/>
      <c r="X66" s="103"/>
      <c r="Y66" s="105">
        <v>0</v>
      </c>
      <c r="Z66" s="106">
        <v>0</v>
      </c>
      <c r="AA66" s="104"/>
      <c r="AB66" s="102"/>
      <c r="AC66" s="102"/>
      <c r="AD66" s="281">
        <v>0</v>
      </c>
      <c r="AE66" s="283">
        <v>0</v>
      </c>
      <c r="AF66" s="118"/>
      <c r="AG66" s="119"/>
      <c r="AH66" s="119"/>
      <c r="AI66" s="119"/>
      <c r="AJ66" s="119"/>
      <c r="AK66" s="119"/>
      <c r="AL66" s="119"/>
      <c r="AM66" s="119"/>
      <c r="AN66" s="119"/>
      <c r="AO66" s="119"/>
      <c r="AP66" s="119"/>
      <c r="AQ66" s="119"/>
      <c r="AR66" s="119"/>
      <c r="AS66" s="119"/>
      <c r="AT66" s="119" t="str">
        <f>" " &amp; TEXT(AE66,"#0.00%") &amp; " "</f>
        <v xml:space="preserve"> 0.00% </v>
      </c>
      <c r="AU66" s="119"/>
      <c r="AV66" s="119"/>
      <c r="AW66" s="119"/>
      <c r="AX66" s="119"/>
      <c r="AY66" s="119"/>
      <c r="AZ66" s="119"/>
      <c r="BA66" s="119"/>
      <c r="BB66" s="119"/>
      <c r="BC66" s="119"/>
      <c r="BD66" s="119"/>
      <c r="BE66" s="119" t="str">
        <f>"      " &amp; "교통약자 도보 내비게이션" &amp; " " &amp; IF(P66="","",TEXT(P66,"M/D-")) &amp; IF(Q66="","",TEXT(Q66,"M/D")) &amp; " "</f>
        <v xml:space="preserve">      교통약자 도보 내비게이션 9/28-12/18 </v>
      </c>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row>
    <row r="67" spans="1:85" ht="12" customHeight="1" outlineLevel="5">
      <c r="A67" s="101"/>
      <c r="B67" s="101" t="s">
        <v>36</v>
      </c>
      <c r="C67" s="101">
        <v>6</v>
      </c>
      <c r="D67" s="116" t="s">
        <v>159</v>
      </c>
      <c r="E67" s="102"/>
      <c r="F67" s="102"/>
      <c r="G67" s="102"/>
      <c r="H67" s="102"/>
      <c r="I67" s="102"/>
      <c r="J67" s="102" t="s">
        <v>145</v>
      </c>
      <c r="K67" s="102"/>
      <c r="L67" s="102"/>
      <c r="M67" s="102"/>
      <c r="N67" s="102"/>
      <c r="O67" s="214"/>
      <c r="P67" s="103">
        <v>46293</v>
      </c>
      <c r="Q67" s="103">
        <v>46374</v>
      </c>
      <c r="R67" s="102"/>
      <c r="S67" s="104">
        <v>58</v>
      </c>
      <c r="T67" s="104">
        <v>0</v>
      </c>
      <c r="U67" s="104">
        <v>58</v>
      </c>
      <c r="V67" s="104">
        <v>0</v>
      </c>
      <c r="W67" s="103"/>
      <c r="X67" s="103"/>
      <c r="Y67" s="105">
        <v>0</v>
      </c>
      <c r="Z67" s="106">
        <v>0</v>
      </c>
      <c r="AA67" s="104"/>
      <c r="AB67" s="102"/>
      <c r="AC67" s="102"/>
      <c r="AD67" s="281">
        <v>0</v>
      </c>
      <c r="AE67" s="283">
        <v>0</v>
      </c>
      <c r="AF67" s="118"/>
      <c r="AG67" s="119"/>
      <c r="AH67" s="119"/>
      <c r="AI67" s="119"/>
      <c r="AJ67" s="119"/>
      <c r="AK67" s="119"/>
      <c r="AL67" s="119"/>
      <c r="AM67" s="119"/>
      <c r="AN67" s="119"/>
      <c r="AO67" s="119"/>
      <c r="AP67" s="119"/>
      <c r="AQ67" s="119"/>
      <c r="AR67" s="119"/>
      <c r="AS67" s="119"/>
      <c r="AT67" s="119" t="str">
        <f>" " &amp; TEXT(AE67,"#0.00%") &amp; " "</f>
        <v xml:space="preserve"> 0.00% </v>
      </c>
      <c r="AU67" s="119"/>
      <c r="AV67" s="119"/>
      <c r="AW67" s="119"/>
      <c r="AX67" s="119"/>
      <c r="AY67" s="119"/>
      <c r="AZ67" s="119"/>
      <c r="BA67" s="119"/>
      <c r="BB67" s="119"/>
      <c r="BC67" s="119"/>
      <c r="BD67" s="119"/>
      <c r="BE67" s="119" t="str">
        <f>"      " &amp; "기능 개발" &amp; " " &amp; IF(P67="","",TEXT(P67,"M/D-")) &amp; IF(Q67="","",TEXT(Q67,"M/D")) &amp; " "</f>
        <v xml:space="preserve">      기능 개발 9/28-12/18 </v>
      </c>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row>
    <row r="68" spans="1:85" ht="12" customHeight="1" outlineLevel="6">
      <c r="A68" s="101"/>
      <c r="B68" s="101"/>
      <c r="C68" s="101">
        <v>7</v>
      </c>
      <c r="D68" s="116" t="s">
        <v>160</v>
      </c>
      <c r="E68" s="102"/>
      <c r="F68" s="102"/>
      <c r="G68" s="102"/>
      <c r="H68" s="102"/>
      <c r="I68" s="102"/>
      <c r="J68" s="102"/>
      <c r="K68" s="102" t="s">
        <v>161</v>
      </c>
      <c r="L68" s="102"/>
      <c r="M68" s="102"/>
      <c r="N68" s="102"/>
      <c r="O68" s="214"/>
      <c r="P68" s="103">
        <v>46293</v>
      </c>
      <c r="Q68" s="103">
        <v>46303</v>
      </c>
      <c r="R68" s="102"/>
      <c r="S68" s="104">
        <v>8</v>
      </c>
      <c r="T68" s="104">
        <v>0</v>
      </c>
      <c r="U68" s="104">
        <v>8</v>
      </c>
      <c r="V68" s="104">
        <v>0</v>
      </c>
      <c r="W68" s="103"/>
      <c r="X68" s="103"/>
      <c r="Y68" s="105"/>
      <c r="Z68" s="106">
        <v>0</v>
      </c>
      <c r="AA68" s="104">
        <v>1</v>
      </c>
      <c r="AB68" s="102"/>
      <c r="AC68" s="102"/>
      <c r="AD68" s="281">
        <v>0</v>
      </c>
      <c r="AE68" s="282">
        <v>0</v>
      </c>
      <c r="AF68" s="118"/>
      <c r="AG68" s="119"/>
      <c r="AH68" s="119"/>
      <c r="AI68" s="119"/>
      <c r="AJ68" s="119"/>
      <c r="AK68" s="119"/>
      <c r="AL68" s="119"/>
      <c r="AM68" s="119"/>
      <c r="AN68" s="119"/>
      <c r="AO68" s="119"/>
      <c r="AP68" s="119"/>
      <c r="AQ68" s="119"/>
      <c r="AR68" s="119"/>
      <c r="AS68" s="119"/>
      <c r="AT68" s="119" t="str">
        <f>" " &amp; TEXT(AE68,"#0.00%") &amp; " " &amp; "지도 표출 및 현위치 구현" &amp; " " &amp; IF(P68="","",TEXT(P68,"M/D-")) &amp; IF(Q68="","",TEXT(Q68,"M/D")) &amp; " "</f>
        <v xml:space="preserve"> 0.00% 지도 표출 및 현위치 구현 9/28-10/8 </v>
      </c>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row>
    <row r="69" spans="1:85" ht="12" customHeight="1" outlineLevel="6">
      <c r="A69" s="101"/>
      <c r="B69" s="101"/>
      <c r="C69" s="101">
        <v>7</v>
      </c>
      <c r="D69" s="116" t="s">
        <v>162</v>
      </c>
      <c r="E69" s="102"/>
      <c r="F69" s="102"/>
      <c r="G69" s="102"/>
      <c r="H69" s="102"/>
      <c r="I69" s="102"/>
      <c r="J69" s="102"/>
      <c r="K69" s="102" t="s">
        <v>163</v>
      </c>
      <c r="L69" s="102"/>
      <c r="M69" s="102"/>
      <c r="N69" s="102"/>
      <c r="O69" s="214"/>
      <c r="P69" s="103">
        <v>46307</v>
      </c>
      <c r="Q69" s="103">
        <v>46318</v>
      </c>
      <c r="R69" s="102"/>
      <c r="S69" s="104">
        <v>10</v>
      </c>
      <c r="T69" s="104">
        <v>0</v>
      </c>
      <c r="U69" s="104">
        <v>10</v>
      </c>
      <c r="V69" s="104">
        <v>0</v>
      </c>
      <c r="W69" s="103"/>
      <c r="X69" s="103"/>
      <c r="Y69" s="105"/>
      <c r="Z69" s="106">
        <v>0</v>
      </c>
      <c r="AA69" s="104">
        <v>1</v>
      </c>
      <c r="AB69" s="102"/>
      <c r="AC69" s="102"/>
      <c r="AD69" s="281">
        <v>0</v>
      </c>
      <c r="AE69" s="282">
        <v>0</v>
      </c>
      <c r="AF69" s="118"/>
      <c r="AG69" s="119"/>
      <c r="AH69" s="119"/>
      <c r="AI69" s="119"/>
      <c r="AJ69" s="119"/>
      <c r="AK69" s="119"/>
      <c r="AL69" s="119"/>
      <c r="AM69" s="119"/>
      <c r="AN69" s="119"/>
      <c r="AO69" s="119"/>
      <c r="AP69" s="119"/>
      <c r="AQ69" s="119"/>
      <c r="AR69" s="119"/>
      <c r="AS69" s="119"/>
      <c r="AT69" s="119"/>
      <c r="AU69" s="119"/>
      <c r="AV69" s="119" t="str">
        <f>" " &amp; TEXT(AE69,"#0.00%") &amp; " " &amp; "장소 검색 화면 구현" &amp; " " &amp; IF(P69="","",TEXT(P69,"M/D-")) &amp; IF(Q69="","",TEXT(Q69,"M/D")) &amp; " "</f>
        <v xml:space="preserve"> 0.00% 장소 검색 화면 구현 10/12-10/23 </v>
      </c>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row>
    <row r="70" spans="1:85" ht="12" customHeight="1" outlineLevel="6">
      <c r="A70" s="101"/>
      <c r="B70" s="101"/>
      <c r="C70" s="101">
        <v>7</v>
      </c>
      <c r="D70" s="116" t="s">
        <v>164</v>
      </c>
      <c r="E70" s="102"/>
      <c r="F70" s="102"/>
      <c r="G70" s="102"/>
      <c r="H70" s="102"/>
      <c r="I70" s="102"/>
      <c r="J70" s="102"/>
      <c r="K70" s="102" t="s">
        <v>165</v>
      </c>
      <c r="L70" s="102"/>
      <c r="M70" s="102"/>
      <c r="N70" s="102"/>
      <c r="O70" s="214"/>
      <c r="P70" s="103">
        <v>46321</v>
      </c>
      <c r="Q70" s="103">
        <v>46330</v>
      </c>
      <c r="R70" s="102"/>
      <c r="S70" s="104">
        <v>8</v>
      </c>
      <c r="T70" s="104">
        <v>0</v>
      </c>
      <c r="U70" s="104">
        <v>8</v>
      </c>
      <c r="V70" s="104">
        <v>0</v>
      </c>
      <c r="W70" s="103"/>
      <c r="X70" s="103"/>
      <c r="Y70" s="105"/>
      <c r="Z70" s="106">
        <v>0</v>
      </c>
      <c r="AA70" s="104">
        <v>1</v>
      </c>
      <c r="AB70" s="102"/>
      <c r="AC70" s="102"/>
      <c r="AD70" s="281">
        <v>0</v>
      </c>
      <c r="AE70" s="282">
        <v>0</v>
      </c>
      <c r="AF70" s="118"/>
      <c r="AG70" s="119"/>
      <c r="AH70" s="119"/>
      <c r="AI70" s="119"/>
      <c r="AJ70" s="119"/>
      <c r="AK70" s="119"/>
      <c r="AL70" s="119"/>
      <c r="AM70" s="119"/>
      <c r="AN70" s="119"/>
      <c r="AO70" s="119"/>
      <c r="AP70" s="119"/>
      <c r="AQ70" s="119"/>
      <c r="AR70" s="119"/>
      <c r="AS70" s="119"/>
      <c r="AT70" s="119"/>
      <c r="AU70" s="119"/>
      <c r="AV70" s="119"/>
      <c r="AW70" s="119"/>
      <c r="AX70" s="119" t="str">
        <f>" " &amp; TEXT(AE70,"#0.00%") &amp; " " &amp; "장소 상세 화면 구현" &amp; " " &amp; IF(P70="","",TEXT(P70,"M/D-")) &amp; IF(Q70="","",TEXT(Q70,"M/D")) &amp; " "</f>
        <v xml:space="preserve"> 0.00% 장소 상세 화면 구현 10/26-11/4 </v>
      </c>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row>
    <row r="71" spans="1:85" ht="12" customHeight="1" outlineLevel="6">
      <c r="A71" s="101"/>
      <c r="B71" s="101"/>
      <c r="C71" s="101">
        <v>7</v>
      </c>
      <c r="D71" s="116" t="s">
        <v>166</v>
      </c>
      <c r="E71" s="102"/>
      <c r="F71" s="102"/>
      <c r="G71" s="102"/>
      <c r="H71" s="102"/>
      <c r="I71" s="102"/>
      <c r="J71" s="102"/>
      <c r="K71" s="102" t="s">
        <v>167</v>
      </c>
      <c r="L71" s="102"/>
      <c r="M71" s="102"/>
      <c r="N71" s="102"/>
      <c r="O71" s="214"/>
      <c r="P71" s="103">
        <v>46331</v>
      </c>
      <c r="Q71" s="103">
        <v>46346</v>
      </c>
      <c r="R71" s="102"/>
      <c r="S71" s="104">
        <v>12</v>
      </c>
      <c r="T71" s="104">
        <v>0</v>
      </c>
      <c r="U71" s="104">
        <v>12</v>
      </c>
      <c r="V71" s="104">
        <v>0</v>
      </c>
      <c r="W71" s="103"/>
      <c r="X71" s="103"/>
      <c r="Y71" s="105"/>
      <c r="Z71" s="106">
        <v>0</v>
      </c>
      <c r="AA71" s="104">
        <v>1</v>
      </c>
      <c r="AB71" s="102"/>
      <c r="AC71" s="102"/>
      <c r="AD71" s="281">
        <v>0</v>
      </c>
      <c r="AE71" s="282">
        <v>0</v>
      </c>
      <c r="AF71" s="118"/>
      <c r="AG71" s="119"/>
      <c r="AH71" s="119"/>
      <c r="AI71" s="119"/>
      <c r="AJ71" s="119"/>
      <c r="AK71" s="119"/>
      <c r="AL71" s="119"/>
      <c r="AM71" s="119"/>
      <c r="AN71" s="119"/>
      <c r="AO71" s="119"/>
      <c r="AP71" s="119"/>
      <c r="AQ71" s="119"/>
      <c r="AR71" s="119"/>
      <c r="AS71" s="119"/>
      <c r="AT71" s="119"/>
      <c r="AU71" s="119"/>
      <c r="AV71" s="119"/>
      <c r="AW71" s="119"/>
      <c r="AX71" s="119"/>
      <c r="AY71" s="119" t="str">
        <f>"    " &amp; TEXT(AE71,"#0.00%") &amp; " " &amp; "상세경로 화면 구현" &amp; " " &amp; IF(P71="","",TEXT(P71,"M/D-")) &amp; IF(Q71="","",TEXT(Q71,"M/D")) &amp; " "</f>
        <v xml:space="preserve">    0.00% 상세경로 화면 구현 11/5-11/20 </v>
      </c>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row>
    <row r="72" spans="1:85" ht="12" customHeight="1" outlineLevel="6">
      <c r="A72" s="101"/>
      <c r="B72" s="101"/>
      <c r="C72" s="101">
        <v>7</v>
      </c>
      <c r="D72" s="116" t="s">
        <v>168</v>
      </c>
      <c r="E72" s="102"/>
      <c r="F72" s="102"/>
      <c r="G72" s="102"/>
      <c r="H72" s="102"/>
      <c r="I72" s="102"/>
      <c r="J72" s="102"/>
      <c r="K72" s="102" t="s">
        <v>169</v>
      </c>
      <c r="L72" s="102"/>
      <c r="M72" s="102"/>
      <c r="N72" s="102"/>
      <c r="O72" s="214"/>
      <c r="P72" s="103">
        <v>46349</v>
      </c>
      <c r="Q72" s="103">
        <v>46364</v>
      </c>
      <c r="R72" s="102"/>
      <c r="S72" s="104">
        <v>12</v>
      </c>
      <c r="T72" s="104">
        <v>0</v>
      </c>
      <c r="U72" s="104">
        <v>12</v>
      </c>
      <c r="V72" s="104">
        <v>0</v>
      </c>
      <c r="W72" s="103"/>
      <c r="X72" s="103"/>
      <c r="Y72" s="105"/>
      <c r="Z72" s="106">
        <v>0</v>
      </c>
      <c r="AA72" s="104">
        <v>1</v>
      </c>
      <c r="AB72" s="102"/>
      <c r="AC72" s="102"/>
      <c r="AD72" s="281">
        <v>0</v>
      </c>
      <c r="AE72" s="282">
        <v>0</v>
      </c>
      <c r="AF72" s="118"/>
      <c r="AG72" s="119"/>
      <c r="AH72" s="119"/>
      <c r="AI72" s="119"/>
      <c r="AJ72" s="119"/>
      <c r="AK72" s="119"/>
      <c r="AL72" s="119"/>
      <c r="AM72" s="119"/>
      <c r="AN72" s="119"/>
      <c r="AO72" s="119"/>
      <c r="AP72" s="119"/>
      <c r="AQ72" s="119"/>
      <c r="AR72" s="119"/>
      <c r="AS72" s="119"/>
      <c r="AT72" s="119"/>
      <c r="AU72" s="119"/>
      <c r="AV72" s="119"/>
      <c r="AW72" s="119"/>
      <c r="AX72" s="119"/>
      <c r="AY72" s="119"/>
      <c r="AZ72" s="119"/>
      <c r="BA72" s="119"/>
      <c r="BB72" s="119" t="str">
        <f>" " &amp; TEXT(AE72,"#0.00%") &amp; " " &amp; "실외 내비게이션 화면 구현" &amp; " " &amp; IF(P72="","",TEXT(P72,"M/D-")) &amp; IF(Q72="","",TEXT(Q72,"M/D")) &amp; " "</f>
        <v xml:space="preserve"> 0.00% 실외 내비게이션 화면 구현 11/23-12/8 </v>
      </c>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row>
    <row r="73" spans="1:85" ht="12" customHeight="1" outlineLevel="6">
      <c r="A73" s="101"/>
      <c r="B73" s="101"/>
      <c r="C73" s="101">
        <v>7</v>
      </c>
      <c r="D73" s="116" t="s">
        <v>170</v>
      </c>
      <c r="E73" s="102"/>
      <c r="F73" s="102"/>
      <c r="G73" s="102"/>
      <c r="H73" s="102"/>
      <c r="I73" s="102"/>
      <c r="J73" s="102"/>
      <c r="K73" s="102" t="s">
        <v>171</v>
      </c>
      <c r="L73" s="102"/>
      <c r="M73" s="102"/>
      <c r="N73" s="102"/>
      <c r="O73" s="214"/>
      <c r="P73" s="103">
        <v>46365</v>
      </c>
      <c r="Q73" s="103">
        <v>46374</v>
      </c>
      <c r="R73" s="102"/>
      <c r="S73" s="104">
        <v>8</v>
      </c>
      <c r="T73" s="104">
        <v>0</v>
      </c>
      <c r="U73" s="104">
        <v>8</v>
      </c>
      <c r="V73" s="104">
        <v>0</v>
      </c>
      <c r="W73" s="103"/>
      <c r="X73" s="103"/>
      <c r="Y73" s="105"/>
      <c r="Z73" s="106">
        <v>0</v>
      </c>
      <c r="AA73" s="104">
        <v>1</v>
      </c>
      <c r="AB73" s="102"/>
      <c r="AC73" s="102"/>
      <c r="AD73" s="281">
        <v>0</v>
      </c>
      <c r="AE73" s="282">
        <v>0</v>
      </c>
      <c r="AF73" s="118"/>
      <c r="AG73" s="119"/>
      <c r="AH73" s="119"/>
      <c r="AI73" s="119"/>
      <c r="AJ73" s="119"/>
      <c r="AK73" s="119"/>
      <c r="AL73" s="119"/>
      <c r="AM73" s="119"/>
      <c r="AN73" s="119"/>
      <c r="AO73" s="119"/>
      <c r="AP73" s="119"/>
      <c r="AQ73" s="119"/>
      <c r="AR73" s="119"/>
      <c r="AS73" s="119"/>
      <c r="AT73" s="119"/>
      <c r="AU73" s="119"/>
      <c r="AV73" s="119"/>
      <c r="AW73" s="119"/>
      <c r="AX73" s="119"/>
      <c r="AY73" s="119"/>
      <c r="AZ73" s="119"/>
      <c r="BA73" s="119"/>
      <c r="BB73" s="119"/>
      <c r="BC73" s="119"/>
      <c r="BD73" s="119" t="str">
        <f>"   " &amp; TEXT(AE73,"#0.00%") &amp; " " &amp; "인근 편의시설 화면 구현" &amp; " " &amp; IF(P73="","",TEXT(P73,"M/D-")) &amp; IF(Q73="","",TEXT(Q73,"M/D")) &amp; " "</f>
        <v xml:space="preserve">   0.00% 인근 편의시설 화면 구현 12/9-12/18 </v>
      </c>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row>
    <row r="74" spans="1:85" ht="12" customHeight="1" outlineLevel="5">
      <c r="A74" s="101"/>
      <c r="B74" s="101"/>
      <c r="C74" s="101">
        <v>6</v>
      </c>
      <c r="D74" s="116" t="s">
        <v>172</v>
      </c>
      <c r="E74" s="102"/>
      <c r="F74" s="102"/>
      <c r="G74" s="102"/>
      <c r="H74" s="102"/>
      <c r="I74" s="102"/>
      <c r="J74" s="102" t="s">
        <v>156</v>
      </c>
      <c r="K74" s="102"/>
      <c r="L74" s="102"/>
      <c r="M74" s="102"/>
      <c r="N74" s="102"/>
      <c r="O74" s="214"/>
      <c r="P74" s="103">
        <v>46300</v>
      </c>
      <c r="Q74" s="103">
        <v>46374</v>
      </c>
      <c r="R74" s="102"/>
      <c r="S74" s="104">
        <v>53</v>
      </c>
      <c r="T74" s="104">
        <v>0</v>
      </c>
      <c r="U74" s="104">
        <v>53</v>
      </c>
      <c r="V74" s="104">
        <v>0</v>
      </c>
      <c r="W74" s="103">
        <v>46163</v>
      </c>
      <c r="X74" s="103"/>
      <c r="Y74" s="105">
        <v>-32968</v>
      </c>
      <c r="Z74" s="106">
        <v>0</v>
      </c>
      <c r="AA74" s="104">
        <v>1</v>
      </c>
      <c r="AB74" s="102"/>
      <c r="AC74" s="102"/>
      <c r="AD74" s="281">
        <v>0</v>
      </c>
      <c r="AE74" s="282">
        <v>0</v>
      </c>
      <c r="AF74" s="118"/>
      <c r="AG74" s="119"/>
      <c r="AH74" s="119"/>
      <c r="AI74" s="119"/>
      <c r="AJ74" s="119"/>
      <c r="AK74" s="119"/>
      <c r="AL74" s="119"/>
      <c r="AM74" s="119"/>
      <c r="AN74" s="119"/>
      <c r="AO74" s="119"/>
      <c r="AP74" s="119"/>
      <c r="AQ74" s="119"/>
      <c r="AR74" s="119"/>
      <c r="AS74" s="119"/>
      <c r="AT74" s="119"/>
      <c r="AU74" s="119" t="str">
        <f>" " &amp; TEXT(AE74,"#0.00%") &amp; " "</f>
        <v xml:space="preserve"> 0.00% </v>
      </c>
      <c r="AV74" s="119"/>
      <c r="AW74" s="119"/>
      <c r="AX74" s="119"/>
      <c r="AY74" s="119"/>
      <c r="AZ74" s="119"/>
      <c r="BA74" s="119"/>
      <c r="BB74" s="119"/>
      <c r="BC74" s="119"/>
      <c r="BD74" s="119"/>
      <c r="BE74" s="119" t="str">
        <f>"      " &amp; "단위테스트" &amp; " " &amp; IF(P74="","",TEXT(P74,"M/D-")) &amp; IF(Q74="","",TEXT(Q74,"M/D")) &amp; " "</f>
        <v xml:space="preserve">      단위테스트 10/5-12/18 </v>
      </c>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row>
    <row r="75" spans="1:85" ht="12" customHeight="1" outlineLevel="4">
      <c r="A75" s="101"/>
      <c r="B75" s="101" t="s">
        <v>36</v>
      </c>
      <c r="C75" s="101">
        <v>5</v>
      </c>
      <c r="D75" s="116" t="s">
        <v>173</v>
      </c>
      <c r="E75" s="102"/>
      <c r="F75" s="102"/>
      <c r="G75" s="102"/>
      <c r="H75" s="216"/>
      <c r="I75" s="216" t="s">
        <v>174</v>
      </c>
      <c r="J75" s="216"/>
      <c r="K75" s="216"/>
      <c r="L75" s="216"/>
      <c r="M75" s="216"/>
      <c r="N75" s="216"/>
      <c r="O75" s="217"/>
      <c r="P75" s="103">
        <v>46293</v>
      </c>
      <c r="Q75" s="103">
        <v>46374</v>
      </c>
      <c r="R75" s="102"/>
      <c r="S75" s="104">
        <v>111</v>
      </c>
      <c r="T75" s="104">
        <v>0</v>
      </c>
      <c r="U75" s="104">
        <v>58</v>
      </c>
      <c r="V75" s="104">
        <v>0</v>
      </c>
      <c r="W75" s="103"/>
      <c r="X75" s="103"/>
      <c r="Y75" s="105">
        <v>0</v>
      </c>
      <c r="Z75" s="106">
        <v>0</v>
      </c>
      <c r="AA75" s="104"/>
      <c r="AB75" s="102"/>
      <c r="AC75" s="102"/>
      <c r="AD75" s="281">
        <v>0</v>
      </c>
      <c r="AE75" s="283">
        <v>0</v>
      </c>
      <c r="AF75" s="118"/>
      <c r="AG75" s="119"/>
      <c r="AH75" s="119"/>
      <c r="AI75" s="119"/>
      <c r="AJ75" s="119"/>
      <c r="AK75" s="119"/>
      <c r="AL75" s="119"/>
      <c r="AM75" s="119"/>
      <c r="AN75" s="119"/>
      <c r="AO75" s="119"/>
      <c r="AP75" s="119"/>
      <c r="AQ75" s="119"/>
      <c r="AR75" s="119"/>
      <c r="AS75" s="119"/>
      <c r="AT75" s="119" t="str">
        <f>" " &amp; TEXT(AE75,"#0.00%") &amp; " "</f>
        <v xml:space="preserve"> 0.00% </v>
      </c>
      <c r="AU75" s="119"/>
      <c r="AV75" s="119"/>
      <c r="AW75" s="119"/>
      <c r="AX75" s="119"/>
      <c r="AY75" s="119"/>
      <c r="AZ75" s="119"/>
      <c r="BA75" s="119"/>
      <c r="BB75" s="119"/>
      <c r="BC75" s="119"/>
      <c r="BD75" s="119"/>
      <c r="BE75" s="119" t="str">
        <f>"      " &amp; "대중교통 정보 안내" &amp; " " &amp; IF(P75="","",TEXT(P75,"M/D-")) &amp; IF(Q75="","",TEXT(Q75,"M/D")) &amp; " "</f>
        <v xml:space="preserve">      대중교통 정보 안내 9/28-12/18 </v>
      </c>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row>
    <row r="76" spans="1:85" ht="12" customHeight="1" outlineLevel="5">
      <c r="A76" s="101"/>
      <c r="B76" s="101" t="s">
        <v>36</v>
      </c>
      <c r="C76" s="101">
        <v>6</v>
      </c>
      <c r="D76" s="116" t="s">
        <v>175</v>
      </c>
      <c r="E76" s="102"/>
      <c r="F76" s="102"/>
      <c r="G76" s="102"/>
      <c r="H76" s="102"/>
      <c r="I76" s="102"/>
      <c r="J76" s="102" t="s">
        <v>145</v>
      </c>
      <c r="K76" s="102"/>
      <c r="L76" s="102"/>
      <c r="M76" s="102"/>
      <c r="N76" s="102"/>
      <c r="O76" s="214"/>
      <c r="P76" s="215">
        <v>46293</v>
      </c>
      <c r="Q76" s="103">
        <v>46374</v>
      </c>
      <c r="R76" s="102"/>
      <c r="S76" s="104">
        <v>58</v>
      </c>
      <c r="T76" s="104">
        <v>0</v>
      </c>
      <c r="U76" s="104">
        <v>58</v>
      </c>
      <c r="V76" s="104">
        <v>0</v>
      </c>
      <c r="W76" s="103"/>
      <c r="X76" s="103"/>
      <c r="Y76" s="105">
        <v>0</v>
      </c>
      <c r="Z76" s="106">
        <v>0</v>
      </c>
      <c r="AA76" s="104"/>
      <c r="AB76" s="102"/>
      <c r="AC76" s="102"/>
      <c r="AD76" s="281">
        <v>0</v>
      </c>
      <c r="AE76" s="283">
        <v>0</v>
      </c>
      <c r="AF76" s="118"/>
      <c r="AG76" s="119"/>
      <c r="AH76" s="119"/>
      <c r="AI76" s="119"/>
      <c r="AJ76" s="119"/>
      <c r="AK76" s="119"/>
      <c r="AL76" s="119"/>
      <c r="AM76" s="119"/>
      <c r="AN76" s="119"/>
      <c r="AO76" s="119"/>
      <c r="AP76" s="119"/>
      <c r="AQ76" s="119"/>
      <c r="AR76" s="119"/>
      <c r="AS76" s="119"/>
      <c r="AT76" s="119" t="str">
        <f>" " &amp; TEXT(AE76,"#0.00%") &amp; " "</f>
        <v xml:space="preserve"> 0.00% </v>
      </c>
      <c r="AU76" s="119"/>
      <c r="AV76" s="119"/>
      <c r="AW76" s="119"/>
      <c r="AX76" s="119"/>
      <c r="AY76" s="119"/>
      <c r="AZ76" s="119"/>
      <c r="BA76" s="119"/>
      <c r="BB76" s="119"/>
      <c r="BC76" s="119"/>
      <c r="BD76" s="119"/>
      <c r="BE76" s="119" t="str">
        <f>"      " &amp; "기능 개발" &amp; " " &amp; IF(P76="","",TEXT(P76,"M/D-")) &amp; IF(Q76="","",TEXT(Q76,"M/D")) &amp; " "</f>
        <v xml:space="preserve">      기능 개발 9/28-12/18 </v>
      </c>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row>
    <row r="77" spans="1:85" ht="12" customHeight="1" outlineLevel="6">
      <c r="A77" s="101"/>
      <c r="B77" s="101"/>
      <c r="C77" s="101">
        <v>7</v>
      </c>
      <c r="D77" s="116" t="s">
        <v>176</v>
      </c>
      <c r="E77" s="102"/>
      <c r="F77" s="102"/>
      <c r="G77" s="102"/>
      <c r="H77" s="102"/>
      <c r="I77" s="102"/>
      <c r="J77" s="102"/>
      <c r="K77" s="102" t="s">
        <v>177</v>
      </c>
      <c r="L77" s="102"/>
      <c r="M77" s="102"/>
      <c r="N77" s="102"/>
      <c r="O77" s="214"/>
      <c r="P77" s="103">
        <v>46293</v>
      </c>
      <c r="Q77" s="103">
        <v>46310</v>
      </c>
      <c r="R77" s="102"/>
      <c r="S77" s="104">
        <v>12</v>
      </c>
      <c r="T77" s="104">
        <v>0</v>
      </c>
      <c r="U77" s="104">
        <v>12</v>
      </c>
      <c r="V77" s="104">
        <v>0</v>
      </c>
      <c r="W77" s="103"/>
      <c r="X77" s="103"/>
      <c r="Y77" s="105"/>
      <c r="Z77" s="106">
        <v>0</v>
      </c>
      <c r="AA77" s="104">
        <v>1</v>
      </c>
      <c r="AB77" s="102"/>
      <c r="AC77" s="102"/>
      <c r="AD77" s="281">
        <v>0</v>
      </c>
      <c r="AE77" s="282">
        <v>0</v>
      </c>
      <c r="AF77" s="118"/>
      <c r="AG77" s="119"/>
      <c r="AH77" s="119"/>
      <c r="AI77" s="119"/>
      <c r="AJ77" s="119"/>
      <c r="AK77" s="119"/>
      <c r="AL77" s="119"/>
      <c r="AM77" s="119"/>
      <c r="AN77" s="119"/>
      <c r="AO77" s="119"/>
      <c r="AP77" s="119"/>
      <c r="AQ77" s="119"/>
      <c r="AR77" s="119"/>
      <c r="AS77" s="119"/>
      <c r="AT77" s="119" t="str">
        <f>" " &amp; TEXT(AE77,"#0.00%") &amp; " " &amp; "버스정류장 검색 및 목록 화면 구현" &amp; " " &amp; IF(P77="","",TEXT(P77,"M/D-")) &amp; IF(Q77="","",TEXT(Q77,"M/D")) &amp; " "</f>
        <v xml:space="preserve"> 0.00% 버스정류장 검색 및 목록 화면 구현 9/28-10/15 </v>
      </c>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row>
    <row r="78" spans="1:85" ht="12" customHeight="1" outlineLevel="6">
      <c r="A78" s="101"/>
      <c r="B78" s="101"/>
      <c r="C78" s="101">
        <v>7</v>
      </c>
      <c r="D78" s="116" t="s">
        <v>178</v>
      </c>
      <c r="E78" s="102"/>
      <c r="F78" s="102"/>
      <c r="G78" s="102"/>
      <c r="H78" s="102"/>
      <c r="I78" s="102"/>
      <c r="J78" s="102"/>
      <c r="K78" s="102" t="s">
        <v>179</v>
      </c>
      <c r="L78" s="102"/>
      <c r="M78" s="102"/>
      <c r="N78" s="102"/>
      <c r="O78" s="214"/>
      <c r="P78" s="103">
        <v>46311</v>
      </c>
      <c r="Q78" s="103">
        <v>46328</v>
      </c>
      <c r="R78" s="102"/>
      <c r="S78" s="104">
        <v>12</v>
      </c>
      <c r="T78" s="104">
        <v>0</v>
      </c>
      <c r="U78" s="104">
        <v>12</v>
      </c>
      <c r="V78" s="104">
        <v>0</v>
      </c>
      <c r="W78" s="103"/>
      <c r="X78" s="103"/>
      <c r="Y78" s="105"/>
      <c r="Z78" s="106">
        <v>0</v>
      </c>
      <c r="AA78" s="104">
        <v>1</v>
      </c>
      <c r="AB78" s="102"/>
      <c r="AC78" s="102"/>
      <c r="AD78" s="281">
        <v>0</v>
      </c>
      <c r="AE78" s="282">
        <v>0</v>
      </c>
      <c r="AF78" s="118"/>
      <c r="AG78" s="119"/>
      <c r="AH78" s="119"/>
      <c r="AI78" s="119"/>
      <c r="AJ78" s="119"/>
      <c r="AK78" s="119"/>
      <c r="AL78" s="119"/>
      <c r="AM78" s="119"/>
      <c r="AN78" s="119"/>
      <c r="AO78" s="119"/>
      <c r="AP78" s="119"/>
      <c r="AQ78" s="119"/>
      <c r="AR78" s="119"/>
      <c r="AS78" s="119"/>
      <c r="AT78" s="119"/>
      <c r="AU78" s="119"/>
      <c r="AV78" s="119" t="str">
        <f>"     " &amp; TEXT(AE78,"#0.00%") &amp; " " &amp; "버스정류장 정보 화면 구현" &amp; " " &amp; IF(P78="","",TEXT(P78,"M/D-")) &amp; IF(Q78="","",TEXT(Q78,"M/D")) &amp; " "</f>
        <v xml:space="preserve">     0.00% 버스정류장 정보 화면 구현 10/16-11/2 </v>
      </c>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row>
    <row r="79" spans="1:85" ht="12" customHeight="1" outlineLevel="6">
      <c r="A79" s="101"/>
      <c r="B79" s="101"/>
      <c r="C79" s="101">
        <v>7</v>
      </c>
      <c r="D79" s="116" t="s">
        <v>180</v>
      </c>
      <c r="E79" s="102"/>
      <c r="F79" s="102"/>
      <c r="G79" s="102"/>
      <c r="H79" s="102"/>
      <c r="I79" s="102"/>
      <c r="J79" s="102"/>
      <c r="K79" s="102" t="s">
        <v>181</v>
      </c>
      <c r="L79" s="102"/>
      <c r="M79" s="102"/>
      <c r="N79" s="102"/>
      <c r="O79" s="214"/>
      <c r="P79" s="103">
        <v>46329</v>
      </c>
      <c r="Q79" s="103">
        <v>46344</v>
      </c>
      <c r="R79" s="102"/>
      <c r="S79" s="104">
        <v>12</v>
      </c>
      <c r="T79" s="104">
        <v>0</v>
      </c>
      <c r="U79" s="104">
        <v>12</v>
      </c>
      <c r="V79" s="104">
        <v>0</v>
      </c>
      <c r="W79" s="103"/>
      <c r="X79" s="103"/>
      <c r="Y79" s="105"/>
      <c r="Z79" s="106">
        <v>0</v>
      </c>
      <c r="AA79" s="104">
        <v>1</v>
      </c>
      <c r="AB79" s="102"/>
      <c r="AC79" s="102"/>
      <c r="AD79" s="281">
        <v>0</v>
      </c>
      <c r="AE79" s="282">
        <v>0</v>
      </c>
      <c r="AF79" s="118"/>
      <c r="AG79" s="119"/>
      <c r="AH79" s="119"/>
      <c r="AI79" s="119"/>
      <c r="AJ79" s="119"/>
      <c r="AK79" s="119"/>
      <c r="AL79" s="119"/>
      <c r="AM79" s="119"/>
      <c r="AN79" s="119"/>
      <c r="AO79" s="119"/>
      <c r="AP79" s="119"/>
      <c r="AQ79" s="119"/>
      <c r="AR79" s="119"/>
      <c r="AS79" s="119"/>
      <c r="AT79" s="119"/>
      <c r="AU79" s="119"/>
      <c r="AV79" s="119"/>
      <c r="AW79" s="119"/>
      <c r="AX79" s="119"/>
      <c r="AY79" s="119" t="str">
        <f>"  " &amp; TEXT(AE79,"#0.00%") &amp; " " &amp; "지하철역 정보 화면 구현" &amp; " " &amp; IF(P79="","",TEXT(P79,"M/D-")) &amp; IF(Q79="","",TEXT(Q79,"M/D")) &amp; " "</f>
        <v xml:space="preserve">  0.00% 지하철역 정보 화면 구현 11/3-11/18 </v>
      </c>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row>
    <row r="80" spans="1:85" ht="12" customHeight="1" outlineLevel="6">
      <c r="A80" s="101"/>
      <c r="B80" s="101"/>
      <c r="C80" s="101">
        <v>7</v>
      </c>
      <c r="D80" s="116" t="s">
        <v>182</v>
      </c>
      <c r="E80" s="102"/>
      <c r="F80" s="102"/>
      <c r="G80" s="102"/>
      <c r="H80" s="102"/>
      <c r="I80" s="102"/>
      <c r="J80" s="102"/>
      <c r="K80" s="102" t="s">
        <v>183</v>
      </c>
      <c r="L80" s="102"/>
      <c r="M80" s="102"/>
      <c r="N80" s="102"/>
      <c r="O80" s="214"/>
      <c r="P80" s="103">
        <v>46345</v>
      </c>
      <c r="Q80" s="103">
        <v>46360</v>
      </c>
      <c r="R80" s="102"/>
      <c r="S80" s="104">
        <v>12</v>
      </c>
      <c r="T80" s="104">
        <v>0</v>
      </c>
      <c r="U80" s="104">
        <v>12</v>
      </c>
      <c r="V80" s="104">
        <v>0</v>
      </c>
      <c r="W80" s="103"/>
      <c r="X80" s="103"/>
      <c r="Y80" s="105"/>
      <c r="Z80" s="106">
        <v>0</v>
      </c>
      <c r="AA80" s="104">
        <v>1</v>
      </c>
      <c r="AB80" s="102"/>
      <c r="AC80" s="102"/>
      <c r="AD80" s="281">
        <v>0</v>
      </c>
      <c r="AE80" s="282">
        <v>0</v>
      </c>
      <c r="AF80" s="118"/>
      <c r="AG80" s="119"/>
      <c r="AH80" s="119"/>
      <c r="AI80" s="119"/>
      <c r="AJ80" s="119"/>
      <c r="AK80" s="119"/>
      <c r="AL80" s="119"/>
      <c r="AM80" s="119"/>
      <c r="AN80" s="119"/>
      <c r="AO80" s="119"/>
      <c r="AP80" s="119"/>
      <c r="AQ80" s="119"/>
      <c r="AR80" s="119"/>
      <c r="AS80" s="119"/>
      <c r="AT80" s="119"/>
      <c r="AU80" s="119"/>
      <c r="AV80" s="119"/>
      <c r="AW80" s="119"/>
      <c r="AX80" s="119"/>
      <c r="AY80" s="119"/>
      <c r="AZ80" s="119"/>
      <c r="BA80" s="119" t="str">
        <f>"    " &amp; TEXT(AE80,"#0.00%") &amp; " " &amp; "택시 호출 화면 구현" &amp; " " &amp; IF(P80="","",TEXT(P80,"M/D-")) &amp; IF(Q80="","",TEXT(Q80,"M/D")) &amp; " "</f>
        <v xml:space="preserve">    0.00% 택시 호출 화면 구현 11/19-12/4 </v>
      </c>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row>
    <row r="81" spans="1:85" ht="12" customHeight="1" outlineLevel="6">
      <c r="A81" s="101"/>
      <c r="B81" s="101"/>
      <c r="C81" s="101">
        <v>7</v>
      </c>
      <c r="D81" s="116" t="s">
        <v>184</v>
      </c>
      <c r="E81" s="102"/>
      <c r="F81" s="102"/>
      <c r="G81" s="102"/>
      <c r="H81" s="102"/>
      <c r="I81" s="102"/>
      <c r="J81" s="102"/>
      <c r="K81" s="102" t="s">
        <v>185</v>
      </c>
      <c r="L81" s="102"/>
      <c r="M81" s="102"/>
      <c r="N81" s="102"/>
      <c r="O81" s="214"/>
      <c r="P81" s="103">
        <v>46363</v>
      </c>
      <c r="Q81" s="103">
        <v>46374</v>
      </c>
      <c r="R81" s="102"/>
      <c r="S81" s="104">
        <v>10</v>
      </c>
      <c r="T81" s="104">
        <v>0</v>
      </c>
      <c r="U81" s="104">
        <v>10</v>
      </c>
      <c r="V81" s="104">
        <v>0</v>
      </c>
      <c r="W81" s="103"/>
      <c r="X81" s="103"/>
      <c r="Y81" s="105"/>
      <c r="Z81" s="106">
        <v>0</v>
      </c>
      <c r="AA81" s="104">
        <v>1</v>
      </c>
      <c r="AB81" s="102"/>
      <c r="AC81" s="102"/>
      <c r="AD81" s="281">
        <v>0</v>
      </c>
      <c r="AE81" s="282">
        <v>0</v>
      </c>
      <c r="AF81" s="118"/>
      <c r="AG81" s="119"/>
      <c r="AH81" s="119"/>
      <c r="AI81" s="119"/>
      <c r="AJ81" s="119"/>
      <c r="AK81" s="119"/>
      <c r="AL81" s="119"/>
      <c r="AM81" s="119"/>
      <c r="AN81" s="119"/>
      <c r="AO81" s="119"/>
      <c r="AP81" s="119"/>
      <c r="AQ81" s="119"/>
      <c r="AR81" s="119"/>
      <c r="AS81" s="119"/>
      <c r="AT81" s="119"/>
      <c r="AU81" s="119"/>
      <c r="AV81" s="119"/>
      <c r="AW81" s="119"/>
      <c r="AX81" s="119"/>
      <c r="AY81" s="119"/>
      <c r="AZ81" s="119"/>
      <c r="BA81" s="119"/>
      <c r="BB81" s="119"/>
      <c r="BC81" s="119"/>
      <c r="BD81" s="119" t="str">
        <f>" " &amp; TEXT(AE81,"#0.00%") &amp; " " &amp; "대중교통 실시간 정보 연동 구현" &amp; " " &amp; IF(P81="","",TEXT(P81,"M/D-")) &amp; IF(Q81="","",TEXT(Q81,"M/D")) &amp; " "</f>
        <v xml:space="preserve"> 0.00% 대중교통 실시간 정보 연동 구현 12/7-12/18 </v>
      </c>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row>
    <row r="82" spans="1:85" ht="12" customHeight="1" outlineLevel="5">
      <c r="A82" s="101"/>
      <c r="B82" s="101"/>
      <c r="C82" s="101">
        <v>6</v>
      </c>
      <c r="D82" s="116" t="s">
        <v>186</v>
      </c>
      <c r="E82" s="102"/>
      <c r="F82" s="102"/>
      <c r="G82" s="102"/>
      <c r="H82" s="102"/>
      <c r="I82" s="102"/>
      <c r="J82" s="102" t="s">
        <v>156</v>
      </c>
      <c r="K82" s="102"/>
      <c r="L82" s="102"/>
      <c r="M82" s="102"/>
      <c r="N82" s="102"/>
      <c r="O82" s="214"/>
      <c r="P82" s="103">
        <v>46300</v>
      </c>
      <c r="Q82" s="103">
        <v>46374</v>
      </c>
      <c r="R82" s="102"/>
      <c r="S82" s="104">
        <v>53</v>
      </c>
      <c r="T82" s="104">
        <v>0</v>
      </c>
      <c r="U82" s="104">
        <v>53</v>
      </c>
      <c r="V82" s="104">
        <v>0</v>
      </c>
      <c r="W82" s="103">
        <v>46163</v>
      </c>
      <c r="X82" s="103"/>
      <c r="Y82" s="105">
        <v>-32968</v>
      </c>
      <c r="Z82" s="106">
        <v>0</v>
      </c>
      <c r="AA82" s="104">
        <v>1</v>
      </c>
      <c r="AB82" s="102"/>
      <c r="AC82" s="102"/>
      <c r="AD82" s="281">
        <v>0</v>
      </c>
      <c r="AE82" s="282">
        <v>0</v>
      </c>
      <c r="AF82" s="118"/>
      <c r="AG82" s="119"/>
      <c r="AH82" s="119"/>
      <c r="AI82" s="119"/>
      <c r="AJ82" s="119"/>
      <c r="AK82" s="119"/>
      <c r="AL82" s="119"/>
      <c r="AM82" s="119"/>
      <c r="AN82" s="119"/>
      <c r="AO82" s="119"/>
      <c r="AP82" s="119"/>
      <c r="AQ82" s="119"/>
      <c r="AR82" s="119"/>
      <c r="AS82" s="119"/>
      <c r="AT82" s="119"/>
      <c r="AU82" s="119" t="str">
        <f>" " &amp; TEXT(AE82,"#0.00%") &amp; " "</f>
        <v xml:space="preserve"> 0.00% </v>
      </c>
      <c r="AV82" s="119"/>
      <c r="AW82" s="119"/>
      <c r="AX82" s="119"/>
      <c r="AY82" s="119"/>
      <c r="AZ82" s="119"/>
      <c r="BA82" s="119"/>
      <c r="BB82" s="119"/>
      <c r="BC82" s="119"/>
      <c r="BD82" s="119"/>
      <c r="BE82" s="119" t="str">
        <f>"      " &amp; "단위테스트" &amp; " " &amp; IF(P82="","",TEXT(P82,"M/D-")) &amp; IF(Q82="","",TEXT(Q82,"M/D")) &amp; " "</f>
        <v xml:space="preserve">      단위테스트 10/5-12/18 </v>
      </c>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row>
    <row r="83" spans="1:85" ht="12" customHeight="1" outlineLevel="4">
      <c r="A83" s="101"/>
      <c r="B83" s="101" t="s">
        <v>36</v>
      </c>
      <c r="C83" s="101">
        <v>5</v>
      </c>
      <c r="D83" s="116" t="s">
        <v>187</v>
      </c>
      <c r="E83" s="102"/>
      <c r="F83" s="102"/>
      <c r="G83" s="102"/>
      <c r="H83" s="102"/>
      <c r="I83" s="102" t="s">
        <v>188</v>
      </c>
      <c r="J83" s="102"/>
      <c r="K83" s="102"/>
      <c r="L83" s="102"/>
      <c r="M83" s="102"/>
      <c r="N83" s="102"/>
      <c r="O83" s="214"/>
      <c r="P83" s="103">
        <v>46293</v>
      </c>
      <c r="Q83" s="103">
        <v>46374</v>
      </c>
      <c r="R83" s="102"/>
      <c r="S83" s="104">
        <v>111</v>
      </c>
      <c r="T83" s="104">
        <v>0</v>
      </c>
      <c r="U83" s="104">
        <v>58</v>
      </c>
      <c r="V83" s="104">
        <v>0</v>
      </c>
      <c r="W83" s="103"/>
      <c r="X83" s="103"/>
      <c r="Y83" s="105">
        <v>0</v>
      </c>
      <c r="Z83" s="106">
        <v>0</v>
      </c>
      <c r="AA83" s="104"/>
      <c r="AB83" s="102"/>
      <c r="AC83" s="102"/>
      <c r="AD83" s="281">
        <v>0</v>
      </c>
      <c r="AE83" s="283">
        <v>0</v>
      </c>
      <c r="AF83" s="118"/>
      <c r="AG83" s="119"/>
      <c r="AH83" s="119"/>
      <c r="AI83" s="119"/>
      <c r="AJ83" s="119"/>
      <c r="AK83" s="119"/>
      <c r="AL83" s="119"/>
      <c r="AM83" s="119"/>
      <c r="AN83" s="119"/>
      <c r="AO83" s="119"/>
      <c r="AP83" s="119"/>
      <c r="AQ83" s="119"/>
      <c r="AR83" s="119"/>
      <c r="AS83" s="119"/>
      <c r="AT83" s="119" t="str">
        <f>" " &amp; TEXT(AE83,"#0.00%") &amp; " "</f>
        <v xml:space="preserve"> 0.00% </v>
      </c>
      <c r="AU83" s="119"/>
      <c r="AV83" s="119"/>
      <c r="AW83" s="119"/>
      <c r="AX83" s="119"/>
      <c r="AY83" s="119"/>
      <c r="AZ83" s="119"/>
      <c r="BA83" s="119"/>
      <c r="BB83" s="119"/>
      <c r="BC83" s="119"/>
      <c r="BD83" s="119"/>
      <c r="BE83" s="119" t="str">
        <f>"      " &amp; "지하철 실내 내비게이션" &amp; " " &amp; IF(P83="","",TEXT(P83,"M/D-")) &amp; IF(Q83="","",TEXT(Q83,"M/D")) &amp; " "</f>
        <v xml:space="preserve">      지하철 실내 내비게이션 9/28-12/18 </v>
      </c>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row>
    <row r="84" spans="1:85" ht="12" customHeight="1" outlineLevel="5">
      <c r="A84" s="101"/>
      <c r="B84" s="101" t="s">
        <v>36</v>
      </c>
      <c r="C84" s="101">
        <v>6</v>
      </c>
      <c r="D84" s="116" t="s">
        <v>189</v>
      </c>
      <c r="E84" s="102"/>
      <c r="F84" s="102"/>
      <c r="G84" s="102"/>
      <c r="H84" s="102"/>
      <c r="I84" s="102"/>
      <c r="J84" s="102" t="s">
        <v>145</v>
      </c>
      <c r="K84" s="102"/>
      <c r="L84" s="102"/>
      <c r="M84" s="102"/>
      <c r="N84" s="102"/>
      <c r="O84" s="214"/>
      <c r="P84" s="103">
        <v>46293</v>
      </c>
      <c r="Q84" s="103">
        <v>46374</v>
      </c>
      <c r="R84" s="102"/>
      <c r="S84" s="104">
        <v>58</v>
      </c>
      <c r="T84" s="104">
        <v>0</v>
      </c>
      <c r="U84" s="104">
        <v>58</v>
      </c>
      <c r="V84" s="104">
        <v>0</v>
      </c>
      <c r="W84" s="103"/>
      <c r="X84" s="103"/>
      <c r="Y84" s="105">
        <v>0</v>
      </c>
      <c r="Z84" s="106">
        <v>0</v>
      </c>
      <c r="AA84" s="104"/>
      <c r="AB84" s="102"/>
      <c r="AC84" s="102"/>
      <c r="AD84" s="281">
        <v>0</v>
      </c>
      <c r="AE84" s="283">
        <v>0</v>
      </c>
      <c r="AF84" s="118"/>
      <c r="AG84" s="119"/>
      <c r="AH84" s="119"/>
      <c r="AI84" s="119"/>
      <c r="AJ84" s="119"/>
      <c r="AK84" s="119"/>
      <c r="AL84" s="119"/>
      <c r="AM84" s="119"/>
      <c r="AN84" s="119"/>
      <c r="AO84" s="119"/>
      <c r="AP84" s="119"/>
      <c r="AQ84" s="119"/>
      <c r="AR84" s="119"/>
      <c r="AS84" s="119"/>
      <c r="AT84" s="119" t="str">
        <f>" " &amp; TEXT(AE84,"#0.00%") &amp; " "</f>
        <v xml:space="preserve"> 0.00% </v>
      </c>
      <c r="AU84" s="119"/>
      <c r="AV84" s="119"/>
      <c r="AW84" s="119"/>
      <c r="AX84" s="119"/>
      <c r="AY84" s="119"/>
      <c r="AZ84" s="119"/>
      <c r="BA84" s="119"/>
      <c r="BB84" s="119"/>
      <c r="BC84" s="119"/>
      <c r="BD84" s="119"/>
      <c r="BE84" s="119" t="str">
        <f>"      " &amp; "기능 개발" &amp; " " &amp; IF(P84="","",TEXT(P84,"M/D-")) &amp; IF(Q84="","",TEXT(Q84,"M/D")) &amp; " "</f>
        <v xml:space="preserve">      기능 개발 9/28-12/18 </v>
      </c>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row>
    <row r="85" spans="1:85" ht="12" customHeight="1" outlineLevel="6">
      <c r="A85" s="101"/>
      <c r="B85" s="101"/>
      <c r="C85" s="101">
        <v>7</v>
      </c>
      <c r="D85" s="116" t="s">
        <v>190</v>
      </c>
      <c r="E85" s="102"/>
      <c r="F85" s="102"/>
      <c r="G85" s="102"/>
      <c r="H85" s="102"/>
      <c r="I85" s="102"/>
      <c r="J85" s="102"/>
      <c r="K85" s="102" t="s">
        <v>1821</v>
      </c>
      <c r="L85" s="102"/>
      <c r="M85" s="102"/>
      <c r="N85" s="102"/>
      <c r="O85" s="214"/>
      <c r="P85" s="103">
        <v>46293</v>
      </c>
      <c r="Q85" s="103">
        <v>46315</v>
      </c>
      <c r="R85" s="102"/>
      <c r="S85" s="104">
        <v>15</v>
      </c>
      <c r="T85" s="104">
        <v>0</v>
      </c>
      <c r="U85" s="104">
        <v>15</v>
      </c>
      <c r="V85" s="104">
        <v>0</v>
      </c>
      <c r="W85" s="103"/>
      <c r="X85" s="103"/>
      <c r="Y85" s="105"/>
      <c r="Z85" s="106">
        <v>0</v>
      </c>
      <c r="AA85" s="104">
        <v>1</v>
      </c>
      <c r="AB85" s="102"/>
      <c r="AC85" s="102"/>
      <c r="AD85" s="281">
        <v>0</v>
      </c>
      <c r="AE85" s="282">
        <v>0</v>
      </c>
      <c r="AF85" s="118"/>
      <c r="AG85" s="119"/>
      <c r="AH85" s="119"/>
      <c r="AI85" s="119"/>
      <c r="AJ85" s="119"/>
      <c r="AK85" s="119"/>
      <c r="AL85" s="119"/>
      <c r="AM85" s="119"/>
      <c r="AN85" s="119"/>
      <c r="AO85" s="119"/>
      <c r="AP85" s="119"/>
      <c r="AQ85" s="119"/>
      <c r="AR85" s="119"/>
      <c r="AS85" s="119"/>
      <c r="AT85" s="119" t="str">
        <f>" " &amp; TEXT(AE85,"#0.00%") &amp; " "</f>
        <v xml:space="preserve"> 0.00% </v>
      </c>
      <c r="AU85" s="119"/>
      <c r="AV85" s="119"/>
      <c r="AW85" s="119" t="str">
        <f>"   " &amp; "실내지도 표출 구현" &amp; " " &amp; IF(P85="","",TEXT(P85,"M/D-")) &amp; IF(Q85="","",TEXT(Q85,"M/D")) &amp; " "</f>
        <v xml:space="preserve">   실내지도 표출 구현 9/28-10/20 </v>
      </c>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row>
    <row r="86" spans="1:85" ht="12" customHeight="1" outlineLevel="6">
      <c r="A86" s="101"/>
      <c r="B86" s="101"/>
      <c r="C86" s="101">
        <v>7</v>
      </c>
      <c r="D86" s="116" t="s">
        <v>191</v>
      </c>
      <c r="E86" s="102"/>
      <c r="F86" s="102"/>
      <c r="G86" s="102"/>
      <c r="H86" s="102"/>
      <c r="I86" s="102"/>
      <c r="J86" s="102"/>
      <c r="K86" s="102" t="s">
        <v>192</v>
      </c>
      <c r="L86" s="102"/>
      <c r="M86" s="102"/>
      <c r="N86" s="102"/>
      <c r="O86" s="214"/>
      <c r="P86" s="103">
        <v>46316</v>
      </c>
      <c r="Q86" s="103">
        <v>46335</v>
      </c>
      <c r="R86" s="102"/>
      <c r="S86" s="104">
        <v>14</v>
      </c>
      <c r="T86" s="104">
        <v>0</v>
      </c>
      <c r="U86" s="104">
        <v>14</v>
      </c>
      <c r="V86" s="104">
        <v>0</v>
      </c>
      <c r="W86" s="103"/>
      <c r="X86" s="103"/>
      <c r="Y86" s="105"/>
      <c r="Z86" s="106">
        <v>0</v>
      </c>
      <c r="AA86" s="104">
        <v>1</v>
      </c>
      <c r="AB86" s="102"/>
      <c r="AC86" s="102"/>
      <c r="AD86" s="281">
        <v>0</v>
      </c>
      <c r="AE86" s="282">
        <v>0</v>
      </c>
      <c r="AF86" s="118"/>
      <c r="AG86" s="119"/>
      <c r="AH86" s="119"/>
      <c r="AI86" s="119"/>
      <c r="AJ86" s="119"/>
      <c r="AK86" s="119"/>
      <c r="AL86" s="119"/>
      <c r="AM86" s="119"/>
      <c r="AN86" s="119"/>
      <c r="AO86" s="119"/>
      <c r="AP86" s="119"/>
      <c r="AQ86" s="119"/>
      <c r="AR86" s="119"/>
      <c r="AS86" s="119"/>
      <c r="AT86" s="119"/>
      <c r="AU86" s="119"/>
      <c r="AV86" s="119"/>
      <c r="AW86" s="119" t="str">
        <f>"   " &amp; TEXT(AE86,"#0.00%") &amp; " "</f>
        <v xml:space="preserve">   0.00% </v>
      </c>
      <c r="AX86" s="119"/>
      <c r="AY86" s="119"/>
      <c r="AZ86" s="119" t="str">
        <f>"  " &amp; "실내 측위 SDK 연동 구현" &amp; " " &amp; IF(P86="","",TEXT(P86,"M/D-")) &amp; IF(Q86="","",TEXT(Q86,"M/D")) &amp; " "</f>
        <v xml:space="preserve">  실내 측위 SDK 연동 구현 10/21-11/9 </v>
      </c>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row>
    <row r="87" spans="1:85" ht="12" customHeight="1" outlineLevel="6">
      <c r="A87" s="101"/>
      <c r="B87" s="101"/>
      <c r="C87" s="101">
        <v>7</v>
      </c>
      <c r="D87" s="116" t="s">
        <v>193</v>
      </c>
      <c r="E87" s="102"/>
      <c r="F87" s="102"/>
      <c r="G87" s="102"/>
      <c r="H87" s="102"/>
      <c r="I87" s="102"/>
      <c r="J87" s="102"/>
      <c r="K87" s="102" t="s">
        <v>194</v>
      </c>
      <c r="L87" s="102"/>
      <c r="M87" s="102"/>
      <c r="N87" s="102"/>
      <c r="O87" s="214"/>
      <c r="P87" s="103">
        <v>46336</v>
      </c>
      <c r="Q87" s="103">
        <v>46358</v>
      </c>
      <c r="R87" s="102"/>
      <c r="S87" s="104">
        <v>17</v>
      </c>
      <c r="T87" s="104">
        <v>0</v>
      </c>
      <c r="U87" s="104">
        <v>17</v>
      </c>
      <c r="V87" s="104">
        <v>0</v>
      </c>
      <c r="W87" s="103"/>
      <c r="X87" s="103"/>
      <c r="Y87" s="105"/>
      <c r="Z87" s="106">
        <v>0</v>
      </c>
      <c r="AA87" s="104">
        <v>1</v>
      </c>
      <c r="AB87" s="102"/>
      <c r="AC87" s="102"/>
      <c r="AD87" s="281">
        <v>0</v>
      </c>
      <c r="AE87" s="282">
        <v>0</v>
      </c>
      <c r="AF87" s="118"/>
      <c r="AG87" s="119"/>
      <c r="AH87" s="119"/>
      <c r="AI87" s="119"/>
      <c r="AJ87" s="119"/>
      <c r="AK87" s="119"/>
      <c r="AL87" s="119"/>
      <c r="AM87" s="119"/>
      <c r="AN87" s="119"/>
      <c r="AO87" s="119"/>
      <c r="AP87" s="119"/>
      <c r="AQ87" s="119"/>
      <c r="AR87" s="119"/>
      <c r="AS87" s="119"/>
      <c r="AT87" s="119"/>
      <c r="AU87" s="119"/>
      <c r="AV87" s="119"/>
      <c r="AW87" s="119"/>
      <c r="AX87" s="119"/>
      <c r="AY87" s="119"/>
      <c r="AZ87" s="119" t="str">
        <f>"  " &amp; TEXT(AE87,"#0.00%") &amp; " "</f>
        <v xml:space="preserve">  0.00% </v>
      </c>
      <c r="BA87" s="119"/>
      <c r="BB87" s="119"/>
      <c r="BC87" s="119" t="str">
        <f>"    " &amp; "실내 경로 안내 화면 구현" &amp; " " &amp; IF(P87="","",TEXT(P87,"M/D-")) &amp; IF(Q87="","",TEXT(Q87,"M/D")) &amp; " "</f>
        <v xml:space="preserve">    실내 경로 안내 화면 구현 11/10-12/2 </v>
      </c>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row>
    <row r="88" spans="1:85" ht="12" customHeight="1" outlineLevel="6">
      <c r="A88" s="101"/>
      <c r="B88" s="101"/>
      <c r="C88" s="101">
        <v>7</v>
      </c>
      <c r="D88" s="116" t="s">
        <v>195</v>
      </c>
      <c r="E88" s="102"/>
      <c r="F88" s="102"/>
      <c r="G88" s="102"/>
      <c r="H88" s="102"/>
      <c r="I88" s="102"/>
      <c r="J88" s="102"/>
      <c r="K88" s="102" t="s">
        <v>196</v>
      </c>
      <c r="L88" s="102"/>
      <c r="M88" s="102"/>
      <c r="N88" s="102"/>
      <c r="O88" s="214"/>
      <c r="P88" s="103">
        <v>46359</v>
      </c>
      <c r="Q88" s="103">
        <v>46374</v>
      </c>
      <c r="R88" s="102"/>
      <c r="S88" s="104">
        <v>12</v>
      </c>
      <c r="T88" s="104">
        <v>0</v>
      </c>
      <c r="U88" s="104">
        <v>12</v>
      </c>
      <c r="V88" s="104">
        <v>0</v>
      </c>
      <c r="W88" s="103"/>
      <c r="X88" s="103"/>
      <c r="Y88" s="105"/>
      <c r="Z88" s="106">
        <v>0</v>
      </c>
      <c r="AA88" s="104">
        <v>1</v>
      </c>
      <c r="AB88" s="102"/>
      <c r="AC88" s="102"/>
      <c r="AD88" s="281">
        <v>0</v>
      </c>
      <c r="AE88" s="282">
        <v>0</v>
      </c>
      <c r="AF88" s="118"/>
      <c r="AG88" s="119"/>
      <c r="AH88" s="119"/>
      <c r="AI88" s="119"/>
      <c r="AJ88" s="119"/>
      <c r="AK88" s="119"/>
      <c r="AL88" s="119"/>
      <c r="AM88" s="119"/>
      <c r="AN88" s="119"/>
      <c r="AO88" s="119"/>
      <c r="AP88" s="119"/>
      <c r="AQ88" s="119"/>
      <c r="AR88" s="119"/>
      <c r="AS88" s="119"/>
      <c r="AT88" s="119"/>
      <c r="AU88" s="119"/>
      <c r="AV88" s="119"/>
      <c r="AW88" s="119"/>
      <c r="AX88" s="119"/>
      <c r="AY88" s="119"/>
      <c r="AZ88" s="119"/>
      <c r="BA88" s="119"/>
      <c r="BB88" s="119"/>
      <c r="BC88" s="119" t="str">
        <f>"    " &amp; TEXT(AE88,"#0.00%") &amp; " " &amp; "실외↔실내 자동 전환 구현" &amp; " " &amp; IF(P88="","",TEXT(P88,"M/D-")) &amp; IF(Q88="","",TEXT(Q88,"M/D")) &amp; " "</f>
        <v xml:space="preserve">    0.00% 실외↔실내 자동 전환 구현 12/3-12/18 </v>
      </c>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row>
    <row r="89" spans="1:85" ht="12" customHeight="1" outlineLevel="5">
      <c r="A89" s="101"/>
      <c r="B89" s="101"/>
      <c r="C89" s="101">
        <v>6</v>
      </c>
      <c r="D89" s="116" t="s">
        <v>197</v>
      </c>
      <c r="E89" s="102"/>
      <c r="F89" s="102"/>
      <c r="G89" s="102"/>
      <c r="H89" s="102"/>
      <c r="I89" s="102"/>
      <c r="J89" s="102" t="s">
        <v>156</v>
      </c>
      <c r="K89" s="102"/>
      <c r="L89" s="102"/>
      <c r="M89" s="102"/>
      <c r="N89" s="102"/>
      <c r="O89" s="214"/>
      <c r="P89" s="103">
        <v>46300</v>
      </c>
      <c r="Q89" s="103">
        <v>46374</v>
      </c>
      <c r="R89" s="102"/>
      <c r="S89" s="104">
        <v>53</v>
      </c>
      <c r="T89" s="104">
        <v>0</v>
      </c>
      <c r="U89" s="104">
        <v>53</v>
      </c>
      <c r="V89" s="104">
        <v>0</v>
      </c>
      <c r="W89" s="103">
        <v>46163</v>
      </c>
      <c r="X89" s="103"/>
      <c r="Y89" s="105">
        <v>-32968</v>
      </c>
      <c r="Z89" s="106">
        <v>0</v>
      </c>
      <c r="AA89" s="104">
        <v>1</v>
      </c>
      <c r="AB89" s="102"/>
      <c r="AC89" s="102"/>
      <c r="AD89" s="281">
        <v>0</v>
      </c>
      <c r="AE89" s="282">
        <v>0</v>
      </c>
      <c r="AF89" s="118"/>
      <c r="AG89" s="119"/>
      <c r="AH89" s="119"/>
      <c r="AI89" s="119"/>
      <c r="AJ89" s="119"/>
      <c r="AK89" s="119"/>
      <c r="AL89" s="119"/>
      <c r="AM89" s="119"/>
      <c r="AN89" s="119"/>
      <c r="AO89" s="119"/>
      <c r="AP89" s="119"/>
      <c r="AQ89" s="119"/>
      <c r="AR89" s="119"/>
      <c r="AS89" s="119"/>
      <c r="AT89" s="119"/>
      <c r="AU89" s="119" t="str">
        <f>" " &amp; TEXT(AE89,"#0.00%") &amp; " "</f>
        <v xml:space="preserve"> 0.00% </v>
      </c>
      <c r="AV89" s="119"/>
      <c r="AW89" s="119"/>
      <c r="AX89" s="119"/>
      <c r="AY89" s="119"/>
      <c r="AZ89" s="119"/>
      <c r="BA89" s="119"/>
      <c r="BB89" s="119"/>
      <c r="BC89" s="119"/>
      <c r="BD89" s="119"/>
      <c r="BE89" s="119" t="str">
        <f>"      " &amp; "단위테스트" &amp; " " &amp; IF(P89="","",TEXT(P89,"M/D-")) &amp; IF(Q89="","",TEXT(Q89,"M/D")) &amp; " "</f>
        <v xml:space="preserve">      단위테스트 10/5-12/18 </v>
      </c>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row>
    <row r="90" spans="1:85" ht="12" customHeight="1" outlineLevel="4">
      <c r="A90" s="101"/>
      <c r="B90" s="101" t="s">
        <v>36</v>
      </c>
      <c r="C90" s="101">
        <v>5</v>
      </c>
      <c r="D90" s="116" t="s">
        <v>198</v>
      </c>
      <c r="E90" s="102"/>
      <c r="F90" s="102"/>
      <c r="G90" s="102"/>
      <c r="H90" s="102"/>
      <c r="I90" s="102" t="s">
        <v>199</v>
      </c>
      <c r="J90" s="102"/>
      <c r="K90" s="102"/>
      <c r="L90" s="102"/>
      <c r="M90" s="102"/>
      <c r="N90" s="102"/>
      <c r="O90" s="214" t="s">
        <v>200</v>
      </c>
      <c r="P90" s="103">
        <v>46293</v>
      </c>
      <c r="Q90" s="103">
        <v>46374</v>
      </c>
      <c r="R90" s="102"/>
      <c r="S90" s="104">
        <v>111</v>
      </c>
      <c r="T90" s="104">
        <v>0</v>
      </c>
      <c r="U90" s="104">
        <v>58</v>
      </c>
      <c r="V90" s="104">
        <v>0</v>
      </c>
      <c r="W90" s="103"/>
      <c r="X90" s="103"/>
      <c r="Y90" s="105">
        <v>0</v>
      </c>
      <c r="Z90" s="106">
        <v>0</v>
      </c>
      <c r="AA90" s="104"/>
      <c r="AB90" s="102"/>
      <c r="AC90" s="102"/>
      <c r="AD90" s="281">
        <v>0</v>
      </c>
      <c r="AE90" s="283">
        <v>0</v>
      </c>
      <c r="AF90" s="118"/>
      <c r="AG90" s="119"/>
      <c r="AH90" s="119"/>
      <c r="AI90" s="119"/>
      <c r="AJ90" s="119"/>
      <c r="AK90" s="119"/>
      <c r="AL90" s="119"/>
      <c r="AM90" s="119"/>
      <c r="AN90" s="119"/>
      <c r="AO90" s="119"/>
      <c r="AP90" s="119"/>
      <c r="AQ90" s="119"/>
      <c r="AR90" s="119"/>
      <c r="AS90" s="119"/>
      <c r="AT90" s="119" t="str">
        <f>" " &amp; TEXT(AE90,"#0.00%") &amp; " "</f>
        <v xml:space="preserve"> 0.00% </v>
      </c>
      <c r="AU90" s="119"/>
      <c r="AV90" s="119"/>
      <c r="AW90" s="119"/>
      <c r="AX90" s="119"/>
      <c r="AY90" s="119"/>
      <c r="AZ90" s="119"/>
      <c r="BA90" s="119"/>
      <c r="BB90" s="119"/>
      <c r="BC90" s="119"/>
      <c r="BD90" s="119"/>
      <c r="BE90" s="119" t="str">
        <f>"      " &amp; "음성안내" &amp; " " &amp; IF(P90="","",TEXT(P90,"M/D-")) &amp; IF(Q90="","",TEXT(Q90,"M/D")) &amp; " "</f>
        <v xml:space="preserve">      음성안내 9/28-12/18 </v>
      </c>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row>
    <row r="91" spans="1:85" ht="12" customHeight="1" outlineLevel="5">
      <c r="A91" s="101"/>
      <c r="B91" s="101" t="s">
        <v>36</v>
      </c>
      <c r="C91" s="101">
        <v>6</v>
      </c>
      <c r="D91" s="116" t="s">
        <v>201</v>
      </c>
      <c r="E91" s="102"/>
      <c r="F91" s="102"/>
      <c r="G91" s="102"/>
      <c r="H91" s="102"/>
      <c r="I91" s="102"/>
      <c r="J91" s="102" t="s">
        <v>145</v>
      </c>
      <c r="K91" s="102"/>
      <c r="L91" s="102"/>
      <c r="M91" s="102"/>
      <c r="N91" s="102"/>
      <c r="O91" s="214"/>
      <c r="P91" s="103">
        <v>46293</v>
      </c>
      <c r="Q91" s="103">
        <v>46374</v>
      </c>
      <c r="R91" s="102"/>
      <c r="S91" s="104">
        <v>58</v>
      </c>
      <c r="T91" s="104">
        <v>0</v>
      </c>
      <c r="U91" s="104">
        <v>58</v>
      </c>
      <c r="V91" s="104">
        <v>0</v>
      </c>
      <c r="W91" s="103"/>
      <c r="X91" s="103"/>
      <c r="Y91" s="105">
        <v>0</v>
      </c>
      <c r="Z91" s="106">
        <v>0</v>
      </c>
      <c r="AA91" s="104"/>
      <c r="AB91" s="102"/>
      <c r="AC91" s="102"/>
      <c r="AD91" s="281">
        <v>0</v>
      </c>
      <c r="AE91" s="283">
        <v>0</v>
      </c>
      <c r="AF91" s="118"/>
      <c r="AG91" s="119"/>
      <c r="AH91" s="119"/>
      <c r="AI91" s="119"/>
      <c r="AJ91" s="119"/>
      <c r="AK91" s="119"/>
      <c r="AL91" s="119"/>
      <c r="AM91" s="119"/>
      <c r="AN91" s="119"/>
      <c r="AO91" s="119"/>
      <c r="AP91" s="119"/>
      <c r="AQ91" s="119"/>
      <c r="AR91" s="119"/>
      <c r="AS91" s="119"/>
      <c r="AT91" s="119" t="str">
        <f>" " &amp; TEXT(AE91,"#0.00%") &amp; " "</f>
        <v xml:space="preserve"> 0.00% </v>
      </c>
      <c r="AU91" s="119"/>
      <c r="AV91" s="119"/>
      <c r="AW91" s="119"/>
      <c r="AX91" s="119"/>
      <c r="AY91" s="119"/>
      <c r="AZ91" s="119"/>
      <c r="BA91" s="119"/>
      <c r="BB91" s="119"/>
      <c r="BC91" s="119"/>
      <c r="BD91" s="119"/>
      <c r="BE91" s="119" t="str">
        <f>"      " &amp; "기능 개발" &amp; " " &amp; IF(P91="","",TEXT(P91,"M/D-")) &amp; IF(Q91="","",TEXT(Q91,"M/D")) &amp; " "</f>
        <v xml:space="preserve">      기능 개발 9/28-12/18 </v>
      </c>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row>
    <row r="92" spans="1:85" ht="12" customHeight="1" outlineLevel="6">
      <c r="A92" s="101"/>
      <c r="B92" s="101"/>
      <c r="C92" s="101">
        <v>7</v>
      </c>
      <c r="D92" s="116" t="s">
        <v>202</v>
      </c>
      <c r="E92" s="102"/>
      <c r="F92" s="102"/>
      <c r="G92" s="102"/>
      <c r="H92" s="102"/>
      <c r="I92" s="102"/>
      <c r="J92" s="102"/>
      <c r="K92" s="102" t="s">
        <v>203</v>
      </c>
      <c r="L92" s="102"/>
      <c r="M92" s="102"/>
      <c r="N92" s="102"/>
      <c r="O92" s="214"/>
      <c r="P92" s="103">
        <v>46293</v>
      </c>
      <c r="Q92" s="103">
        <v>46310</v>
      </c>
      <c r="R92" s="102"/>
      <c r="S92" s="104">
        <v>12</v>
      </c>
      <c r="T92" s="104">
        <v>0</v>
      </c>
      <c r="U92" s="104">
        <v>12</v>
      </c>
      <c r="V92" s="104">
        <v>0</v>
      </c>
      <c r="W92" s="103"/>
      <c r="X92" s="103"/>
      <c r="Y92" s="105"/>
      <c r="Z92" s="106">
        <v>0</v>
      </c>
      <c r="AA92" s="104">
        <v>1</v>
      </c>
      <c r="AB92" s="102"/>
      <c r="AC92" s="102"/>
      <c r="AD92" s="281">
        <v>0</v>
      </c>
      <c r="AE92" s="282">
        <v>0</v>
      </c>
      <c r="AF92" s="118"/>
      <c r="AG92" s="119"/>
      <c r="AH92" s="119"/>
      <c r="AI92" s="119"/>
      <c r="AJ92" s="119"/>
      <c r="AK92" s="119"/>
      <c r="AL92" s="119"/>
      <c r="AM92" s="119"/>
      <c r="AN92" s="119"/>
      <c r="AO92" s="119"/>
      <c r="AP92" s="119"/>
      <c r="AQ92" s="119"/>
      <c r="AR92" s="119"/>
      <c r="AS92" s="119"/>
      <c r="AT92" s="119" t="str">
        <f>" " &amp; TEXT(AE92,"#0.00%") &amp; " " &amp; "음성, 진동, 화면 3채널 안내 기반 구현" &amp; " " &amp; IF(P92="","",TEXT(P92,"M/D-")) &amp; IF(Q92="","",TEXT(Q92,"M/D")) &amp; " "</f>
        <v xml:space="preserve"> 0.00% 음성, 진동, 화면 3채널 안내 기반 구현 9/28-10/15 </v>
      </c>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row>
    <row r="93" spans="1:85" ht="12" customHeight="1" outlineLevel="6">
      <c r="A93" s="101"/>
      <c r="B93" s="101"/>
      <c r="C93" s="101">
        <v>7</v>
      </c>
      <c r="D93" s="116" t="s">
        <v>204</v>
      </c>
      <c r="E93" s="102"/>
      <c r="F93" s="102"/>
      <c r="G93" s="102"/>
      <c r="H93" s="102"/>
      <c r="I93" s="102"/>
      <c r="J93" s="102"/>
      <c r="K93" s="102" t="s">
        <v>205</v>
      </c>
      <c r="L93" s="102"/>
      <c r="M93" s="102"/>
      <c r="N93" s="102"/>
      <c r="O93" s="214"/>
      <c r="P93" s="103">
        <v>46311</v>
      </c>
      <c r="Q93" s="103">
        <v>46328</v>
      </c>
      <c r="R93" s="102"/>
      <c r="S93" s="104">
        <v>12</v>
      </c>
      <c r="T93" s="104">
        <v>0</v>
      </c>
      <c r="U93" s="104">
        <v>12</v>
      </c>
      <c r="V93" s="104">
        <v>0</v>
      </c>
      <c r="W93" s="103"/>
      <c r="X93" s="103"/>
      <c r="Y93" s="105"/>
      <c r="Z93" s="106">
        <v>0</v>
      </c>
      <c r="AA93" s="104">
        <v>1</v>
      </c>
      <c r="AB93" s="102"/>
      <c r="AC93" s="102"/>
      <c r="AD93" s="281">
        <v>0</v>
      </c>
      <c r="AE93" s="282">
        <v>0</v>
      </c>
      <c r="AF93" s="118"/>
      <c r="AG93" s="119"/>
      <c r="AH93" s="119"/>
      <c r="AI93" s="119"/>
      <c r="AJ93" s="119"/>
      <c r="AK93" s="119"/>
      <c r="AL93" s="119"/>
      <c r="AM93" s="119"/>
      <c r="AN93" s="119"/>
      <c r="AO93" s="119"/>
      <c r="AP93" s="119"/>
      <c r="AQ93" s="119"/>
      <c r="AR93" s="119"/>
      <c r="AS93" s="119"/>
      <c r="AT93" s="119"/>
      <c r="AU93" s="119"/>
      <c r="AV93" s="119" t="str">
        <f>"     " &amp; TEXT(AE93,"#0.00%") &amp; " " &amp; "턴바이턴 도보 안내 음성 구현" &amp; " " &amp; IF(P93="","",TEXT(P93,"M/D-")) &amp; IF(Q93="","",TEXT(Q93,"M/D")) &amp; " "</f>
        <v xml:space="preserve">     0.00% 턴바이턴 도보 안내 음성 구현 10/16-11/2 </v>
      </c>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row>
    <row r="94" spans="1:85" ht="12" customHeight="1" outlineLevel="6">
      <c r="A94" s="101"/>
      <c r="B94" s="101"/>
      <c r="C94" s="101">
        <v>7</v>
      </c>
      <c r="D94" s="116" t="s">
        <v>206</v>
      </c>
      <c r="E94" s="102"/>
      <c r="F94" s="102"/>
      <c r="G94" s="102"/>
      <c r="H94" s="102"/>
      <c r="I94" s="102"/>
      <c r="J94" s="102"/>
      <c r="K94" s="102" t="s">
        <v>207</v>
      </c>
      <c r="L94" s="102"/>
      <c r="M94" s="102"/>
      <c r="N94" s="102"/>
      <c r="O94" s="214"/>
      <c r="P94" s="103">
        <v>46329</v>
      </c>
      <c r="Q94" s="103">
        <v>46342</v>
      </c>
      <c r="R94" s="102"/>
      <c r="S94" s="104">
        <v>10</v>
      </c>
      <c r="T94" s="104">
        <v>0</v>
      </c>
      <c r="U94" s="104">
        <v>10</v>
      </c>
      <c r="V94" s="104">
        <v>0</v>
      </c>
      <c r="W94" s="103"/>
      <c r="X94" s="103"/>
      <c r="Y94" s="105"/>
      <c r="Z94" s="106">
        <v>0</v>
      </c>
      <c r="AA94" s="104">
        <v>1</v>
      </c>
      <c r="AB94" s="102"/>
      <c r="AC94" s="102"/>
      <c r="AD94" s="281">
        <v>0</v>
      </c>
      <c r="AE94" s="282">
        <v>0</v>
      </c>
      <c r="AF94" s="118"/>
      <c r="AG94" s="119"/>
      <c r="AH94" s="119"/>
      <c r="AI94" s="119"/>
      <c r="AJ94" s="119"/>
      <c r="AK94" s="119"/>
      <c r="AL94" s="119"/>
      <c r="AM94" s="119"/>
      <c r="AN94" s="119"/>
      <c r="AO94" s="119"/>
      <c r="AP94" s="119"/>
      <c r="AQ94" s="119"/>
      <c r="AR94" s="119"/>
      <c r="AS94" s="119"/>
      <c r="AT94" s="119"/>
      <c r="AU94" s="119"/>
      <c r="AV94" s="119"/>
      <c r="AW94" s="119"/>
      <c r="AX94" s="119"/>
      <c r="AY94" s="119" t="str">
        <f>"  " &amp; TEXT(AE94,"#0.00%") &amp; " " &amp; "주의구간 사전 경고 음성 구현" &amp; " " &amp; IF(P94="","",TEXT(P94,"M/D-")) &amp; IF(Q94="","",TEXT(Q94,"M/D")) &amp; " "</f>
        <v xml:space="preserve">  0.00% 주의구간 사전 경고 음성 구현 11/3-11/16 </v>
      </c>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row>
    <row r="95" spans="1:85" ht="12" customHeight="1" outlineLevel="6">
      <c r="A95" s="101"/>
      <c r="B95" s="101"/>
      <c r="C95" s="101">
        <v>7</v>
      </c>
      <c r="D95" s="116" t="s">
        <v>208</v>
      </c>
      <c r="E95" s="102"/>
      <c r="F95" s="102"/>
      <c r="G95" s="102"/>
      <c r="H95" s="102"/>
      <c r="I95" s="102"/>
      <c r="J95" s="102"/>
      <c r="K95" s="102" t="s">
        <v>209</v>
      </c>
      <c r="L95" s="102"/>
      <c r="M95" s="102"/>
      <c r="N95" s="102"/>
      <c r="O95" s="214"/>
      <c r="P95" s="103">
        <v>46343</v>
      </c>
      <c r="Q95" s="103">
        <v>46352</v>
      </c>
      <c r="R95" s="102"/>
      <c r="S95" s="104">
        <v>8</v>
      </c>
      <c r="T95" s="104">
        <v>0</v>
      </c>
      <c r="U95" s="104">
        <v>8</v>
      </c>
      <c r="V95" s="104">
        <v>0</v>
      </c>
      <c r="W95" s="103"/>
      <c r="X95" s="103"/>
      <c r="Y95" s="105"/>
      <c r="Z95" s="106">
        <v>0</v>
      </c>
      <c r="AA95" s="104">
        <v>1</v>
      </c>
      <c r="AB95" s="102"/>
      <c r="AC95" s="102"/>
      <c r="AD95" s="281">
        <v>0</v>
      </c>
      <c r="AE95" s="282">
        <v>0</v>
      </c>
      <c r="AF95" s="118"/>
      <c r="AG95" s="119"/>
      <c r="AH95" s="119"/>
      <c r="AI95" s="119"/>
      <c r="AJ95" s="119"/>
      <c r="AK95" s="119"/>
      <c r="AL95" s="119"/>
      <c r="AM95" s="119"/>
      <c r="AN95" s="119"/>
      <c r="AO95" s="119"/>
      <c r="AP95" s="119"/>
      <c r="AQ95" s="119"/>
      <c r="AR95" s="119"/>
      <c r="AS95" s="119"/>
      <c r="AT95" s="119"/>
      <c r="AU95" s="119"/>
      <c r="AV95" s="119"/>
      <c r="AW95" s="119"/>
      <c r="AX95" s="119"/>
      <c r="AY95" s="119"/>
      <c r="AZ95" s="119"/>
      <c r="BA95" s="119" t="str">
        <f>"  " &amp; TEXT(AE95,"#0.00%") &amp; " " &amp; "이벤트별 진동 패턴 구현" &amp; " " &amp; IF(P95="","",TEXT(P95,"M/D-")) &amp; IF(Q95="","",TEXT(Q95,"M/D")) &amp; " "</f>
        <v xml:space="preserve">  0.00% 이벤트별 진동 패턴 구현 11/17-11/26 </v>
      </c>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row>
    <row r="96" spans="1:85" ht="12" customHeight="1" outlineLevel="6">
      <c r="A96" s="101"/>
      <c r="B96" s="101"/>
      <c r="C96" s="101">
        <v>7</v>
      </c>
      <c r="D96" s="116" t="s">
        <v>210</v>
      </c>
      <c r="E96" s="102"/>
      <c r="F96" s="102"/>
      <c r="G96" s="102"/>
      <c r="H96" s="102"/>
      <c r="I96" s="102"/>
      <c r="J96" s="102"/>
      <c r="K96" s="102" t="s">
        <v>211</v>
      </c>
      <c r="L96" s="102"/>
      <c r="M96" s="102"/>
      <c r="N96" s="102"/>
      <c r="O96" s="214"/>
      <c r="P96" s="103">
        <v>46353</v>
      </c>
      <c r="Q96" s="103">
        <v>46374</v>
      </c>
      <c r="R96" s="102"/>
      <c r="S96" s="104">
        <v>16</v>
      </c>
      <c r="T96" s="104">
        <v>0</v>
      </c>
      <c r="U96" s="104">
        <v>16</v>
      </c>
      <c r="V96" s="104">
        <v>0</v>
      </c>
      <c r="W96" s="103"/>
      <c r="X96" s="103"/>
      <c r="Y96" s="105"/>
      <c r="Z96" s="106">
        <v>0</v>
      </c>
      <c r="AA96" s="104">
        <v>1</v>
      </c>
      <c r="AB96" s="102"/>
      <c r="AC96" s="102"/>
      <c r="AD96" s="281">
        <v>0</v>
      </c>
      <c r="AE96" s="282">
        <v>0</v>
      </c>
      <c r="AF96" s="118"/>
      <c r="AG96" s="119"/>
      <c r="AH96" s="119"/>
      <c r="AI96" s="119"/>
      <c r="AJ96" s="119"/>
      <c r="AK96" s="119"/>
      <c r="AL96" s="119"/>
      <c r="AM96" s="119"/>
      <c r="AN96" s="119"/>
      <c r="AO96" s="119"/>
      <c r="AP96" s="119"/>
      <c r="AQ96" s="119"/>
      <c r="AR96" s="119"/>
      <c r="AS96" s="119"/>
      <c r="AT96" s="119"/>
      <c r="AU96" s="119"/>
      <c r="AV96" s="119"/>
      <c r="AW96" s="119"/>
      <c r="AX96" s="119"/>
      <c r="AY96" s="119"/>
      <c r="AZ96" s="119"/>
      <c r="BA96" s="119"/>
      <c r="BB96" s="119" t="str">
        <f>"     " &amp; TEXT(AE96,"#0.00%") &amp; " " &amp; "전맹 음성 전용 모드 화면 구현" &amp; " " &amp; IF(P96="","",TEXT(P96,"M/D-")) &amp; IF(Q96="","",TEXT(Q96,"M/D")) &amp; " "</f>
        <v xml:space="preserve">     0.00% 전맹 음성 전용 모드 화면 구현 11/27-12/18 </v>
      </c>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row>
    <row r="97" spans="1:85" ht="12" customHeight="1" outlineLevel="5">
      <c r="A97" s="101"/>
      <c r="B97" s="101"/>
      <c r="C97" s="101">
        <v>6</v>
      </c>
      <c r="D97" s="116" t="s">
        <v>212</v>
      </c>
      <c r="E97" s="102"/>
      <c r="F97" s="102"/>
      <c r="G97" s="102"/>
      <c r="H97" s="102"/>
      <c r="I97" s="102"/>
      <c r="J97" s="102" t="s">
        <v>156</v>
      </c>
      <c r="K97" s="102"/>
      <c r="L97" s="102"/>
      <c r="M97" s="102"/>
      <c r="N97" s="102"/>
      <c r="O97" s="214"/>
      <c r="P97" s="103">
        <v>46300</v>
      </c>
      <c r="Q97" s="103">
        <v>46374</v>
      </c>
      <c r="R97" s="102"/>
      <c r="S97" s="104">
        <v>53</v>
      </c>
      <c r="T97" s="104">
        <v>0</v>
      </c>
      <c r="U97" s="104">
        <v>53</v>
      </c>
      <c r="V97" s="104">
        <v>0</v>
      </c>
      <c r="W97" s="103">
        <v>46163</v>
      </c>
      <c r="X97" s="103"/>
      <c r="Y97" s="105">
        <v>-32968</v>
      </c>
      <c r="Z97" s="106">
        <v>0</v>
      </c>
      <c r="AA97" s="104">
        <v>1</v>
      </c>
      <c r="AB97" s="102"/>
      <c r="AC97" s="102"/>
      <c r="AD97" s="281">
        <v>0</v>
      </c>
      <c r="AE97" s="282">
        <v>0</v>
      </c>
      <c r="AF97" s="118"/>
      <c r="AG97" s="119"/>
      <c r="AH97" s="119"/>
      <c r="AI97" s="119"/>
      <c r="AJ97" s="119"/>
      <c r="AK97" s="119"/>
      <c r="AL97" s="119"/>
      <c r="AM97" s="119"/>
      <c r="AN97" s="119"/>
      <c r="AO97" s="119"/>
      <c r="AP97" s="119"/>
      <c r="AQ97" s="119"/>
      <c r="AR97" s="119"/>
      <c r="AS97" s="119"/>
      <c r="AT97" s="119"/>
      <c r="AU97" s="119" t="str">
        <f>" " &amp; TEXT(AE97,"#0.00%") &amp; " "</f>
        <v xml:space="preserve"> 0.00% </v>
      </c>
      <c r="AV97" s="119"/>
      <c r="AW97" s="119"/>
      <c r="AX97" s="119"/>
      <c r="AY97" s="119"/>
      <c r="AZ97" s="119"/>
      <c r="BA97" s="119"/>
      <c r="BB97" s="119"/>
      <c r="BC97" s="119"/>
      <c r="BD97" s="119"/>
      <c r="BE97" s="119" t="str">
        <f>"      " &amp; "단위테스트" &amp; " " &amp; IF(P97="","",TEXT(P97,"M/D-")) &amp; IF(Q97="","",TEXT(Q97,"M/D")) &amp; " "</f>
        <v xml:space="preserve">      단위테스트 10/5-12/18 </v>
      </c>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row>
    <row r="98" spans="1:85" ht="12" customHeight="1" outlineLevel="4">
      <c r="A98" s="101"/>
      <c r="B98" s="101" t="s">
        <v>36</v>
      </c>
      <c r="C98" s="101">
        <v>5</v>
      </c>
      <c r="D98" s="116" t="s">
        <v>213</v>
      </c>
      <c r="E98" s="102"/>
      <c r="F98" s="102"/>
      <c r="G98" s="102"/>
      <c r="H98" s="102"/>
      <c r="I98" s="102" t="s">
        <v>214</v>
      </c>
      <c r="J98" s="102"/>
      <c r="K98" s="102"/>
      <c r="L98" s="102"/>
      <c r="M98" s="102"/>
      <c r="N98" s="102"/>
      <c r="O98" s="214"/>
      <c r="P98" s="103">
        <v>46356</v>
      </c>
      <c r="Q98" s="103">
        <v>46374</v>
      </c>
      <c r="R98" s="102"/>
      <c r="S98" s="104">
        <v>30</v>
      </c>
      <c r="T98" s="104">
        <v>0</v>
      </c>
      <c r="U98" s="104">
        <v>15</v>
      </c>
      <c r="V98" s="104">
        <v>0</v>
      </c>
      <c r="W98" s="103"/>
      <c r="X98" s="103"/>
      <c r="Y98" s="105">
        <v>0</v>
      </c>
      <c r="Z98" s="106">
        <v>0</v>
      </c>
      <c r="AA98" s="104"/>
      <c r="AB98" s="102"/>
      <c r="AC98" s="102"/>
      <c r="AD98" s="281">
        <v>0</v>
      </c>
      <c r="AE98" s="283">
        <v>0</v>
      </c>
      <c r="AF98" s="118"/>
      <c r="AG98" s="119"/>
      <c r="AH98" s="119"/>
      <c r="AI98" s="119"/>
      <c r="AJ98" s="119"/>
      <c r="AK98" s="119"/>
      <c r="AL98" s="119"/>
      <c r="AM98" s="119"/>
      <c r="AN98" s="119"/>
      <c r="AO98" s="119"/>
      <c r="AP98" s="119"/>
      <c r="AQ98" s="119"/>
      <c r="AR98" s="119"/>
      <c r="AS98" s="119"/>
      <c r="AT98" s="119"/>
      <c r="AU98" s="119"/>
      <c r="AV98" s="119"/>
      <c r="AW98" s="119"/>
      <c r="AX98" s="119"/>
      <c r="AY98" s="119"/>
      <c r="AZ98" s="119"/>
      <c r="BA98" s="119"/>
      <c r="BB98" s="119"/>
      <c r="BC98" s="119" t="str">
        <f>" " &amp; TEXT(AE98,"#0.00%") &amp; " " &amp; "버스 예약, 승차 및 하차 안내" &amp; " " &amp; IF(P98="","",TEXT(P98,"M/D-")) &amp; IF(Q98="","",TEXT(Q98,"M/D")) &amp; " "</f>
        <v xml:space="preserve"> 0.00% 버스 예약, 승차 및 하차 안내 11/30-12/18 </v>
      </c>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row>
    <row r="99" spans="1:85" ht="12" customHeight="1" outlineLevel="5">
      <c r="A99" s="101"/>
      <c r="B99" s="101" t="s">
        <v>36</v>
      </c>
      <c r="C99" s="101">
        <v>6</v>
      </c>
      <c r="D99" s="116" t="s">
        <v>215</v>
      </c>
      <c r="E99" s="102"/>
      <c r="F99" s="102"/>
      <c r="G99" s="102"/>
      <c r="H99" s="102"/>
      <c r="I99" s="102"/>
      <c r="J99" s="102" t="s">
        <v>145</v>
      </c>
      <c r="K99" s="102"/>
      <c r="L99" s="102"/>
      <c r="M99" s="102"/>
      <c r="N99" s="102"/>
      <c r="O99" s="214"/>
      <c r="P99" s="103">
        <v>46356</v>
      </c>
      <c r="Q99" s="103">
        <v>46374</v>
      </c>
      <c r="R99" s="102"/>
      <c r="S99" s="104">
        <v>15</v>
      </c>
      <c r="T99" s="104">
        <v>0</v>
      </c>
      <c r="U99" s="104">
        <v>15</v>
      </c>
      <c r="V99" s="104">
        <v>0</v>
      </c>
      <c r="W99" s="103"/>
      <c r="X99" s="103"/>
      <c r="Y99" s="105">
        <v>0</v>
      </c>
      <c r="Z99" s="106">
        <v>0</v>
      </c>
      <c r="AA99" s="104"/>
      <c r="AB99" s="102"/>
      <c r="AC99" s="102"/>
      <c r="AD99" s="281">
        <v>0</v>
      </c>
      <c r="AE99" s="283">
        <v>0</v>
      </c>
      <c r="AF99" s="118"/>
      <c r="AG99" s="119"/>
      <c r="AH99" s="119"/>
      <c r="AI99" s="119"/>
      <c r="AJ99" s="119"/>
      <c r="AK99" s="119"/>
      <c r="AL99" s="119"/>
      <c r="AM99" s="119"/>
      <c r="AN99" s="119"/>
      <c r="AO99" s="119"/>
      <c r="AP99" s="119"/>
      <c r="AQ99" s="119"/>
      <c r="AR99" s="119"/>
      <c r="AS99" s="119"/>
      <c r="AT99" s="119"/>
      <c r="AU99" s="119"/>
      <c r="AV99" s="119"/>
      <c r="AW99" s="119"/>
      <c r="AX99" s="119"/>
      <c r="AY99" s="119"/>
      <c r="AZ99" s="119"/>
      <c r="BA99" s="119"/>
      <c r="BB99" s="119"/>
      <c r="BC99" s="119" t="str">
        <f>" " &amp; TEXT(AE99,"#0.00%") &amp; " " &amp; "기능 개발" &amp; " " &amp; IF(P99="","",TEXT(P99,"M/D-")) &amp; IF(Q99="","",TEXT(Q99,"M/D")) &amp; " "</f>
        <v xml:space="preserve"> 0.00% 기능 개발 11/30-12/18 </v>
      </c>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row>
    <row r="100" spans="1:85" ht="12" customHeight="1" outlineLevel="6">
      <c r="A100" s="101"/>
      <c r="B100" s="101"/>
      <c r="C100" s="101">
        <v>7</v>
      </c>
      <c r="D100" s="116" t="s">
        <v>216</v>
      </c>
      <c r="E100" s="102"/>
      <c r="F100" s="102"/>
      <c r="G100" s="102"/>
      <c r="H100" s="102"/>
      <c r="I100" s="102"/>
      <c r="J100" s="102"/>
      <c r="K100" s="102" t="s">
        <v>217</v>
      </c>
      <c r="L100" s="102"/>
      <c r="M100" s="102"/>
      <c r="N100" s="102"/>
      <c r="O100" s="214"/>
      <c r="P100" s="103">
        <v>46356</v>
      </c>
      <c r="Q100" s="103">
        <v>46363</v>
      </c>
      <c r="R100" s="102"/>
      <c r="S100" s="104">
        <v>6</v>
      </c>
      <c r="T100" s="104">
        <v>0</v>
      </c>
      <c r="U100" s="104">
        <v>6</v>
      </c>
      <c r="V100" s="104">
        <v>0</v>
      </c>
      <c r="W100" s="103"/>
      <c r="X100" s="103"/>
      <c r="Y100" s="105"/>
      <c r="Z100" s="106">
        <v>0</v>
      </c>
      <c r="AA100" s="104">
        <v>1</v>
      </c>
      <c r="AB100" s="102"/>
      <c r="AC100" s="102"/>
      <c r="AD100" s="281">
        <v>0</v>
      </c>
      <c r="AE100" s="282">
        <v>0</v>
      </c>
      <c r="AF100" s="118"/>
      <c r="AG100" s="119"/>
      <c r="AH100" s="119"/>
      <c r="AI100" s="119"/>
      <c r="AJ100" s="119"/>
      <c r="AK100" s="119"/>
      <c r="AL100" s="119"/>
      <c r="AM100" s="119"/>
      <c r="AN100" s="119"/>
      <c r="AO100" s="119"/>
      <c r="AP100" s="119"/>
      <c r="AQ100" s="119"/>
      <c r="AR100" s="119"/>
      <c r="AS100" s="119"/>
      <c r="AT100" s="119"/>
      <c r="AU100" s="119"/>
      <c r="AV100" s="119"/>
      <c r="AW100" s="119"/>
      <c r="AX100" s="119"/>
      <c r="AY100" s="119"/>
      <c r="AZ100" s="119"/>
      <c r="BA100" s="119"/>
      <c r="BB100" s="119"/>
      <c r="BC100" s="119" t="str">
        <f>" " &amp; TEXT(AE100,"#0.00%") &amp; " " &amp; "저상버스 예약 화면 구현" &amp; " " &amp; IF(P100="","",TEXT(P100,"M/D-")) &amp; IF(Q100="","",TEXT(Q100,"M/D")) &amp; " "</f>
        <v xml:space="preserve"> 0.00% 저상버스 예약 화면 구현 11/30-12/7 </v>
      </c>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row>
    <row r="101" spans="1:85" ht="12" customHeight="1" outlineLevel="6">
      <c r="A101" s="101"/>
      <c r="B101" s="101"/>
      <c r="C101" s="101">
        <v>7</v>
      </c>
      <c r="D101" s="116" t="s">
        <v>218</v>
      </c>
      <c r="E101" s="102"/>
      <c r="F101" s="102"/>
      <c r="G101" s="102"/>
      <c r="H101" s="102"/>
      <c r="I101" s="102"/>
      <c r="J101" s="102"/>
      <c r="K101" s="102" t="s">
        <v>219</v>
      </c>
      <c r="L101" s="102"/>
      <c r="M101" s="102"/>
      <c r="N101" s="102"/>
      <c r="O101" s="214"/>
      <c r="P101" s="103">
        <v>46364</v>
      </c>
      <c r="Q101" s="103">
        <v>46370</v>
      </c>
      <c r="R101" s="102"/>
      <c r="S101" s="104">
        <v>5</v>
      </c>
      <c r="T101" s="104">
        <v>0</v>
      </c>
      <c r="U101" s="104">
        <v>5</v>
      </c>
      <c r="V101" s="104">
        <v>0</v>
      </c>
      <c r="W101" s="103"/>
      <c r="X101" s="103"/>
      <c r="Y101" s="105"/>
      <c r="Z101" s="106">
        <v>0</v>
      </c>
      <c r="AA101" s="104">
        <v>1</v>
      </c>
      <c r="AB101" s="102"/>
      <c r="AC101" s="102"/>
      <c r="AD101" s="281">
        <v>0</v>
      </c>
      <c r="AE101" s="282">
        <v>0</v>
      </c>
      <c r="AF101" s="118"/>
      <c r="AG101" s="119"/>
      <c r="AH101" s="119"/>
      <c r="AI101" s="119"/>
      <c r="AJ101" s="119"/>
      <c r="AK101" s="119"/>
      <c r="AL101" s="119"/>
      <c r="AM101" s="119"/>
      <c r="AN101" s="119"/>
      <c r="AO101" s="119"/>
      <c r="AP101" s="119"/>
      <c r="AQ101" s="119"/>
      <c r="AR101" s="119"/>
      <c r="AS101" s="119"/>
      <c r="AT101" s="119"/>
      <c r="AU101" s="119"/>
      <c r="AV101" s="119"/>
      <c r="AW101" s="119"/>
      <c r="AX101" s="119"/>
      <c r="AY101" s="119"/>
      <c r="AZ101" s="119"/>
      <c r="BA101" s="119"/>
      <c r="BB101" s="119"/>
      <c r="BC101" s="119"/>
      <c r="BD101" s="119" t="str">
        <f>"  " &amp; TEXT(AE101,"#0.00%") &amp; " " &amp; "승차 및 하차 실시간 안내 구현" &amp; " " &amp; IF(P101="","",TEXT(P101,"M/D-")) &amp; IF(Q101="","",TEXT(Q101,"M/D")) &amp; " "</f>
        <v xml:space="preserve">  0.00% 승차 및 하차 실시간 안내 구현 12/8-12/14 </v>
      </c>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row>
    <row r="102" spans="1:85" ht="12" customHeight="1" outlineLevel="6">
      <c r="A102" s="101"/>
      <c r="B102" s="101"/>
      <c r="C102" s="101">
        <v>7</v>
      </c>
      <c r="D102" s="116" t="s">
        <v>220</v>
      </c>
      <c r="E102" s="102"/>
      <c r="F102" s="102"/>
      <c r="G102" s="102"/>
      <c r="H102" s="102"/>
      <c r="I102" s="102"/>
      <c r="J102" s="102"/>
      <c r="K102" s="102" t="s">
        <v>221</v>
      </c>
      <c r="L102" s="102"/>
      <c r="M102" s="102"/>
      <c r="N102" s="102"/>
      <c r="O102" s="214"/>
      <c r="P102" s="103">
        <v>46371</v>
      </c>
      <c r="Q102" s="103">
        <v>46374</v>
      </c>
      <c r="R102" s="102"/>
      <c r="S102" s="104">
        <v>4</v>
      </c>
      <c r="T102" s="104">
        <v>0</v>
      </c>
      <c r="U102" s="104">
        <v>4</v>
      </c>
      <c r="V102" s="104">
        <v>0</v>
      </c>
      <c r="W102" s="103"/>
      <c r="X102" s="103"/>
      <c r="Y102" s="105"/>
      <c r="Z102" s="106">
        <v>0</v>
      </c>
      <c r="AA102" s="104">
        <v>1</v>
      </c>
      <c r="AB102" s="102"/>
      <c r="AC102" s="102"/>
      <c r="AD102" s="281">
        <v>0</v>
      </c>
      <c r="AE102" s="282">
        <v>0</v>
      </c>
      <c r="AF102" s="118"/>
      <c r="AG102" s="119"/>
      <c r="AH102" s="119"/>
      <c r="AI102" s="119"/>
      <c r="AJ102" s="119"/>
      <c r="AK102" s="119"/>
      <c r="AL102" s="119"/>
      <c r="AM102" s="119"/>
      <c r="AN102" s="119"/>
      <c r="AO102" s="119"/>
      <c r="AP102" s="119"/>
      <c r="AQ102" s="119"/>
      <c r="AR102" s="119"/>
      <c r="AS102" s="119"/>
      <c r="AT102" s="119"/>
      <c r="AU102" s="119"/>
      <c r="AV102" s="119"/>
      <c r="AW102" s="119"/>
      <c r="AX102" s="119"/>
      <c r="AY102" s="119"/>
      <c r="AZ102" s="119"/>
      <c r="BA102" s="119"/>
      <c r="BB102" s="119"/>
      <c r="BC102" s="119"/>
      <c r="BD102" s="119"/>
      <c r="BE102" s="119" t="str">
        <f>"  " &amp; TEXT(AE102,"#0.00%") &amp; " " &amp; "예약 상태 및 이용 이력 조회 구현" &amp; " " &amp; IF(P102="","",TEXT(P102,"M/D-")) &amp; IF(Q102="","",TEXT(Q102,"M/D")) &amp; " "</f>
        <v xml:space="preserve">  0.00% 예약 상태 및 이용 이력 조회 구현 12/15-12/18 </v>
      </c>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row>
    <row r="103" spans="1:85" ht="12" customHeight="1" outlineLevel="5">
      <c r="A103" s="101"/>
      <c r="B103" s="101"/>
      <c r="C103" s="101">
        <v>6</v>
      </c>
      <c r="D103" s="116" t="s">
        <v>222</v>
      </c>
      <c r="E103" s="102"/>
      <c r="F103" s="102"/>
      <c r="G103" s="102"/>
      <c r="H103" s="102"/>
      <c r="I103" s="102"/>
      <c r="J103" s="102" t="s">
        <v>156</v>
      </c>
      <c r="K103" s="102"/>
      <c r="L103" s="102"/>
      <c r="M103" s="102"/>
      <c r="N103" s="102"/>
      <c r="O103" s="214"/>
      <c r="P103" s="103">
        <v>46356</v>
      </c>
      <c r="Q103" s="103">
        <v>46374</v>
      </c>
      <c r="R103" s="102"/>
      <c r="S103" s="104">
        <v>15</v>
      </c>
      <c r="T103" s="104">
        <v>0</v>
      </c>
      <c r="U103" s="104">
        <v>15</v>
      </c>
      <c r="V103" s="104">
        <v>0</v>
      </c>
      <c r="W103" s="103">
        <v>46163</v>
      </c>
      <c r="X103" s="103"/>
      <c r="Y103" s="105">
        <v>-32968</v>
      </c>
      <c r="Z103" s="106">
        <v>0</v>
      </c>
      <c r="AA103" s="104">
        <v>1</v>
      </c>
      <c r="AB103" s="102"/>
      <c r="AC103" s="102"/>
      <c r="AD103" s="281">
        <v>0</v>
      </c>
      <c r="AE103" s="282">
        <v>0</v>
      </c>
      <c r="AF103" s="118"/>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t="str">
        <f>" " &amp; TEXT(AE103,"#0.00%") &amp; " " &amp; "단위테스트" &amp; " " &amp; IF(P103="","",TEXT(P103,"M/D-")) &amp; IF(Q103="","",TEXT(Q103,"M/D")) &amp; " "</f>
        <v xml:space="preserve"> 0.00% 단위테스트 11/30-12/18 </v>
      </c>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row>
    <row r="104" spans="1:85" ht="12" customHeight="1" outlineLevel="2">
      <c r="A104" s="101"/>
      <c r="B104" s="101" t="s">
        <v>36</v>
      </c>
      <c r="C104" s="101">
        <v>3</v>
      </c>
      <c r="D104" s="116" t="s">
        <v>223</v>
      </c>
      <c r="E104" s="102"/>
      <c r="F104" s="102"/>
      <c r="G104" s="102" t="s">
        <v>224</v>
      </c>
      <c r="H104" s="102"/>
      <c r="I104" s="102"/>
      <c r="J104" s="102"/>
      <c r="K104" s="102"/>
      <c r="L104" s="102"/>
      <c r="M104" s="102"/>
      <c r="N104" s="102"/>
      <c r="O104" s="214"/>
      <c r="P104" s="103">
        <v>46384</v>
      </c>
      <c r="Q104" s="103">
        <v>46416</v>
      </c>
      <c r="R104" s="102"/>
      <c r="S104" s="104">
        <v>24</v>
      </c>
      <c r="T104" s="104">
        <v>0</v>
      </c>
      <c r="U104" s="104">
        <v>24</v>
      </c>
      <c r="V104" s="104">
        <v>0</v>
      </c>
      <c r="W104" s="103"/>
      <c r="X104" s="103"/>
      <c r="Y104" s="105">
        <v>0</v>
      </c>
      <c r="Z104" s="106">
        <v>0</v>
      </c>
      <c r="AA104" s="104"/>
      <c r="AB104" s="102"/>
      <c r="AC104" s="102"/>
      <c r="AD104" s="281">
        <v>0</v>
      </c>
      <c r="AE104" s="283">
        <v>0</v>
      </c>
      <c r="AF104" s="118"/>
      <c r="AG104" s="119"/>
      <c r="AH104" s="119"/>
      <c r="AI104" s="119"/>
      <c r="AJ104" s="119"/>
      <c r="AK104" s="119"/>
      <c r="AL104" s="119"/>
      <c r="AM104" s="119"/>
      <c r="AN104" s="119"/>
      <c r="AO104" s="119"/>
      <c r="AP104" s="119"/>
      <c r="AQ104" s="119"/>
      <c r="AR104" s="119"/>
      <c r="AS104" s="119"/>
      <c r="AT104" s="119"/>
      <c r="AU104" s="119"/>
      <c r="AV104" s="119"/>
      <c r="AW104" s="119"/>
      <c r="AX104" s="119"/>
      <c r="AY104" s="119"/>
      <c r="AZ104" s="119"/>
      <c r="BA104" s="119"/>
      <c r="BB104" s="119"/>
      <c r="BC104" s="119"/>
      <c r="BD104" s="119"/>
      <c r="BE104" s="119"/>
      <c r="BF104" s="119"/>
      <c r="BG104" s="119" t="str">
        <f>" " &amp; TEXT(AE104,"#0.00%") &amp; " "</f>
        <v xml:space="preserve"> 0.00% </v>
      </c>
      <c r="BH104" s="119"/>
      <c r="BI104" s="119"/>
      <c r="BJ104" s="119"/>
      <c r="BK104" s="119" t="str">
        <f>"      " &amp; "테스트실시" &amp; " " &amp; IF(P104="","",TEXT(P104,"M/D-")) &amp; IF(Q104="","",TEXT(Q104,"M/D")) &amp; " "</f>
        <v xml:space="preserve">      테스트실시 12/28-1/29 </v>
      </c>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row>
    <row r="105" spans="1:85" ht="12" customHeight="1" outlineLevel="3">
      <c r="A105" s="101"/>
      <c r="B105" s="101"/>
      <c r="C105" s="101">
        <v>4</v>
      </c>
      <c r="D105" s="116" t="s">
        <v>225</v>
      </c>
      <c r="E105" s="102"/>
      <c r="F105" s="102"/>
      <c r="G105" s="102"/>
      <c r="H105" s="102" t="s">
        <v>226</v>
      </c>
      <c r="I105" s="102"/>
      <c r="J105" s="102"/>
      <c r="K105" s="102"/>
      <c r="L105" s="102"/>
      <c r="M105" s="102"/>
      <c r="N105" s="102"/>
      <c r="O105" s="214"/>
      <c r="P105" s="103">
        <v>46384</v>
      </c>
      <c r="Q105" s="103">
        <v>46388</v>
      </c>
      <c r="R105" s="102"/>
      <c r="S105" s="104">
        <v>4</v>
      </c>
      <c r="T105" s="104">
        <v>0</v>
      </c>
      <c r="U105" s="104">
        <v>4</v>
      </c>
      <c r="V105" s="104">
        <v>0</v>
      </c>
      <c r="W105" s="103"/>
      <c r="X105" s="103"/>
      <c r="Y105" s="105"/>
      <c r="Z105" s="106">
        <v>0</v>
      </c>
      <c r="AA105" s="104">
        <v>1</v>
      </c>
      <c r="AB105" s="102"/>
      <c r="AC105" s="102"/>
      <c r="AD105" s="281">
        <v>0</v>
      </c>
      <c r="AE105" s="282">
        <v>0</v>
      </c>
      <c r="AF105" s="118"/>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t="str">
        <f>" " &amp; TEXT(AE105,"#0.00%") &amp; " " &amp; "통합테스트실시" &amp; " " &amp; IF(P105="","",TEXT(P105,"M/D-")) &amp; IF(Q105="","",TEXT(Q105,"M/D")) &amp; " "</f>
        <v xml:space="preserve"> 0.00% 통합테스트실시 12/28-1/1 </v>
      </c>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row>
    <row r="106" spans="1:85" ht="12" customHeight="1" outlineLevel="3">
      <c r="A106" s="101"/>
      <c r="B106" s="101"/>
      <c r="C106" s="101">
        <v>4</v>
      </c>
      <c r="D106" s="116" t="s">
        <v>227</v>
      </c>
      <c r="E106" s="102"/>
      <c r="F106" s="102"/>
      <c r="G106" s="102"/>
      <c r="H106" s="102" t="s">
        <v>228</v>
      </c>
      <c r="I106" s="102"/>
      <c r="J106" s="102"/>
      <c r="K106" s="102"/>
      <c r="L106" s="102"/>
      <c r="M106" s="102"/>
      <c r="N106" s="102"/>
      <c r="O106" s="214"/>
      <c r="P106" s="103">
        <v>46391</v>
      </c>
      <c r="Q106" s="103">
        <v>46416</v>
      </c>
      <c r="R106" s="102"/>
      <c r="S106" s="104">
        <v>20</v>
      </c>
      <c r="T106" s="104">
        <v>0</v>
      </c>
      <c r="U106" s="104">
        <v>20</v>
      </c>
      <c r="V106" s="104">
        <v>0</v>
      </c>
      <c r="W106" s="103"/>
      <c r="X106" s="103"/>
      <c r="Y106" s="105"/>
      <c r="Z106" s="106">
        <v>0</v>
      </c>
      <c r="AA106" s="104"/>
      <c r="AB106" s="102"/>
      <c r="AC106" s="102"/>
      <c r="AD106" s="281">
        <v>0</v>
      </c>
      <c r="AE106" s="282">
        <v>0</v>
      </c>
      <c r="AF106" s="118"/>
      <c r="AG106" s="119"/>
      <c r="AH106" s="119"/>
      <c r="AI106" s="119"/>
      <c r="AJ106" s="119"/>
      <c r="AK106" s="119"/>
      <c r="AL106" s="119"/>
      <c r="AM106" s="119"/>
      <c r="AN106" s="119"/>
      <c r="AO106" s="119"/>
      <c r="AP106" s="119"/>
      <c r="AQ106" s="119"/>
      <c r="AR106" s="119"/>
      <c r="AS106" s="119"/>
      <c r="AT106" s="119"/>
      <c r="AU106" s="119"/>
      <c r="AV106" s="119"/>
      <c r="AW106" s="119"/>
      <c r="AX106" s="119"/>
      <c r="AY106" s="119"/>
      <c r="AZ106" s="119"/>
      <c r="BA106" s="119"/>
      <c r="BB106" s="119"/>
      <c r="BC106" s="119"/>
      <c r="BD106" s="119"/>
      <c r="BE106" s="119"/>
      <c r="BF106" s="119"/>
      <c r="BG106" s="119"/>
      <c r="BH106" s="119" t="str">
        <f>" " &amp; TEXT(AE106,"#0.00%") &amp; " "</f>
        <v xml:space="preserve"> 0.00% </v>
      </c>
      <c r="BI106" s="119"/>
      <c r="BJ106" s="119"/>
      <c r="BK106" s="119" t="str">
        <f>"      " &amp; "자문단 테스트" &amp; " " &amp; IF(P106="","",TEXT(P106,"M/D-")) &amp; IF(Q106="","",TEXT(Q106,"M/D")) &amp; " "</f>
        <v xml:space="preserve">      자문단 테스트 1/4-1/29 </v>
      </c>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row>
    <row r="107" spans="1:85" ht="12" customHeight="1" outlineLevel="1">
      <c r="A107" s="101"/>
      <c r="B107" s="101" t="s">
        <v>36</v>
      </c>
      <c r="C107" s="101">
        <v>2</v>
      </c>
      <c r="D107" s="116" t="s">
        <v>229</v>
      </c>
      <c r="E107" s="102"/>
      <c r="F107" s="102" t="s">
        <v>230</v>
      </c>
      <c r="G107" s="102"/>
      <c r="H107" s="102"/>
      <c r="I107" s="102"/>
      <c r="J107" s="102"/>
      <c r="K107" s="102"/>
      <c r="L107" s="102"/>
      <c r="M107" s="102"/>
      <c r="N107" s="102"/>
      <c r="O107" s="214"/>
      <c r="P107" s="103">
        <v>46293</v>
      </c>
      <c r="Q107" s="103">
        <v>46297</v>
      </c>
      <c r="R107" s="102"/>
      <c r="S107" s="104">
        <v>5</v>
      </c>
      <c r="T107" s="104">
        <v>0</v>
      </c>
      <c r="U107" s="104">
        <v>5</v>
      </c>
      <c r="V107" s="104">
        <v>0</v>
      </c>
      <c r="W107" s="103"/>
      <c r="X107" s="103"/>
      <c r="Y107" s="105">
        <v>0</v>
      </c>
      <c r="Z107" s="106">
        <v>0</v>
      </c>
      <c r="AA107" s="104"/>
      <c r="AB107" s="102"/>
      <c r="AC107" s="102"/>
      <c r="AD107" s="281">
        <v>0</v>
      </c>
      <c r="AE107" s="283">
        <v>0</v>
      </c>
      <c r="AF107" s="118"/>
      <c r="AG107" s="119"/>
      <c r="AH107" s="119"/>
      <c r="AI107" s="119"/>
      <c r="AJ107" s="119"/>
      <c r="AK107" s="119"/>
      <c r="AL107" s="119"/>
      <c r="AM107" s="119"/>
      <c r="AN107" s="119"/>
      <c r="AO107" s="119"/>
      <c r="AP107" s="119"/>
      <c r="AQ107" s="119"/>
      <c r="AR107" s="119"/>
      <c r="AS107" s="119"/>
      <c r="AT107" s="119" t="str">
        <f>" " &amp; TEXT(AE107,"#0.00%") &amp; " " &amp; "교통약자 시설물 데이터 구축" &amp; " " &amp; IF(P107="","",TEXT(P107,"M/D-")) &amp; IF(Q107="","",TEXT(Q107,"M/D")) &amp; " "</f>
        <v xml:space="preserve"> 0.00% 교통약자 시설물 데이터 구축 9/28-10/2 </v>
      </c>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row>
    <row r="108" spans="1:85" ht="12" customHeight="1" outlineLevel="2">
      <c r="A108" s="101"/>
      <c r="B108" s="101"/>
      <c r="C108" s="101">
        <v>3</v>
      </c>
      <c r="D108" s="116" t="s">
        <v>231</v>
      </c>
      <c r="E108" s="102"/>
      <c r="F108" s="102"/>
      <c r="G108" s="102" t="s">
        <v>232</v>
      </c>
      <c r="H108" s="102"/>
      <c r="I108" s="102"/>
      <c r="J108" s="102"/>
      <c r="K108" s="102"/>
      <c r="L108" s="102"/>
      <c r="M108" s="102"/>
      <c r="N108" s="102"/>
      <c r="O108" s="214"/>
      <c r="P108" s="103">
        <v>46293</v>
      </c>
      <c r="Q108" s="103">
        <v>46297</v>
      </c>
      <c r="R108" s="102"/>
      <c r="S108" s="104">
        <v>5</v>
      </c>
      <c r="T108" s="104">
        <v>0</v>
      </c>
      <c r="U108" s="104">
        <v>5</v>
      </c>
      <c r="V108" s="104">
        <v>0</v>
      </c>
      <c r="W108" s="103"/>
      <c r="X108" s="103"/>
      <c r="Y108" s="105"/>
      <c r="Z108" s="106">
        <v>0</v>
      </c>
      <c r="AA108" s="104"/>
      <c r="AB108" s="102"/>
      <c r="AC108" s="102"/>
      <c r="AD108" s="281">
        <v>0</v>
      </c>
      <c r="AE108" s="282">
        <v>0</v>
      </c>
      <c r="AF108" s="118"/>
      <c r="AG108" s="119"/>
      <c r="AH108" s="119"/>
      <c r="AI108" s="119"/>
      <c r="AJ108" s="119"/>
      <c r="AK108" s="119"/>
      <c r="AL108" s="119"/>
      <c r="AM108" s="119"/>
      <c r="AN108" s="119"/>
      <c r="AO108" s="119"/>
      <c r="AP108" s="119"/>
      <c r="AQ108" s="119"/>
      <c r="AR108" s="119"/>
      <c r="AS108" s="119"/>
      <c r="AT108" s="119" t="str">
        <f>" " &amp; TEXT(AE108,"#0.00%") &amp; " " &amp; "교통약자 시설물 데이터베이스 구축" &amp; " " &amp; IF(P108="","",TEXT(P108,"M/D-")) &amp; IF(Q108="","",TEXT(Q108,"M/D")) &amp; " "</f>
        <v xml:space="preserve"> 0.00% 교통약자 시설물 데이터베이스 구축 9/28-10/2 </v>
      </c>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row>
    <row r="109" spans="1:85" ht="12" customHeight="1">
      <c r="A109" s="101"/>
      <c r="B109" s="101" t="s">
        <v>36</v>
      </c>
      <c r="C109" s="101">
        <v>1</v>
      </c>
      <c r="D109" s="116" t="s">
        <v>233</v>
      </c>
      <c r="E109" s="102" t="s">
        <v>234</v>
      </c>
      <c r="F109" s="102"/>
      <c r="G109" s="102"/>
      <c r="H109" s="102"/>
      <c r="I109" s="102"/>
      <c r="J109" s="102"/>
      <c r="K109" s="102"/>
      <c r="L109" s="102"/>
      <c r="M109" s="102"/>
      <c r="N109" s="102"/>
      <c r="O109" s="214"/>
      <c r="P109" s="103">
        <v>46398</v>
      </c>
      <c r="Q109" s="103">
        <v>46535</v>
      </c>
      <c r="R109" s="102"/>
      <c r="S109" s="104">
        <v>1347</v>
      </c>
      <c r="T109" s="104">
        <v>0</v>
      </c>
      <c r="U109" s="104">
        <v>95</v>
      </c>
      <c r="V109" s="104">
        <v>0</v>
      </c>
      <c r="W109" s="103"/>
      <c r="X109" s="103"/>
      <c r="Y109" s="105">
        <v>0</v>
      </c>
      <c r="Z109" s="106">
        <v>0</v>
      </c>
      <c r="AA109" s="104"/>
      <c r="AB109" s="102"/>
      <c r="AC109" s="102"/>
      <c r="AD109" s="281">
        <v>0</v>
      </c>
      <c r="AE109" s="283">
        <v>0</v>
      </c>
      <c r="AF109" s="118"/>
      <c r="AG109" s="119"/>
      <c r="AH109" s="119"/>
      <c r="AI109" s="119"/>
      <c r="AJ109" s="119"/>
      <c r="AK109" s="119"/>
      <c r="AL109" s="119"/>
      <c r="AM109" s="119"/>
      <c r="AN109" s="119"/>
      <c r="AO109" s="119"/>
      <c r="AP109" s="119"/>
      <c r="AQ109" s="119"/>
      <c r="AR109" s="119"/>
      <c r="AS109" s="119"/>
      <c r="AT109" s="119"/>
      <c r="AU109" s="119"/>
      <c r="AV109" s="119"/>
      <c r="AW109" s="119"/>
      <c r="AX109" s="119"/>
      <c r="AY109" s="119"/>
      <c r="AZ109" s="119"/>
      <c r="BA109" s="119"/>
      <c r="BB109" s="119"/>
      <c r="BC109" s="119"/>
      <c r="BD109" s="119"/>
      <c r="BE109" s="119"/>
      <c r="BF109" s="119"/>
      <c r="BG109" s="119"/>
      <c r="BH109" s="119"/>
      <c r="BI109" s="119" t="str">
        <f>" " &amp; TEXT(AE109,"#0.00%") &amp; " "</f>
        <v xml:space="preserve"> 0.00% </v>
      </c>
      <c r="BJ109" s="119"/>
      <c r="BK109" s="119"/>
      <c r="BL109" s="119"/>
      <c r="BM109" s="119"/>
      <c r="BN109" s="119"/>
      <c r="BO109" s="119"/>
      <c r="BP109" s="119"/>
      <c r="BQ109" s="119"/>
      <c r="BR109" s="119"/>
      <c r="BS109" s="119"/>
      <c r="BT109" s="119"/>
      <c r="BU109" s="119"/>
      <c r="BV109" s="119"/>
      <c r="BW109" s="119"/>
      <c r="BX109" s="119"/>
      <c r="BY109" s="119"/>
      <c r="BZ109" s="119"/>
      <c r="CA109" s="119"/>
      <c r="CB109" s="119" t="str">
        <f>"      " &amp; "2단계 시스템 개발" &amp; " " &amp; IF(P109="","",TEXT(P109,"M/D-")) &amp; IF(Q109="","",TEXT(Q109,"M/D")) &amp; " "</f>
        <v xml:space="preserve">      2단계 시스템 개발 1/11-5/28 </v>
      </c>
      <c r="CC109" s="119"/>
      <c r="CD109" s="119"/>
      <c r="CE109" s="119"/>
      <c r="CF109" s="119"/>
      <c r="CG109" s="119"/>
    </row>
    <row r="110" spans="1:85" ht="12" customHeight="1" outlineLevel="1">
      <c r="A110" s="101"/>
      <c r="B110" s="101" t="s">
        <v>36</v>
      </c>
      <c r="C110" s="101">
        <v>2</v>
      </c>
      <c r="D110" s="116" t="s">
        <v>235</v>
      </c>
      <c r="E110" s="102"/>
      <c r="F110" s="102" t="s">
        <v>136</v>
      </c>
      <c r="G110" s="102"/>
      <c r="H110" s="102"/>
      <c r="I110" s="102"/>
      <c r="J110" s="102"/>
      <c r="K110" s="102"/>
      <c r="L110" s="102"/>
      <c r="M110" s="102"/>
      <c r="N110" s="102"/>
      <c r="O110" s="214"/>
      <c r="P110" s="103">
        <v>46398</v>
      </c>
      <c r="Q110" s="103">
        <v>46535</v>
      </c>
      <c r="R110" s="102"/>
      <c r="S110" s="104">
        <v>1347</v>
      </c>
      <c r="T110" s="104">
        <v>0</v>
      </c>
      <c r="U110" s="104">
        <v>95</v>
      </c>
      <c r="V110" s="104">
        <v>0</v>
      </c>
      <c r="W110" s="103"/>
      <c r="X110" s="103"/>
      <c r="Y110" s="105">
        <v>0</v>
      </c>
      <c r="Z110" s="106">
        <v>0</v>
      </c>
      <c r="AA110" s="104"/>
      <c r="AB110" s="102"/>
      <c r="AC110" s="102"/>
      <c r="AD110" s="281">
        <v>0</v>
      </c>
      <c r="AE110" s="283">
        <v>0</v>
      </c>
      <c r="AF110" s="118"/>
      <c r="AG110" s="119"/>
      <c r="AH110" s="119"/>
      <c r="AI110" s="119"/>
      <c r="AJ110" s="119"/>
      <c r="AK110" s="119"/>
      <c r="AL110" s="119"/>
      <c r="AM110" s="119"/>
      <c r="AN110" s="119"/>
      <c r="AO110" s="119"/>
      <c r="AP110" s="119"/>
      <c r="AQ110" s="119"/>
      <c r="AR110" s="119"/>
      <c r="AS110" s="119"/>
      <c r="AT110" s="119"/>
      <c r="AU110" s="119"/>
      <c r="AV110" s="119"/>
      <c r="AW110" s="119"/>
      <c r="AX110" s="119"/>
      <c r="AY110" s="119"/>
      <c r="AZ110" s="119"/>
      <c r="BA110" s="119"/>
      <c r="BB110" s="119"/>
      <c r="BC110" s="119"/>
      <c r="BD110" s="119"/>
      <c r="BE110" s="119"/>
      <c r="BF110" s="119"/>
      <c r="BG110" s="119"/>
      <c r="BH110" s="119"/>
      <c r="BI110" s="119" t="str">
        <f>" " &amp; TEXT(AE110,"#0.00%") &amp; " "</f>
        <v xml:space="preserve"> 0.00% </v>
      </c>
      <c r="BJ110" s="119"/>
      <c r="BK110" s="119"/>
      <c r="BL110" s="119"/>
      <c r="BM110" s="119"/>
      <c r="BN110" s="119"/>
      <c r="BO110" s="119"/>
      <c r="BP110" s="119"/>
      <c r="BQ110" s="119"/>
      <c r="BR110" s="119"/>
      <c r="BS110" s="119"/>
      <c r="BT110" s="119"/>
      <c r="BU110" s="119"/>
      <c r="BV110" s="119"/>
      <c r="BW110" s="119"/>
      <c r="BX110" s="119"/>
      <c r="BY110" s="119"/>
      <c r="BZ110" s="119"/>
      <c r="CA110" s="119"/>
      <c r="CB110" s="119" t="str">
        <f>"      " &amp; "개발" &amp; " " &amp; IF(P110="","",TEXT(P110,"M/D-")) &amp; IF(Q110="","",TEXT(Q110,"M/D")) &amp; " "</f>
        <v xml:space="preserve">      개발 1/11-5/28 </v>
      </c>
      <c r="CC110" s="119"/>
      <c r="CD110" s="119"/>
      <c r="CE110" s="119"/>
      <c r="CF110" s="119"/>
      <c r="CG110" s="119"/>
    </row>
    <row r="111" spans="1:85" ht="12" customHeight="1" outlineLevel="2">
      <c r="A111" s="101"/>
      <c r="B111" s="101" t="s">
        <v>36</v>
      </c>
      <c r="C111" s="101">
        <v>3</v>
      </c>
      <c r="D111" s="116" t="s">
        <v>236</v>
      </c>
      <c r="E111" s="102"/>
      <c r="F111" s="102"/>
      <c r="G111" s="102" t="s">
        <v>138</v>
      </c>
      <c r="H111" s="102"/>
      <c r="I111" s="102"/>
      <c r="J111" s="102"/>
      <c r="K111" s="102"/>
      <c r="L111" s="102"/>
      <c r="M111" s="102"/>
      <c r="N111" s="102"/>
      <c r="O111" s="214"/>
      <c r="P111" s="103">
        <v>46398</v>
      </c>
      <c r="Q111" s="103">
        <v>46535</v>
      </c>
      <c r="R111" s="102"/>
      <c r="S111" s="104">
        <v>1347</v>
      </c>
      <c r="T111" s="104">
        <v>0</v>
      </c>
      <c r="U111" s="104">
        <v>95</v>
      </c>
      <c r="V111" s="104">
        <v>0</v>
      </c>
      <c r="W111" s="103"/>
      <c r="X111" s="103"/>
      <c r="Y111" s="105">
        <v>0</v>
      </c>
      <c r="Z111" s="106">
        <v>0</v>
      </c>
      <c r="AA111" s="104"/>
      <c r="AB111" s="102"/>
      <c r="AC111" s="102"/>
      <c r="AD111" s="281">
        <v>0</v>
      </c>
      <c r="AE111" s="283">
        <v>0</v>
      </c>
      <c r="AF111" s="118"/>
      <c r="AG111" s="119"/>
      <c r="AH111" s="119"/>
      <c r="AI111" s="119"/>
      <c r="AJ111" s="119"/>
      <c r="AK111" s="119"/>
      <c r="AL111" s="119"/>
      <c r="AM111" s="119"/>
      <c r="AN111" s="119"/>
      <c r="AO111" s="119"/>
      <c r="AP111" s="119"/>
      <c r="AQ111" s="119"/>
      <c r="AR111" s="119"/>
      <c r="AS111" s="119"/>
      <c r="AT111" s="119"/>
      <c r="AU111" s="119"/>
      <c r="AV111" s="119"/>
      <c r="AW111" s="119"/>
      <c r="AX111" s="119"/>
      <c r="AY111" s="119"/>
      <c r="AZ111" s="119"/>
      <c r="BA111" s="119"/>
      <c r="BB111" s="119"/>
      <c r="BC111" s="119"/>
      <c r="BD111" s="119"/>
      <c r="BE111" s="119"/>
      <c r="BF111" s="119"/>
      <c r="BG111" s="119"/>
      <c r="BH111" s="119"/>
      <c r="BI111" s="119" t="str">
        <f>" " &amp; TEXT(AE111,"#0.00%") &amp; " "</f>
        <v xml:space="preserve"> 0.00% </v>
      </c>
      <c r="BJ111" s="119"/>
      <c r="BK111" s="119"/>
      <c r="BL111" s="119"/>
      <c r="BM111" s="119"/>
      <c r="BN111" s="119"/>
      <c r="BO111" s="119"/>
      <c r="BP111" s="119"/>
      <c r="BQ111" s="119"/>
      <c r="BR111" s="119"/>
      <c r="BS111" s="119"/>
      <c r="BT111" s="119"/>
      <c r="BU111" s="119"/>
      <c r="BV111" s="119"/>
      <c r="BW111" s="119"/>
      <c r="BX111" s="119"/>
      <c r="BY111" s="119"/>
      <c r="BZ111" s="119"/>
      <c r="CA111" s="119"/>
      <c r="CB111" s="119" t="str">
        <f>"      " &amp; "프로그램 개발" &amp; " " &amp; IF(P111="","",TEXT(P111,"M/D-")) &amp; IF(Q111="","",TEXT(Q111,"M/D")) &amp; " "</f>
        <v xml:space="preserve">      프로그램 개발 1/11-5/28 </v>
      </c>
      <c r="CC111" s="119"/>
      <c r="CD111" s="119"/>
      <c r="CE111" s="119"/>
      <c r="CF111" s="119"/>
      <c r="CG111" s="119"/>
    </row>
    <row r="112" spans="1:85" ht="12" customHeight="1" outlineLevel="3">
      <c r="A112" s="101"/>
      <c r="B112" s="101" t="s">
        <v>36</v>
      </c>
      <c r="C112" s="101">
        <v>4</v>
      </c>
      <c r="D112" s="116" t="s">
        <v>237</v>
      </c>
      <c r="E112" s="102"/>
      <c r="F112" s="102"/>
      <c r="G112" s="102"/>
      <c r="H112" s="102" t="s">
        <v>142</v>
      </c>
      <c r="I112" s="102"/>
      <c r="J112" s="102"/>
      <c r="K112" s="102"/>
      <c r="L112" s="102"/>
      <c r="M112" s="102"/>
      <c r="N112" s="102"/>
      <c r="O112" s="214"/>
      <c r="P112" s="103">
        <v>46398</v>
      </c>
      <c r="Q112" s="103">
        <v>46535</v>
      </c>
      <c r="R112" s="102"/>
      <c r="S112" s="104">
        <v>1347</v>
      </c>
      <c r="T112" s="104">
        <v>0</v>
      </c>
      <c r="U112" s="104">
        <v>95</v>
      </c>
      <c r="V112" s="104">
        <v>0</v>
      </c>
      <c r="W112" s="103"/>
      <c r="X112" s="103"/>
      <c r="Y112" s="105">
        <v>0</v>
      </c>
      <c r="Z112" s="106">
        <v>0</v>
      </c>
      <c r="AA112" s="104"/>
      <c r="AB112" s="102"/>
      <c r="AC112" s="102"/>
      <c r="AD112" s="281">
        <v>0</v>
      </c>
      <c r="AE112" s="283">
        <v>0</v>
      </c>
      <c r="AF112" s="118"/>
      <c r="AG112" s="119"/>
      <c r="AH112" s="119"/>
      <c r="AI112" s="119"/>
      <c r="AJ112" s="119"/>
      <c r="AK112" s="119"/>
      <c r="AL112" s="119"/>
      <c r="AM112" s="119"/>
      <c r="AN112" s="119"/>
      <c r="AO112" s="119"/>
      <c r="AP112" s="119"/>
      <c r="AQ112" s="119"/>
      <c r="AR112" s="119"/>
      <c r="AS112" s="119"/>
      <c r="AT112" s="119"/>
      <c r="AU112" s="119"/>
      <c r="AV112" s="119"/>
      <c r="AW112" s="119"/>
      <c r="AX112" s="119"/>
      <c r="AY112" s="119"/>
      <c r="AZ112" s="119"/>
      <c r="BA112" s="119"/>
      <c r="BB112" s="119"/>
      <c r="BC112" s="119"/>
      <c r="BD112" s="119"/>
      <c r="BE112" s="119"/>
      <c r="BF112" s="119"/>
      <c r="BG112" s="119"/>
      <c r="BH112" s="119"/>
      <c r="BI112" s="119" t="str">
        <f>" " &amp; TEXT(AE112,"#0.00%") &amp; " "</f>
        <v xml:space="preserve"> 0.00% </v>
      </c>
      <c r="BJ112" s="119"/>
      <c r="BK112" s="119"/>
      <c r="BL112" s="119"/>
      <c r="BM112" s="119"/>
      <c r="BN112" s="119"/>
      <c r="BO112" s="119"/>
      <c r="BP112" s="119"/>
      <c r="BQ112" s="119"/>
      <c r="BR112" s="119"/>
      <c r="BS112" s="119"/>
      <c r="BT112" s="119"/>
      <c r="BU112" s="119"/>
      <c r="BV112" s="119"/>
      <c r="BW112" s="119"/>
      <c r="BX112" s="119"/>
      <c r="BY112" s="119"/>
      <c r="BZ112" s="119"/>
      <c r="CA112" s="119"/>
      <c r="CB112" s="119" t="str">
        <f>"      " &amp; "프로그램코딩 및 단위테스트" &amp; " " &amp; IF(P112="","",TEXT(P112,"M/D-")) &amp; IF(Q112="","",TEXT(Q112,"M/D")) &amp; " "</f>
        <v xml:space="preserve">      프로그램코딩 및 단위테스트 1/11-5/28 </v>
      </c>
      <c r="CC112" s="119"/>
      <c r="CD112" s="119"/>
      <c r="CE112" s="119"/>
      <c r="CF112" s="119"/>
      <c r="CG112" s="119"/>
    </row>
    <row r="113" spans="1:85" ht="12" customHeight="1" outlineLevel="4">
      <c r="A113" s="101"/>
      <c r="B113" s="101" t="s">
        <v>36</v>
      </c>
      <c r="C113" s="101">
        <v>5</v>
      </c>
      <c r="D113" s="116" t="s">
        <v>238</v>
      </c>
      <c r="E113" s="102"/>
      <c r="F113" s="102"/>
      <c r="G113" s="102"/>
      <c r="H113" s="102"/>
      <c r="I113" s="102" t="s">
        <v>121</v>
      </c>
      <c r="J113" s="102"/>
      <c r="K113" s="102"/>
      <c r="L113" s="102"/>
      <c r="M113" s="102"/>
      <c r="N113" s="102"/>
      <c r="O113" s="214"/>
      <c r="P113" s="103">
        <v>46398</v>
      </c>
      <c r="Q113" s="103">
        <v>46535</v>
      </c>
      <c r="R113" s="102"/>
      <c r="S113" s="104">
        <v>185</v>
      </c>
      <c r="T113" s="104">
        <v>0</v>
      </c>
      <c r="U113" s="104">
        <v>95</v>
      </c>
      <c r="V113" s="104">
        <v>0</v>
      </c>
      <c r="W113" s="103"/>
      <c r="X113" s="103"/>
      <c r="Y113" s="105">
        <v>0</v>
      </c>
      <c r="Z113" s="106">
        <v>0</v>
      </c>
      <c r="AA113" s="104"/>
      <c r="AB113" s="102"/>
      <c r="AC113" s="102"/>
      <c r="AD113" s="281">
        <v>0</v>
      </c>
      <c r="AE113" s="283">
        <v>0</v>
      </c>
      <c r="AF113" s="118"/>
      <c r="AG113" s="119"/>
      <c r="AH113" s="119"/>
      <c r="AI113" s="119"/>
      <c r="AJ113" s="119"/>
      <c r="AK113" s="119"/>
      <c r="AL113" s="119"/>
      <c r="AM113" s="119"/>
      <c r="AN113" s="119"/>
      <c r="AO113" s="119"/>
      <c r="AP113" s="119"/>
      <c r="AQ113" s="119"/>
      <c r="AR113" s="119"/>
      <c r="AS113" s="119"/>
      <c r="AT113" s="119"/>
      <c r="AU113" s="119"/>
      <c r="AV113" s="119"/>
      <c r="AW113" s="119"/>
      <c r="AX113" s="119"/>
      <c r="AY113" s="119"/>
      <c r="AZ113" s="119"/>
      <c r="BA113" s="119"/>
      <c r="BB113" s="119"/>
      <c r="BC113" s="119"/>
      <c r="BD113" s="119"/>
      <c r="BE113" s="119"/>
      <c r="BF113" s="119"/>
      <c r="BG113" s="119"/>
      <c r="BH113" s="119"/>
      <c r="BI113" s="119" t="str">
        <f>" " &amp; TEXT(AE113,"#0.00%") &amp; " "</f>
        <v xml:space="preserve"> 0.00% </v>
      </c>
      <c r="BJ113" s="119"/>
      <c r="BK113" s="119"/>
      <c r="BL113" s="119"/>
      <c r="BM113" s="119"/>
      <c r="BN113" s="119"/>
      <c r="BO113" s="119"/>
      <c r="BP113" s="119"/>
      <c r="BQ113" s="119"/>
      <c r="BR113" s="119"/>
      <c r="BS113" s="119"/>
      <c r="BT113" s="119"/>
      <c r="BU113" s="119"/>
      <c r="BV113" s="119"/>
      <c r="BW113" s="119"/>
      <c r="BX113" s="119"/>
      <c r="BY113" s="119"/>
      <c r="BZ113" s="119"/>
      <c r="CA113" s="119"/>
      <c r="CB113" s="119" t="str">
        <f>"      " &amp; "APP 기본 기능 설계" &amp; " " &amp; IF(P113="","",TEXT(P113,"M/D-")) &amp; IF(Q113="","",TEXT(Q113,"M/D")) &amp; " "</f>
        <v xml:space="preserve">      APP 기본 기능 설계 1/11-5/28 </v>
      </c>
      <c r="CC113" s="119"/>
      <c r="CD113" s="119"/>
      <c r="CE113" s="119"/>
      <c r="CF113" s="119"/>
      <c r="CG113" s="119"/>
    </row>
    <row r="114" spans="1:85" ht="12" customHeight="1" outlineLevel="5">
      <c r="A114" s="101"/>
      <c r="B114" s="101" t="s">
        <v>36</v>
      </c>
      <c r="C114" s="101">
        <v>6</v>
      </c>
      <c r="D114" s="116" t="s">
        <v>239</v>
      </c>
      <c r="E114" s="102"/>
      <c r="F114" s="102"/>
      <c r="G114" s="102"/>
      <c r="H114" s="102"/>
      <c r="I114" s="102"/>
      <c r="J114" s="102" t="s">
        <v>145</v>
      </c>
      <c r="K114" s="102"/>
      <c r="L114" s="102"/>
      <c r="M114" s="102"/>
      <c r="N114" s="102"/>
      <c r="O114" s="214" t="s">
        <v>240</v>
      </c>
      <c r="P114" s="103">
        <v>46398</v>
      </c>
      <c r="Q114" s="103">
        <v>46535</v>
      </c>
      <c r="R114" s="102"/>
      <c r="S114" s="104">
        <v>95</v>
      </c>
      <c r="T114" s="104">
        <v>0</v>
      </c>
      <c r="U114" s="104">
        <v>95</v>
      </c>
      <c r="V114" s="104">
        <v>0</v>
      </c>
      <c r="W114" s="103"/>
      <c r="X114" s="103"/>
      <c r="Y114" s="105">
        <v>0</v>
      </c>
      <c r="Z114" s="106">
        <v>0</v>
      </c>
      <c r="AA114" s="104"/>
      <c r="AB114" s="102"/>
      <c r="AC114" s="102"/>
      <c r="AD114" s="281">
        <v>0</v>
      </c>
      <c r="AE114" s="283">
        <v>0</v>
      </c>
      <c r="AF114" s="118"/>
      <c r="AG114" s="119"/>
      <c r="AH114" s="119"/>
      <c r="AI114" s="119"/>
      <c r="AJ114" s="119"/>
      <c r="AK114" s="119"/>
      <c r="AL114" s="119"/>
      <c r="AM114" s="119"/>
      <c r="AN114" s="119"/>
      <c r="AO114" s="119"/>
      <c r="AP114" s="119"/>
      <c r="AQ114" s="119"/>
      <c r="AR114" s="119"/>
      <c r="AS114" s="119"/>
      <c r="AT114" s="119"/>
      <c r="AU114" s="119"/>
      <c r="AV114" s="119"/>
      <c r="AW114" s="119"/>
      <c r="AX114" s="119"/>
      <c r="AY114" s="119"/>
      <c r="AZ114" s="119"/>
      <c r="BA114" s="119"/>
      <c r="BB114" s="119"/>
      <c r="BC114" s="119"/>
      <c r="BD114" s="119"/>
      <c r="BE114" s="119"/>
      <c r="BF114" s="119"/>
      <c r="BG114" s="119"/>
      <c r="BH114" s="119"/>
      <c r="BI114" s="119" t="str">
        <f>" " &amp; TEXT(AE114,"#0.00%") &amp; " "</f>
        <v xml:space="preserve"> 0.00% </v>
      </c>
      <c r="BJ114" s="119"/>
      <c r="BK114" s="119"/>
      <c r="BL114" s="119"/>
      <c r="BM114" s="119"/>
      <c r="BN114" s="119"/>
      <c r="BO114" s="119"/>
      <c r="BP114" s="119"/>
      <c r="BQ114" s="119"/>
      <c r="BR114" s="119"/>
      <c r="BS114" s="119"/>
      <c r="BT114" s="119"/>
      <c r="BU114" s="119"/>
      <c r="BV114" s="119"/>
      <c r="BW114" s="119"/>
      <c r="BX114" s="119"/>
      <c r="BY114" s="119"/>
      <c r="BZ114" s="119"/>
      <c r="CA114" s="119"/>
      <c r="CB114" s="119" t="str">
        <f>"      " &amp; "기능 개발" &amp; " " &amp; IF(P114="","",TEXT(P114,"M/D-")) &amp; IF(Q114="","",TEXT(Q114,"M/D")) &amp; " "</f>
        <v xml:space="preserve">      기능 개발 1/11-5/28 </v>
      </c>
      <c r="CC114" s="119"/>
      <c r="CD114" s="119"/>
      <c r="CE114" s="119"/>
      <c r="CF114" s="119"/>
      <c r="CG114" s="119"/>
    </row>
    <row r="115" spans="1:85" ht="12" customHeight="1" outlineLevel="6">
      <c r="A115" s="101"/>
      <c r="B115" s="101"/>
      <c r="C115" s="101">
        <v>7</v>
      </c>
      <c r="D115" s="116" t="s">
        <v>241</v>
      </c>
      <c r="E115" s="102"/>
      <c r="F115" s="102"/>
      <c r="G115" s="102"/>
      <c r="H115" s="102"/>
      <c r="I115" s="102"/>
      <c r="J115" s="102"/>
      <c r="K115" s="102" t="s">
        <v>1822</v>
      </c>
      <c r="L115" s="102"/>
      <c r="M115" s="102"/>
      <c r="N115" s="102"/>
      <c r="O115" s="214"/>
      <c r="P115" s="103">
        <v>46398</v>
      </c>
      <c r="Q115" s="103">
        <v>46468</v>
      </c>
      <c r="R115" s="102"/>
      <c r="S115" s="104">
        <v>48</v>
      </c>
      <c r="T115" s="104">
        <v>0</v>
      </c>
      <c r="U115" s="104">
        <v>48</v>
      </c>
      <c r="V115" s="104">
        <v>0</v>
      </c>
      <c r="W115" s="103"/>
      <c r="X115" s="103"/>
      <c r="Y115" s="105"/>
      <c r="Z115" s="106">
        <v>0</v>
      </c>
      <c r="AA115" s="104">
        <v>1</v>
      </c>
      <c r="AB115" s="102"/>
      <c r="AC115" s="102"/>
      <c r="AD115" s="281">
        <v>0</v>
      </c>
      <c r="AE115" s="282">
        <v>0</v>
      </c>
      <c r="AF115" s="118"/>
      <c r="AG115" s="119"/>
      <c r="AH115" s="119"/>
      <c r="AI115" s="119"/>
      <c r="AJ115" s="119"/>
      <c r="AK115" s="119"/>
      <c r="AL115" s="119"/>
      <c r="AM115" s="119"/>
      <c r="AN115" s="119"/>
      <c r="AO115" s="119"/>
      <c r="AP115" s="119"/>
      <c r="AQ115" s="119"/>
      <c r="AR115" s="119"/>
      <c r="AS115" s="119"/>
      <c r="AT115" s="119"/>
      <c r="AU115" s="119"/>
      <c r="AV115" s="119"/>
      <c r="AW115" s="119"/>
      <c r="AX115" s="119"/>
      <c r="AY115" s="119"/>
      <c r="AZ115" s="119"/>
      <c r="BA115" s="119"/>
      <c r="BB115" s="119"/>
      <c r="BC115" s="119"/>
      <c r="BD115" s="119"/>
      <c r="BE115" s="119"/>
      <c r="BF115" s="119"/>
      <c r="BG115" s="119"/>
      <c r="BH115" s="119"/>
      <c r="BI115" s="119" t="str">
        <f>" " &amp; TEXT(AE115,"#0.00%") &amp; " "</f>
        <v xml:space="preserve"> 0.00% </v>
      </c>
      <c r="BJ115" s="119"/>
      <c r="BK115" s="119"/>
      <c r="BL115" s="119"/>
      <c r="BM115" s="119"/>
      <c r="BN115" s="119"/>
      <c r="BO115" s="119"/>
      <c r="BP115" s="119"/>
      <c r="BQ115" s="119"/>
      <c r="BR115" s="119"/>
      <c r="BS115" s="119" t="str">
        <f>"  " &amp; "테스트 이슈 사항 반영(공통, 접근성)" &amp; " " &amp; IF(P115="","",TEXT(P115,"M/D-")) &amp; IF(Q115="","",TEXT(Q115,"M/D")) &amp; " "</f>
        <v xml:space="preserve">  테스트 이슈 사항 반영(공통, 접근성) 1/11-3/22 </v>
      </c>
      <c r="BT115" s="119"/>
      <c r="BU115" s="119"/>
      <c r="BV115" s="119"/>
      <c r="BW115" s="119"/>
      <c r="BX115" s="119"/>
      <c r="BY115" s="119"/>
      <c r="BZ115" s="119"/>
      <c r="CA115" s="119"/>
      <c r="CB115" s="119"/>
      <c r="CC115" s="119"/>
      <c r="CD115" s="119"/>
      <c r="CE115" s="119"/>
      <c r="CF115" s="119"/>
      <c r="CG115" s="119"/>
    </row>
    <row r="116" spans="1:85" ht="12" customHeight="1" outlineLevel="6">
      <c r="A116" s="101"/>
      <c r="B116" s="101"/>
      <c r="C116" s="101">
        <v>7</v>
      </c>
      <c r="D116" s="116" t="s">
        <v>242</v>
      </c>
      <c r="E116" s="102"/>
      <c r="F116" s="102"/>
      <c r="G116" s="102"/>
      <c r="H116" s="102"/>
      <c r="I116" s="102"/>
      <c r="J116" s="102"/>
      <c r="K116" s="102" t="s">
        <v>1823</v>
      </c>
      <c r="L116" s="102"/>
      <c r="M116" s="102"/>
      <c r="N116" s="102"/>
      <c r="O116" s="214"/>
      <c r="P116" s="103">
        <v>46469</v>
      </c>
      <c r="Q116" s="103">
        <v>46535</v>
      </c>
      <c r="R116" s="102"/>
      <c r="S116" s="104">
        <v>47</v>
      </c>
      <c r="T116" s="104">
        <v>0</v>
      </c>
      <c r="U116" s="104">
        <v>47</v>
      </c>
      <c r="V116" s="104">
        <v>0</v>
      </c>
      <c r="W116" s="103"/>
      <c r="X116" s="103"/>
      <c r="Y116" s="105"/>
      <c r="Z116" s="106">
        <v>0</v>
      </c>
      <c r="AA116" s="104">
        <v>1</v>
      </c>
      <c r="AB116" s="102"/>
      <c r="AC116" s="102"/>
      <c r="AD116" s="281">
        <v>0</v>
      </c>
      <c r="AE116" s="282">
        <v>0</v>
      </c>
      <c r="AF116" s="118"/>
      <c r="AG116" s="119"/>
      <c r="AH116" s="119"/>
      <c r="AI116" s="119"/>
      <c r="AJ116" s="119"/>
      <c r="AK116" s="119"/>
      <c r="AL116" s="119"/>
      <c r="AM116" s="119"/>
      <c r="AN116" s="119"/>
      <c r="AO116" s="119"/>
      <c r="AP116" s="119"/>
      <c r="AQ116" s="119"/>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t="str">
        <f>"  " &amp; TEXT(AE116,"#0.00%") &amp; " "</f>
        <v xml:space="preserve">  0.00% </v>
      </c>
      <c r="BT116" s="119"/>
      <c r="BU116" s="119"/>
      <c r="BV116" s="119"/>
      <c r="BW116" s="119"/>
      <c r="BX116" s="119"/>
      <c r="BY116" s="119"/>
      <c r="BZ116" s="119"/>
      <c r="CA116" s="119"/>
      <c r="CB116" s="119" t="str">
        <f>"      " &amp; "각 화면별 개선 항목 반영" &amp; " " &amp; IF(P116="","",TEXT(P116,"M/D-")) &amp; IF(Q116="","",TEXT(Q116,"M/D")) &amp; " "</f>
        <v xml:space="preserve">      각 화면별 개선 항목 반영 3/23-5/28 </v>
      </c>
      <c r="CC116" s="119"/>
      <c r="CD116" s="119"/>
      <c r="CE116" s="119"/>
      <c r="CF116" s="119"/>
      <c r="CG116" s="119"/>
    </row>
    <row r="117" spans="1:85" ht="12" customHeight="1" outlineLevel="5">
      <c r="A117" s="101"/>
      <c r="B117" s="101"/>
      <c r="C117" s="101">
        <v>6</v>
      </c>
      <c r="D117" s="116" t="s">
        <v>243</v>
      </c>
      <c r="E117" s="102"/>
      <c r="F117" s="102"/>
      <c r="G117" s="102"/>
      <c r="H117" s="102"/>
      <c r="I117" s="102"/>
      <c r="J117" s="102" t="s">
        <v>156</v>
      </c>
      <c r="K117" s="102"/>
      <c r="L117" s="102"/>
      <c r="M117" s="102"/>
      <c r="N117" s="102"/>
      <c r="O117" s="214"/>
      <c r="P117" s="103">
        <v>46405</v>
      </c>
      <c r="Q117" s="103">
        <v>46535</v>
      </c>
      <c r="R117" s="102"/>
      <c r="S117" s="104">
        <v>90</v>
      </c>
      <c r="T117" s="104">
        <v>0</v>
      </c>
      <c r="U117" s="104">
        <v>90</v>
      </c>
      <c r="V117" s="104">
        <v>0</v>
      </c>
      <c r="W117" s="103">
        <v>46163</v>
      </c>
      <c r="X117" s="103"/>
      <c r="Y117" s="105">
        <v>-32968</v>
      </c>
      <c r="Z117" s="106">
        <v>0</v>
      </c>
      <c r="AA117" s="104">
        <v>1</v>
      </c>
      <c r="AB117" s="102"/>
      <c r="AC117" s="102"/>
      <c r="AD117" s="281">
        <v>0</v>
      </c>
      <c r="AE117" s="282">
        <v>0</v>
      </c>
      <c r="AF117" s="118"/>
      <c r="AG117" s="119"/>
      <c r="AH117" s="119"/>
      <c r="AI117" s="119"/>
      <c r="AJ117" s="119"/>
      <c r="AK117" s="119"/>
      <c r="AL117" s="119"/>
      <c r="AM117" s="119"/>
      <c r="AN117" s="119"/>
      <c r="AO117" s="119"/>
      <c r="AP117" s="119"/>
      <c r="AQ117" s="119"/>
      <c r="AR117" s="119"/>
      <c r="AS117" s="119"/>
      <c r="AT117" s="119"/>
      <c r="AU117" s="119"/>
      <c r="AV117" s="119"/>
      <c r="AW117" s="119"/>
      <c r="AX117" s="119"/>
      <c r="AY117" s="119"/>
      <c r="AZ117" s="119"/>
      <c r="BA117" s="119"/>
      <c r="BB117" s="119"/>
      <c r="BC117" s="119"/>
      <c r="BD117" s="119"/>
      <c r="BE117" s="119"/>
      <c r="BF117" s="119"/>
      <c r="BG117" s="119"/>
      <c r="BH117" s="119"/>
      <c r="BI117" s="119"/>
      <c r="BJ117" s="119" t="str">
        <f>" " &amp; TEXT(AE117,"#0.00%") &amp; " "</f>
        <v xml:space="preserve"> 0.00% </v>
      </c>
      <c r="BK117" s="119"/>
      <c r="BL117" s="119"/>
      <c r="BM117" s="119"/>
      <c r="BN117" s="119"/>
      <c r="BO117" s="119"/>
      <c r="BP117" s="119"/>
      <c r="BQ117" s="119"/>
      <c r="BR117" s="119"/>
      <c r="BS117" s="119"/>
      <c r="BT117" s="119"/>
      <c r="BU117" s="119"/>
      <c r="BV117" s="119"/>
      <c r="BW117" s="119"/>
      <c r="BX117" s="119"/>
      <c r="BY117" s="119"/>
      <c r="BZ117" s="119"/>
      <c r="CA117" s="119"/>
      <c r="CB117" s="119" t="str">
        <f>"      " &amp; "단위테스트" &amp; " " &amp; IF(P117="","",TEXT(P117,"M/D-")) &amp; IF(Q117="","",TEXT(Q117,"M/D")) &amp; " "</f>
        <v xml:space="preserve">      단위테스트 1/18-5/28 </v>
      </c>
      <c r="CC117" s="119"/>
      <c r="CD117" s="119"/>
      <c r="CE117" s="119"/>
      <c r="CF117" s="119"/>
      <c r="CG117" s="119"/>
    </row>
    <row r="118" spans="1:85" ht="12" customHeight="1" outlineLevel="4">
      <c r="A118" s="101"/>
      <c r="B118" s="101" t="s">
        <v>36</v>
      </c>
      <c r="C118" s="101">
        <v>5</v>
      </c>
      <c r="D118" s="116" t="s">
        <v>244</v>
      </c>
      <c r="E118" s="102"/>
      <c r="F118" s="102"/>
      <c r="G118" s="102"/>
      <c r="H118" s="102"/>
      <c r="I118" s="102" t="s">
        <v>158</v>
      </c>
      <c r="J118" s="102"/>
      <c r="K118" s="102"/>
      <c r="L118" s="102"/>
      <c r="M118" s="102"/>
      <c r="N118" s="102"/>
      <c r="O118" s="214"/>
      <c r="P118" s="103">
        <v>46398</v>
      </c>
      <c r="Q118" s="103">
        <v>46535</v>
      </c>
      <c r="R118" s="102"/>
      <c r="S118" s="104">
        <v>185</v>
      </c>
      <c r="T118" s="104">
        <v>0</v>
      </c>
      <c r="U118" s="104">
        <v>95</v>
      </c>
      <c r="V118" s="104">
        <v>0</v>
      </c>
      <c r="W118" s="103"/>
      <c r="X118" s="103"/>
      <c r="Y118" s="105">
        <v>0</v>
      </c>
      <c r="Z118" s="106">
        <v>0</v>
      </c>
      <c r="AA118" s="104"/>
      <c r="AB118" s="102"/>
      <c r="AC118" s="102"/>
      <c r="AD118" s="281">
        <v>0</v>
      </c>
      <c r="AE118" s="283">
        <v>0</v>
      </c>
      <c r="AF118" s="118"/>
      <c r="AG118" s="119"/>
      <c r="AH118" s="119"/>
      <c r="AI118" s="119"/>
      <c r="AJ118" s="119"/>
      <c r="AK118" s="119"/>
      <c r="AL118" s="119"/>
      <c r="AM118" s="119"/>
      <c r="AN118" s="119"/>
      <c r="AO118" s="119"/>
      <c r="AP118" s="119"/>
      <c r="AQ118" s="119"/>
      <c r="AR118" s="119"/>
      <c r="AS118" s="119"/>
      <c r="AT118" s="119"/>
      <c r="AU118" s="119"/>
      <c r="AV118" s="119"/>
      <c r="AW118" s="119"/>
      <c r="AX118" s="119"/>
      <c r="AY118" s="119"/>
      <c r="AZ118" s="119"/>
      <c r="BA118" s="119"/>
      <c r="BB118" s="119"/>
      <c r="BC118" s="119"/>
      <c r="BD118" s="119"/>
      <c r="BE118" s="119"/>
      <c r="BF118" s="119"/>
      <c r="BG118" s="119"/>
      <c r="BH118" s="119"/>
      <c r="BI118" s="119" t="str">
        <f>" " &amp; TEXT(AE118,"#0.00%") &amp; " "</f>
        <v xml:space="preserve"> 0.00% </v>
      </c>
      <c r="BJ118" s="119"/>
      <c r="BK118" s="119"/>
      <c r="BL118" s="119"/>
      <c r="BM118" s="119"/>
      <c r="BN118" s="119"/>
      <c r="BO118" s="119"/>
      <c r="BP118" s="119"/>
      <c r="BQ118" s="119"/>
      <c r="BR118" s="119"/>
      <c r="BS118" s="119"/>
      <c r="BT118" s="119"/>
      <c r="BU118" s="119"/>
      <c r="BV118" s="119"/>
      <c r="BW118" s="119"/>
      <c r="BX118" s="119"/>
      <c r="BY118" s="119"/>
      <c r="BZ118" s="119"/>
      <c r="CA118" s="119"/>
      <c r="CB118" s="119" t="str">
        <f>"      " &amp; "교통약자 도보 내비게이션" &amp; " " &amp; IF(P118="","",TEXT(P118,"M/D-")) &amp; IF(Q118="","",TEXT(Q118,"M/D")) &amp; " "</f>
        <v xml:space="preserve">      교통약자 도보 내비게이션 1/11-5/28 </v>
      </c>
      <c r="CC118" s="119"/>
      <c r="CD118" s="119"/>
      <c r="CE118" s="119"/>
      <c r="CF118" s="119"/>
      <c r="CG118" s="119"/>
    </row>
    <row r="119" spans="1:85" ht="12" customHeight="1" outlineLevel="5">
      <c r="A119" s="101"/>
      <c r="B119" s="101" t="s">
        <v>36</v>
      </c>
      <c r="C119" s="101">
        <v>6</v>
      </c>
      <c r="D119" s="116" t="s">
        <v>245</v>
      </c>
      <c r="E119" s="102"/>
      <c r="F119" s="102"/>
      <c r="G119" s="102"/>
      <c r="H119" s="102"/>
      <c r="I119" s="102"/>
      <c r="J119" s="102" t="s">
        <v>145</v>
      </c>
      <c r="K119" s="102"/>
      <c r="L119" s="102"/>
      <c r="M119" s="102"/>
      <c r="N119" s="102"/>
      <c r="O119" s="214" t="s">
        <v>240</v>
      </c>
      <c r="P119" s="103">
        <v>46398</v>
      </c>
      <c r="Q119" s="103">
        <v>46535</v>
      </c>
      <c r="R119" s="102"/>
      <c r="S119" s="104">
        <v>95</v>
      </c>
      <c r="T119" s="104">
        <v>0</v>
      </c>
      <c r="U119" s="104">
        <v>95</v>
      </c>
      <c r="V119" s="104">
        <v>0</v>
      </c>
      <c r="W119" s="103"/>
      <c r="X119" s="103"/>
      <c r="Y119" s="105">
        <v>0</v>
      </c>
      <c r="Z119" s="106">
        <v>0</v>
      </c>
      <c r="AA119" s="104"/>
      <c r="AB119" s="102"/>
      <c r="AC119" s="102"/>
      <c r="AD119" s="281">
        <v>0</v>
      </c>
      <c r="AE119" s="283">
        <v>0</v>
      </c>
      <c r="AF119" s="118"/>
      <c r="AG119" s="119"/>
      <c r="AH119" s="119"/>
      <c r="AI119" s="119"/>
      <c r="AJ119" s="119"/>
      <c r="AK119" s="119"/>
      <c r="AL119" s="119"/>
      <c r="AM119" s="119"/>
      <c r="AN119" s="119"/>
      <c r="AO119" s="119"/>
      <c r="AP119" s="119"/>
      <c r="AQ119" s="119"/>
      <c r="AR119" s="119"/>
      <c r="AS119" s="119"/>
      <c r="AT119" s="119"/>
      <c r="AU119" s="119"/>
      <c r="AV119" s="119"/>
      <c r="AW119" s="119"/>
      <c r="AX119" s="119"/>
      <c r="AY119" s="119"/>
      <c r="AZ119" s="119"/>
      <c r="BA119" s="119"/>
      <c r="BB119" s="119"/>
      <c r="BC119" s="119"/>
      <c r="BD119" s="119"/>
      <c r="BE119" s="119"/>
      <c r="BF119" s="119"/>
      <c r="BG119" s="119"/>
      <c r="BH119" s="119"/>
      <c r="BI119" s="119" t="str">
        <f>" " &amp; TEXT(AE119,"#0.00%") &amp; " "</f>
        <v xml:space="preserve"> 0.00% </v>
      </c>
      <c r="BJ119" s="119"/>
      <c r="BK119" s="119"/>
      <c r="BL119" s="119"/>
      <c r="BM119" s="119"/>
      <c r="BN119" s="119"/>
      <c r="BO119" s="119"/>
      <c r="BP119" s="119"/>
      <c r="BQ119" s="119"/>
      <c r="BR119" s="119"/>
      <c r="BS119" s="119"/>
      <c r="BT119" s="119"/>
      <c r="BU119" s="119"/>
      <c r="BV119" s="119"/>
      <c r="BW119" s="119"/>
      <c r="BX119" s="119"/>
      <c r="BY119" s="119"/>
      <c r="BZ119" s="119"/>
      <c r="CA119" s="119"/>
      <c r="CB119" s="119" t="str">
        <f>"      " &amp; "기능 개발" &amp; " " &amp; IF(P119="","",TEXT(P119,"M/D-")) &amp; IF(Q119="","",TEXT(Q119,"M/D")) &amp; " "</f>
        <v xml:space="preserve">      기능 개발 1/11-5/28 </v>
      </c>
      <c r="CC119" s="119"/>
      <c r="CD119" s="119"/>
      <c r="CE119" s="119"/>
      <c r="CF119" s="119"/>
      <c r="CG119" s="119"/>
    </row>
    <row r="120" spans="1:85" ht="12" customHeight="1" outlineLevel="6">
      <c r="A120" s="101"/>
      <c r="B120" s="101"/>
      <c r="C120" s="101">
        <v>7</v>
      </c>
      <c r="D120" s="116" t="s">
        <v>246</v>
      </c>
      <c r="E120" s="102"/>
      <c r="F120" s="102"/>
      <c r="G120" s="102"/>
      <c r="H120" s="102"/>
      <c r="I120" s="102"/>
      <c r="J120" s="102"/>
      <c r="K120" s="102" t="s">
        <v>247</v>
      </c>
      <c r="L120" s="102"/>
      <c r="M120" s="102"/>
      <c r="N120" s="102"/>
      <c r="O120" s="214"/>
      <c r="P120" s="103">
        <v>46398</v>
      </c>
      <c r="Q120" s="103">
        <v>46441</v>
      </c>
      <c r="R120" s="102"/>
      <c r="S120" s="104">
        <v>30</v>
      </c>
      <c r="T120" s="104">
        <v>0</v>
      </c>
      <c r="U120" s="104">
        <v>30</v>
      </c>
      <c r="V120" s="104">
        <v>0</v>
      </c>
      <c r="W120" s="103"/>
      <c r="X120" s="103"/>
      <c r="Y120" s="105"/>
      <c r="Z120" s="106">
        <v>0</v>
      </c>
      <c r="AA120" s="104">
        <v>1</v>
      </c>
      <c r="AB120" s="102"/>
      <c r="AC120" s="102"/>
      <c r="AD120" s="281">
        <v>0</v>
      </c>
      <c r="AE120" s="282">
        <v>0</v>
      </c>
      <c r="AF120" s="118"/>
      <c r="AG120" s="119"/>
      <c r="AH120" s="119"/>
      <c r="AI120" s="119"/>
      <c r="AJ120" s="119"/>
      <c r="AK120" s="119"/>
      <c r="AL120" s="119"/>
      <c r="AM120" s="119"/>
      <c r="AN120" s="119"/>
      <c r="AO120" s="119"/>
      <c r="AP120" s="119"/>
      <c r="AQ120" s="119"/>
      <c r="AR120" s="119"/>
      <c r="AS120" s="119"/>
      <c r="AT120" s="119"/>
      <c r="AU120" s="119"/>
      <c r="AV120" s="119"/>
      <c r="AW120" s="119"/>
      <c r="AX120" s="119"/>
      <c r="AY120" s="119"/>
      <c r="AZ120" s="119"/>
      <c r="BA120" s="119"/>
      <c r="BB120" s="119"/>
      <c r="BC120" s="119"/>
      <c r="BD120" s="119"/>
      <c r="BE120" s="119"/>
      <c r="BF120" s="119"/>
      <c r="BG120" s="119"/>
      <c r="BH120" s="119"/>
      <c r="BI120" s="119" t="str">
        <f>" " &amp; TEXT(AE120,"#0.00%") &amp; " "</f>
        <v xml:space="preserve"> 0.00% </v>
      </c>
      <c r="BJ120" s="119"/>
      <c r="BK120" s="119"/>
      <c r="BL120" s="119"/>
      <c r="BM120" s="119"/>
      <c r="BN120" s="119"/>
      <c r="BO120" s="119" t="str">
        <f>"   " &amp; "경로 탐색 품질 개선(유형별 가중치 튜닝)" &amp; " " &amp; IF(P120="","",TEXT(P120,"M/D-")) &amp; IF(Q120="","",TEXT(Q120,"M/D")) &amp; " "</f>
        <v xml:space="preserve">   경로 탐색 품질 개선(유형별 가중치 튜닝) 1/11-2/23 </v>
      </c>
      <c r="BP120" s="119"/>
      <c r="BQ120" s="119"/>
      <c r="BR120" s="119"/>
      <c r="BS120" s="119"/>
      <c r="BT120" s="119"/>
      <c r="BU120" s="119"/>
      <c r="BV120" s="119"/>
      <c r="BW120" s="119"/>
      <c r="BX120" s="119"/>
      <c r="BY120" s="119"/>
      <c r="BZ120" s="119"/>
      <c r="CA120" s="119"/>
      <c r="CB120" s="119"/>
      <c r="CC120" s="119"/>
      <c r="CD120" s="119"/>
      <c r="CE120" s="119"/>
      <c r="CF120" s="119"/>
      <c r="CG120" s="119"/>
    </row>
    <row r="121" spans="1:85" ht="12" customHeight="1" outlineLevel="6">
      <c r="A121" s="101"/>
      <c r="B121" s="101"/>
      <c r="C121" s="101">
        <v>7</v>
      </c>
      <c r="D121" s="116" t="s">
        <v>248</v>
      </c>
      <c r="E121" s="102"/>
      <c r="F121" s="102"/>
      <c r="G121" s="102"/>
      <c r="H121" s="102"/>
      <c r="I121" s="102"/>
      <c r="J121" s="102"/>
      <c r="K121" s="102" t="s">
        <v>249</v>
      </c>
      <c r="L121" s="102"/>
      <c r="M121" s="102"/>
      <c r="N121" s="102"/>
      <c r="O121" s="214"/>
      <c r="P121" s="103">
        <v>46442</v>
      </c>
      <c r="Q121" s="103">
        <v>46470</v>
      </c>
      <c r="R121" s="102"/>
      <c r="S121" s="104">
        <v>20</v>
      </c>
      <c r="T121" s="104">
        <v>0</v>
      </c>
      <c r="U121" s="104">
        <v>20</v>
      </c>
      <c r="V121" s="104">
        <v>0</v>
      </c>
      <c r="W121" s="103"/>
      <c r="X121" s="103"/>
      <c r="Y121" s="105"/>
      <c r="Z121" s="106">
        <v>0</v>
      </c>
      <c r="AA121" s="104">
        <v>1</v>
      </c>
      <c r="AB121" s="102"/>
      <c r="AC121" s="102"/>
      <c r="AD121" s="281">
        <v>0</v>
      </c>
      <c r="AE121" s="282">
        <v>0</v>
      </c>
      <c r="AF121" s="118"/>
      <c r="AG121" s="119"/>
      <c r="AH121" s="119"/>
      <c r="AI121" s="119"/>
      <c r="AJ121" s="119"/>
      <c r="AK121" s="119"/>
      <c r="AL121" s="119"/>
      <c r="AM121" s="119"/>
      <c r="AN121" s="119"/>
      <c r="AO121" s="119"/>
      <c r="AP121" s="119"/>
      <c r="AQ121" s="119"/>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t="str">
        <f>"   " &amp; TEXT(AE121,"#0.00%") &amp; " "</f>
        <v xml:space="preserve">   0.00% </v>
      </c>
      <c r="BP121" s="119"/>
      <c r="BQ121" s="119"/>
      <c r="BR121" s="119"/>
      <c r="BS121" s="119" t="str">
        <f>"    " &amp; "장소 검색 및 상세 개선 반영" &amp; " " &amp; IF(P121="","",TEXT(P121,"M/D-")) &amp; IF(Q121="","",TEXT(Q121,"M/D")) &amp; " "</f>
        <v xml:space="preserve">    장소 검색 및 상세 개선 반영 2/24-3/24 </v>
      </c>
      <c r="BT121" s="119"/>
      <c r="BU121" s="119"/>
      <c r="BV121" s="119"/>
      <c r="BW121" s="119"/>
      <c r="BX121" s="119"/>
      <c r="BY121" s="119"/>
      <c r="BZ121" s="119"/>
      <c r="CA121" s="119"/>
      <c r="CB121" s="119"/>
      <c r="CC121" s="119"/>
      <c r="CD121" s="119"/>
      <c r="CE121" s="119"/>
      <c r="CF121" s="119"/>
      <c r="CG121" s="119"/>
    </row>
    <row r="122" spans="1:85" ht="12" customHeight="1" outlineLevel="6">
      <c r="A122" s="101"/>
      <c r="B122" s="101"/>
      <c r="C122" s="101">
        <v>7</v>
      </c>
      <c r="D122" s="116" t="s">
        <v>250</v>
      </c>
      <c r="E122" s="102"/>
      <c r="F122" s="102"/>
      <c r="G122" s="102"/>
      <c r="H122" s="102"/>
      <c r="I122" s="102"/>
      <c r="J122" s="102"/>
      <c r="K122" s="102" t="s">
        <v>251</v>
      </c>
      <c r="L122" s="102"/>
      <c r="M122" s="102"/>
      <c r="N122" s="102"/>
      <c r="O122" s="214"/>
      <c r="P122" s="103">
        <v>46471</v>
      </c>
      <c r="Q122" s="103">
        <v>46505</v>
      </c>
      <c r="R122" s="102"/>
      <c r="S122" s="104">
        <v>25</v>
      </c>
      <c r="T122" s="104">
        <v>0</v>
      </c>
      <c r="U122" s="104">
        <v>25</v>
      </c>
      <c r="V122" s="104">
        <v>0</v>
      </c>
      <c r="W122" s="103"/>
      <c r="X122" s="103"/>
      <c r="Y122" s="105"/>
      <c r="Z122" s="106">
        <v>0</v>
      </c>
      <c r="AA122" s="104">
        <v>1</v>
      </c>
      <c r="AB122" s="102"/>
      <c r="AC122" s="102"/>
      <c r="AD122" s="281">
        <v>0</v>
      </c>
      <c r="AE122" s="282">
        <v>0</v>
      </c>
      <c r="AF122" s="118"/>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t="str">
        <f>"    " &amp; TEXT(AE122,"#0.00%") &amp; " "</f>
        <v xml:space="preserve">    0.00% </v>
      </c>
      <c r="BT122" s="119"/>
      <c r="BU122" s="119"/>
      <c r="BV122" s="119"/>
      <c r="BW122" s="119"/>
      <c r="BX122" s="119" t="str">
        <f>"    " &amp; "실외 내비게이션 안내 정확도 개선" &amp; " " &amp; IF(P122="","",TEXT(P122,"M/D-")) &amp; IF(Q122="","",TEXT(Q122,"M/D")) &amp; " "</f>
        <v xml:space="preserve">    실외 내비게이션 안내 정확도 개선 3/25-4/28 </v>
      </c>
      <c r="BY122" s="119"/>
      <c r="BZ122" s="119"/>
      <c r="CA122" s="119"/>
      <c r="CB122" s="119"/>
      <c r="CC122" s="119"/>
      <c r="CD122" s="119"/>
      <c r="CE122" s="119"/>
      <c r="CF122" s="119"/>
      <c r="CG122" s="119"/>
    </row>
    <row r="123" spans="1:85" ht="12" customHeight="1" outlineLevel="6">
      <c r="A123" s="101"/>
      <c r="B123" s="101"/>
      <c r="C123" s="101">
        <v>7</v>
      </c>
      <c r="D123" s="116" t="s">
        <v>252</v>
      </c>
      <c r="E123" s="102"/>
      <c r="F123" s="102"/>
      <c r="G123" s="102"/>
      <c r="H123" s="102"/>
      <c r="I123" s="102"/>
      <c r="J123" s="102"/>
      <c r="K123" s="102" t="s">
        <v>253</v>
      </c>
      <c r="L123" s="102"/>
      <c r="M123" s="102"/>
      <c r="N123" s="102"/>
      <c r="O123" s="214"/>
      <c r="P123" s="103">
        <v>46506</v>
      </c>
      <c r="Q123" s="103">
        <v>46535</v>
      </c>
      <c r="R123" s="102"/>
      <c r="S123" s="104">
        <v>20</v>
      </c>
      <c r="T123" s="104">
        <v>0</v>
      </c>
      <c r="U123" s="104">
        <v>20</v>
      </c>
      <c r="V123" s="104">
        <v>0</v>
      </c>
      <c r="W123" s="103"/>
      <c r="X123" s="103"/>
      <c r="Y123" s="105"/>
      <c r="Z123" s="106">
        <v>0</v>
      </c>
      <c r="AA123" s="104">
        <v>1</v>
      </c>
      <c r="AB123" s="102"/>
      <c r="AC123" s="102"/>
      <c r="AD123" s="281">
        <v>0</v>
      </c>
      <c r="AE123" s="282">
        <v>0</v>
      </c>
      <c r="AF123" s="118"/>
      <c r="AG123" s="119"/>
      <c r="AH123" s="119"/>
      <c r="AI123" s="119"/>
      <c r="AJ123" s="119"/>
      <c r="AK123" s="119"/>
      <c r="AL123" s="119"/>
      <c r="AM123" s="119"/>
      <c r="AN123" s="119"/>
      <c r="AO123" s="119"/>
      <c r="AP123" s="119"/>
      <c r="AQ123" s="119"/>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t="str">
        <f>"    " &amp; TEXT(AE123,"#0.00%") &amp; " "</f>
        <v xml:space="preserve">    0.00% </v>
      </c>
      <c r="BY123" s="119"/>
      <c r="BZ123" s="119"/>
      <c r="CA123" s="119"/>
      <c r="CB123" s="119" t="str">
        <f>"      " &amp; "인근 편의시설 데이터 확대 반영" &amp; " " &amp; IF(P123="","",TEXT(P123,"M/D-")) &amp; IF(Q123="","",TEXT(Q123,"M/D")) &amp; " "</f>
        <v xml:space="preserve">      인근 편의시설 데이터 확대 반영 4/29-5/28 </v>
      </c>
      <c r="CC123" s="119"/>
      <c r="CD123" s="119"/>
      <c r="CE123" s="119"/>
      <c r="CF123" s="119"/>
      <c r="CG123" s="119"/>
    </row>
    <row r="124" spans="1:85" ht="12" customHeight="1" outlineLevel="5">
      <c r="A124" s="101"/>
      <c r="B124" s="101"/>
      <c r="C124" s="101">
        <v>6</v>
      </c>
      <c r="D124" s="116" t="s">
        <v>254</v>
      </c>
      <c r="E124" s="102"/>
      <c r="F124" s="102"/>
      <c r="G124" s="102"/>
      <c r="H124" s="102"/>
      <c r="I124" s="102"/>
      <c r="J124" s="102" t="s">
        <v>156</v>
      </c>
      <c r="K124" s="102"/>
      <c r="L124" s="102"/>
      <c r="M124" s="102"/>
      <c r="N124" s="102"/>
      <c r="O124" s="214"/>
      <c r="P124" s="103">
        <v>46405</v>
      </c>
      <c r="Q124" s="103">
        <v>46535</v>
      </c>
      <c r="R124" s="102"/>
      <c r="S124" s="104">
        <v>90</v>
      </c>
      <c r="T124" s="104">
        <v>0</v>
      </c>
      <c r="U124" s="104">
        <v>90</v>
      </c>
      <c r="V124" s="104">
        <v>0</v>
      </c>
      <c r="W124" s="103">
        <v>46163</v>
      </c>
      <c r="X124" s="103"/>
      <c r="Y124" s="105">
        <v>-32968</v>
      </c>
      <c r="Z124" s="106">
        <v>0</v>
      </c>
      <c r="AA124" s="104">
        <v>1</v>
      </c>
      <c r="AB124" s="102"/>
      <c r="AC124" s="102"/>
      <c r="AD124" s="281">
        <v>0</v>
      </c>
      <c r="AE124" s="282">
        <v>0</v>
      </c>
      <c r="AF124" s="118"/>
      <c r="AG124" s="119"/>
      <c r="AH124" s="119"/>
      <c r="AI124" s="119"/>
      <c r="AJ124" s="119"/>
      <c r="AK124" s="119"/>
      <c r="AL124" s="119"/>
      <c r="AM124" s="119"/>
      <c r="AN124" s="119"/>
      <c r="AO124" s="119"/>
      <c r="AP124" s="119"/>
      <c r="AQ124" s="119"/>
      <c r="AR124" s="119"/>
      <c r="AS124" s="119"/>
      <c r="AT124" s="119"/>
      <c r="AU124" s="119"/>
      <c r="AV124" s="119"/>
      <c r="AW124" s="119"/>
      <c r="AX124" s="119"/>
      <c r="AY124" s="119"/>
      <c r="AZ124" s="119"/>
      <c r="BA124" s="119"/>
      <c r="BB124" s="119"/>
      <c r="BC124" s="119"/>
      <c r="BD124" s="119"/>
      <c r="BE124" s="119"/>
      <c r="BF124" s="119"/>
      <c r="BG124" s="119"/>
      <c r="BH124" s="119"/>
      <c r="BI124" s="119"/>
      <c r="BJ124" s="119" t="str">
        <f>" " &amp; TEXT(AE124,"#0.00%") &amp; " "</f>
        <v xml:space="preserve"> 0.00% </v>
      </c>
      <c r="BK124" s="119"/>
      <c r="BL124" s="119"/>
      <c r="BM124" s="119"/>
      <c r="BN124" s="119"/>
      <c r="BO124" s="119"/>
      <c r="BP124" s="119"/>
      <c r="BQ124" s="119"/>
      <c r="BR124" s="119"/>
      <c r="BS124" s="119"/>
      <c r="BT124" s="119"/>
      <c r="BU124" s="119"/>
      <c r="BV124" s="119"/>
      <c r="BW124" s="119"/>
      <c r="BX124" s="119"/>
      <c r="BY124" s="119"/>
      <c r="BZ124" s="119"/>
      <c r="CA124" s="119"/>
      <c r="CB124" s="119" t="str">
        <f>"      " &amp; "단위테스트" &amp; " " &amp; IF(P124="","",TEXT(P124,"M/D-")) &amp; IF(Q124="","",TEXT(Q124,"M/D")) &amp; " "</f>
        <v xml:space="preserve">      단위테스트 1/18-5/28 </v>
      </c>
      <c r="CC124" s="119"/>
      <c r="CD124" s="119"/>
      <c r="CE124" s="119"/>
      <c r="CF124" s="119"/>
      <c r="CG124" s="119"/>
    </row>
    <row r="125" spans="1:85" ht="12" customHeight="1" outlineLevel="4">
      <c r="A125" s="101"/>
      <c r="B125" s="101" t="s">
        <v>36</v>
      </c>
      <c r="C125" s="101">
        <v>5</v>
      </c>
      <c r="D125" s="116" t="s">
        <v>255</v>
      </c>
      <c r="E125" s="102"/>
      <c r="F125" s="102"/>
      <c r="G125" s="102"/>
      <c r="H125" s="102"/>
      <c r="I125" s="216" t="s">
        <v>174</v>
      </c>
      <c r="J125" s="218"/>
      <c r="K125" s="218"/>
      <c r="L125" s="218"/>
      <c r="M125" s="218"/>
      <c r="N125" s="218"/>
      <c r="O125" s="214"/>
      <c r="P125" s="103">
        <v>46398</v>
      </c>
      <c r="Q125" s="103">
        <v>46535</v>
      </c>
      <c r="R125" s="102"/>
      <c r="S125" s="104">
        <v>185</v>
      </c>
      <c r="T125" s="104">
        <v>0</v>
      </c>
      <c r="U125" s="104">
        <v>95</v>
      </c>
      <c r="V125" s="104">
        <v>0</v>
      </c>
      <c r="W125" s="103"/>
      <c r="X125" s="103"/>
      <c r="Y125" s="105">
        <v>0</v>
      </c>
      <c r="Z125" s="106">
        <v>0</v>
      </c>
      <c r="AA125" s="104"/>
      <c r="AB125" s="102"/>
      <c r="AC125" s="102"/>
      <c r="AD125" s="281">
        <v>0</v>
      </c>
      <c r="AE125" s="283">
        <v>0</v>
      </c>
      <c r="AF125" s="118"/>
      <c r="AG125" s="119"/>
      <c r="AH125" s="119"/>
      <c r="AI125" s="119"/>
      <c r="AJ125" s="119"/>
      <c r="AK125" s="119"/>
      <c r="AL125" s="119"/>
      <c r="AM125" s="119"/>
      <c r="AN125" s="119"/>
      <c r="AO125" s="119"/>
      <c r="AP125" s="119"/>
      <c r="AQ125" s="119"/>
      <c r="AR125" s="119"/>
      <c r="AS125" s="119"/>
      <c r="AT125" s="119"/>
      <c r="AU125" s="119"/>
      <c r="AV125" s="119"/>
      <c r="AW125" s="119"/>
      <c r="AX125" s="119"/>
      <c r="AY125" s="119"/>
      <c r="AZ125" s="119"/>
      <c r="BA125" s="119"/>
      <c r="BB125" s="119"/>
      <c r="BC125" s="119"/>
      <c r="BD125" s="119"/>
      <c r="BE125" s="119"/>
      <c r="BF125" s="119"/>
      <c r="BG125" s="119"/>
      <c r="BH125" s="119"/>
      <c r="BI125" s="119" t="str">
        <f>" " &amp; TEXT(AE125,"#0.00%") &amp; " "</f>
        <v xml:space="preserve"> 0.00% </v>
      </c>
      <c r="BJ125" s="119"/>
      <c r="BK125" s="119"/>
      <c r="BL125" s="119"/>
      <c r="BM125" s="119"/>
      <c r="BN125" s="119"/>
      <c r="BO125" s="119"/>
      <c r="BP125" s="119"/>
      <c r="BQ125" s="119"/>
      <c r="BR125" s="119"/>
      <c r="BS125" s="119"/>
      <c r="BT125" s="119"/>
      <c r="BU125" s="119"/>
      <c r="BV125" s="119"/>
      <c r="BW125" s="119"/>
      <c r="BX125" s="119"/>
      <c r="BY125" s="119"/>
      <c r="BZ125" s="119"/>
      <c r="CA125" s="119"/>
      <c r="CB125" s="119" t="str">
        <f>"      " &amp; "대중교통 정보 안내" &amp; " " &amp; IF(P125="","",TEXT(P125,"M/D-")) &amp; IF(Q125="","",TEXT(Q125,"M/D")) &amp; " "</f>
        <v xml:space="preserve">      대중교통 정보 안내 1/11-5/28 </v>
      </c>
      <c r="CC125" s="119"/>
      <c r="CD125" s="119"/>
      <c r="CE125" s="119"/>
      <c r="CF125" s="119"/>
      <c r="CG125" s="119"/>
    </row>
    <row r="126" spans="1:85" ht="12" customHeight="1" outlineLevel="5">
      <c r="A126" s="101"/>
      <c r="B126" s="101" t="s">
        <v>36</v>
      </c>
      <c r="C126" s="101">
        <v>6</v>
      </c>
      <c r="D126" s="116" t="s">
        <v>256</v>
      </c>
      <c r="E126" s="102"/>
      <c r="F126" s="102"/>
      <c r="G126" s="102"/>
      <c r="H126" s="102"/>
      <c r="I126" s="102"/>
      <c r="J126" s="102" t="s">
        <v>145</v>
      </c>
      <c r="K126" s="102"/>
      <c r="L126" s="102"/>
      <c r="M126" s="102"/>
      <c r="N126" s="102"/>
      <c r="O126" s="214" t="s">
        <v>240</v>
      </c>
      <c r="P126" s="103">
        <v>46398</v>
      </c>
      <c r="Q126" s="103">
        <v>46535</v>
      </c>
      <c r="R126" s="102"/>
      <c r="S126" s="104">
        <v>95</v>
      </c>
      <c r="T126" s="104">
        <v>0</v>
      </c>
      <c r="U126" s="104">
        <v>95</v>
      </c>
      <c r="V126" s="104">
        <v>0</v>
      </c>
      <c r="W126" s="103"/>
      <c r="X126" s="103"/>
      <c r="Y126" s="105">
        <v>0</v>
      </c>
      <c r="Z126" s="106">
        <v>0</v>
      </c>
      <c r="AA126" s="104"/>
      <c r="AB126" s="102"/>
      <c r="AC126" s="102"/>
      <c r="AD126" s="281">
        <v>0</v>
      </c>
      <c r="AE126" s="283">
        <v>0</v>
      </c>
      <c r="AF126" s="118"/>
      <c r="AG126" s="119"/>
      <c r="AH126" s="119"/>
      <c r="AI126" s="119"/>
      <c r="AJ126" s="119"/>
      <c r="AK126" s="119"/>
      <c r="AL126" s="119"/>
      <c r="AM126" s="119"/>
      <c r="AN126" s="119"/>
      <c r="AO126" s="119"/>
      <c r="AP126" s="119"/>
      <c r="AQ126" s="119"/>
      <c r="AR126" s="119"/>
      <c r="AS126" s="119"/>
      <c r="AT126" s="119"/>
      <c r="AU126" s="119"/>
      <c r="AV126" s="119"/>
      <c r="AW126" s="119"/>
      <c r="AX126" s="119"/>
      <c r="AY126" s="119"/>
      <c r="AZ126" s="119"/>
      <c r="BA126" s="119"/>
      <c r="BB126" s="119"/>
      <c r="BC126" s="119"/>
      <c r="BD126" s="119"/>
      <c r="BE126" s="119"/>
      <c r="BF126" s="119"/>
      <c r="BG126" s="119"/>
      <c r="BH126" s="119"/>
      <c r="BI126" s="119" t="str">
        <f>" " &amp; TEXT(AE126,"#0.00%") &amp; " "</f>
        <v xml:space="preserve"> 0.00% </v>
      </c>
      <c r="BJ126" s="119"/>
      <c r="BK126" s="119"/>
      <c r="BL126" s="119"/>
      <c r="BM126" s="119"/>
      <c r="BN126" s="119"/>
      <c r="BO126" s="119"/>
      <c r="BP126" s="119"/>
      <c r="BQ126" s="119"/>
      <c r="BR126" s="119"/>
      <c r="BS126" s="119"/>
      <c r="BT126" s="119"/>
      <c r="BU126" s="119"/>
      <c r="BV126" s="119"/>
      <c r="BW126" s="119"/>
      <c r="BX126" s="119"/>
      <c r="BY126" s="119"/>
      <c r="BZ126" s="119"/>
      <c r="CA126" s="119"/>
      <c r="CB126" s="119" t="str">
        <f>"      " &amp; "기능 개발" &amp; " " &amp; IF(P126="","",TEXT(P126,"M/D-")) &amp; IF(Q126="","",TEXT(Q126,"M/D")) &amp; " "</f>
        <v xml:space="preserve">      기능 개발 1/11-5/28 </v>
      </c>
      <c r="CC126" s="119"/>
      <c r="CD126" s="119"/>
      <c r="CE126" s="119"/>
      <c r="CF126" s="119"/>
      <c r="CG126" s="119"/>
    </row>
    <row r="127" spans="1:85" ht="12" customHeight="1" outlineLevel="6">
      <c r="A127" s="101"/>
      <c r="B127" s="101"/>
      <c r="C127" s="101">
        <v>7</v>
      </c>
      <c r="D127" s="116" t="s">
        <v>257</v>
      </c>
      <c r="E127" s="102"/>
      <c r="F127" s="102"/>
      <c r="G127" s="102"/>
      <c r="H127" s="102"/>
      <c r="I127" s="102"/>
      <c r="J127" s="102"/>
      <c r="K127" s="102" t="s">
        <v>258</v>
      </c>
      <c r="L127" s="102"/>
      <c r="M127" s="102"/>
      <c r="N127" s="102"/>
      <c r="O127" s="214"/>
      <c r="P127" s="103">
        <v>46398</v>
      </c>
      <c r="Q127" s="103">
        <v>46468</v>
      </c>
      <c r="R127" s="102"/>
      <c r="S127" s="104">
        <v>48</v>
      </c>
      <c r="T127" s="104">
        <v>0</v>
      </c>
      <c r="U127" s="104">
        <v>48</v>
      </c>
      <c r="V127" s="104">
        <v>0</v>
      </c>
      <c r="W127" s="103"/>
      <c r="X127" s="103"/>
      <c r="Y127" s="105"/>
      <c r="Z127" s="106">
        <v>0</v>
      </c>
      <c r="AA127" s="104">
        <v>1</v>
      </c>
      <c r="AB127" s="102"/>
      <c r="AC127" s="102"/>
      <c r="AD127" s="281">
        <v>0</v>
      </c>
      <c r="AE127" s="282">
        <v>0</v>
      </c>
      <c r="AF127" s="118"/>
      <c r="AG127" s="119"/>
      <c r="AH127" s="119"/>
      <c r="AI127" s="119"/>
      <c r="AJ127" s="119"/>
      <c r="AK127" s="119"/>
      <c r="AL127" s="119"/>
      <c r="AM127" s="119"/>
      <c r="AN127" s="119"/>
      <c r="AO127" s="119"/>
      <c r="AP127" s="119"/>
      <c r="AQ127" s="119"/>
      <c r="AR127" s="119"/>
      <c r="AS127" s="119"/>
      <c r="AT127" s="119"/>
      <c r="AU127" s="119"/>
      <c r="AV127" s="119"/>
      <c r="AW127" s="119"/>
      <c r="AX127" s="119"/>
      <c r="AY127" s="119"/>
      <c r="AZ127" s="119"/>
      <c r="BA127" s="119"/>
      <c r="BB127" s="119"/>
      <c r="BC127" s="119"/>
      <c r="BD127" s="119"/>
      <c r="BE127" s="119"/>
      <c r="BF127" s="119"/>
      <c r="BG127" s="119"/>
      <c r="BH127" s="119"/>
      <c r="BI127" s="119" t="str">
        <f>" " &amp; TEXT(AE127,"#0.00%") &amp; " "</f>
        <v xml:space="preserve"> 0.00% </v>
      </c>
      <c r="BJ127" s="119"/>
      <c r="BK127" s="119"/>
      <c r="BL127" s="119"/>
      <c r="BM127" s="119"/>
      <c r="BN127" s="119"/>
      <c r="BO127" s="119"/>
      <c r="BP127" s="119"/>
      <c r="BQ127" s="119"/>
      <c r="BR127" s="119"/>
      <c r="BS127" s="119" t="str">
        <f>"  " &amp; "버스정류장 및 지하철역 정보 개선 반영" &amp; " " &amp; IF(P127="","",TEXT(P127,"M/D-")) &amp; IF(Q127="","",TEXT(Q127,"M/D")) &amp; " "</f>
        <v xml:space="preserve">  버스정류장 및 지하철역 정보 개선 반영 1/11-3/22 </v>
      </c>
      <c r="BT127" s="119"/>
      <c r="BU127" s="119"/>
      <c r="BV127" s="119"/>
      <c r="BW127" s="119"/>
      <c r="BX127" s="119"/>
      <c r="BY127" s="119"/>
      <c r="BZ127" s="119"/>
      <c r="CA127" s="119"/>
      <c r="CB127" s="119"/>
      <c r="CC127" s="119"/>
      <c r="CD127" s="119"/>
      <c r="CE127" s="119"/>
      <c r="CF127" s="119"/>
      <c r="CG127" s="119"/>
    </row>
    <row r="128" spans="1:85" ht="12" customHeight="1" outlineLevel="6">
      <c r="A128" s="101"/>
      <c r="B128" s="101"/>
      <c r="C128" s="101">
        <v>7</v>
      </c>
      <c r="D128" s="116" t="s">
        <v>259</v>
      </c>
      <c r="E128" s="102"/>
      <c r="F128" s="102"/>
      <c r="G128" s="102"/>
      <c r="H128" s="102"/>
      <c r="I128" s="102"/>
      <c r="J128" s="102"/>
      <c r="K128" s="102" t="s">
        <v>260</v>
      </c>
      <c r="L128" s="102"/>
      <c r="M128" s="102"/>
      <c r="N128" s="102"/>
      <c r="O128" s="214"/>
      <c r="P128" s="103">
        <v>46469</v>
      </c>
      <c r="Q128" s="103">
        <v>46535</v>
      </c>
      <c r="R128" s="102"/>
      <c r="S128" s="104">
        <v>47</v>
      </c>
      <c r="T128" s="104">
        <v>0</v>
      </c>
      <c r="U128" s="104">
        <v>47</v>
      </c>
      <c r="V128" s="104">
        <v>0</v>
      </c>
      <c r="W128" s="103"/>
      <c r="X128" s="103"/>
      <c r="Y128" s="105"/>
      <c r="Z128" s="106">
        <v>0</v>
      </c>
      <c r="AA128" s="104">
        <v>1</v>
      </c>
      <c r="AB128" s="102"/>
      <c r="AC128" s="102"/>
      <c r="AD128" s="281">
        <v>0</v>
      </c>
      <c r="AE128" s="282">
        <v>0</v>
      </c>
      <c r="AF128" s="118"/>
      <c r="AG128" s="119"/>
      <c r="AH128" s="119"/>
      <c r="AI128" s="119"/>
      <c r="AJ128" s="119"/>
      <c r="AK128" s="119"/>
      <c r="AL128" s="119"/>
      <c r="AM128" s="119"/>
      <c r="AN128" s="119"/>
      <c r="AO128" s="119"/>
      <c r="AP128" s="119"/>
      <c r="AQ128" s="119"/>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t="str">
        <f>"  " &amp; TEXT(AE128,"#0.00%") &amp; " "</f>
        <v xml:space="preserve">  0.00% </v>
      </c>
      <c r="BT128" s="119"/>
      <c r="BU128" s="119"/>
      <c r="BV128" s="119"/>
      <c r="BW128" s="119"/>
      <c r="BX128" s="119"/>
      <c r="BY128" s="119"/>
      <c r="BZ128" s="119"/>
      <c r="CA128" s="119"/>
      <c r="CB128" s="119" t="str">
        <f>"      " &amp; "실시간 도착정보 정확도 개선" &amp; " " &amp; IF(P128="","",TEXT(P128,"M/D-")) &amp; IF(Q128="","",TEXT(Q128,"M/D")) &amp; " "</f>
        <v xml:space="preserve">      실시간 도착정보 정확도 개선 3/23-5/28 </v>
      </c>
      <c r="CC128" s="119"/>
      <c r="CD128" s="119"/>
      <c r="CE128" s="119"/>
      <c r="CF128" s="119"/>
      <c r="CG128" s="119"/>
    </row>
    <row r="129" spans="1:85" ht="12" customHeight="1" outlineLevel="5">
      <c r="A129" s="101"/>
      <c r="B129" s="101"/>
      <c r="C129" s="101">
        <v>6</v>
      </c>
      <c r="D129" s="116" t="s">
        <v>261</v>
      </c>
      <c r="E129" s="102"/>
      <c r="F129" s="102"/>
      <c r="G129" s="102"/>
      <c r="H129" s="102"/>
      <c r="I129" s="102"/>
      <c r="J129" s="102" t="s">
        <v>156</v>
      </c>
      <c r="K129" s="102"/>
      <c r="L129" s="102"/>
      <c r="M129" s="102"/>
      <c r="N129" s="102"/>
      <c r="O129" s="214"/>
      <c r="P129" s="103">
        <v>46405</v>
      </c>
      <c r="Q129" s="103">
        <v>46535</v>
      </c>
      <c r="R129" s="102"/>
      <c r="S129" s="104">
        <v>90</v>
      </c>
      <c r="T129" s="104">
        <v>0</v>
      </c>
      <c r="U129" s="104">
        <v>90</v>
      </c>
      <c r="V129" s="104">
        <v>0</v>
      </c>
      <c r="W129" s="103">
        <v>46163</v>
      </c>
      <c r="X129" s="103"/>
      <c r="Y129" s="105">
        <v>-32968</v>
      </c>
      <c r="Z129" s="106">
        <v>0</v>
      </c>
      <c r="AA129" s="104">
        <v>1</v>
      </c>
      <c r="AB129" s="102"/>
      <c r="AC129" s="102"/>
      <c r="AD129" s="281">
        <v>0</v>
      </c>
      <c r="AE129" s="282">
        <v>0</v>
      </c>
      <c r="AF129" s="118"/>
      <c r="AG129" s="119"/>
      <c r="AH129" s="119"/>
      <c r="AI129" s="119"/>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119"/>
      <c r="BJ129" s="119" t="str">
        <f>" " &amp; TEXT(AE129,"#0.00%") &amp; " "</f>
        <v xml:space="preserve"> 0.00% </v>
      </c>
      <c r="BK129" s="119"/>
      <c r="BL129" s="119"/>
      <c r="BM129" s="119"/>
      <c r="BN129" s="119"/>
      <c r="BO129" s="119"/>
      <c r="BP129" s="119"/>
      <c r="BQ129" s="119"/>
      <c r="BR129" s="119"/>
      <c r="BS129" s="119"/>
      <c r="BT129" s="119"/>
      <c r="BU129" s="119"/>
      <c r="BV129" s="119"/>
      <c r="BW129" s="119"/>
      <c r="BX129" s="119"/>
      <c r="BY129" s="119"/>
      <c r="BZ129" s="119"/>
      <c r="CA129" s="119"/>
      <c r="CB129" s="119" t="str">
        <f>"      " &amp; "단위테스트" &amp; " " &amp; IF(P129="","",TEXT(P129,"M/D-")) &amp; IF(Q129="","",TEXT(Q129,"M/D")) &amp; " "</f>
        <v xml:space="preserve">      단위테스트 1/18-5/28 </v>
      </c>
      <c r="CC129" s="119"/>
      <c r="CD129" s="119"/>
      <c r="CE129" s="119"/>
      <c r="CF129" s="119"/>
      <c r="CG129" s="119"/>
    </row>
    <row r="130" spans="1:85" ht="12" customHeight="1" outlineLevel="4">
      <c r="A130" s="101"/>
      <c r="B130" s="101" t="s">
        <v>36</v>
      </c>
      <c r="C130" s="101">
        <v>5</v>
      </c>
      <c r="D130" s="116" t="s">
        <v>262</v>
      </c>
      <c r="E130" s="102"/>
      <c r="F130" s="102"/>
      <c r="G130" s="102"/>
      <c r="H130" s="102"/>
      <c r="I130" s="102" t="s">
        <v>188</v>
      </c>
      <c r="J130" s="102"/>
      <c r="K130" s="102"/>
      <c r="L130" s="102"/>
      <c r="M130" s="102"/>
      <c r="N130" s="102"/>
      <c r="O130" s="214"/>
      <c r="P130" s="103">
        <v>46398</v>
      </c>
      <c r="Q130" s="103">
        <v>46535</v>
      </c>
      <c r="R130" s="102"/>
      <c r="S130" s="104">
        <v>185</v>
      </c>
      <c r="T130" s="104">
        <v>0</v>
      </c>
      <c r="U130" s="104">
        <v>95</v>
      </c>
      <c r="V130" s="104">
        <v>0</v>
      </c>
      <c r="W130" s="103"/>
      <c r="X130" s="103"/>
      <c r="Y130" s="105">
        <v>0</v>
      </c>
      <c r="Z130" s="106">
        <v>0</v>
      </c>
      <c r="AA130" s="104"/>
      <c r="AB130" s="102"/>
      <c r="AC130" s="102"/>
      <c r="AD130" s="281">
        <v>0</v>
      </c>
      <c r="AE130" s="283">
        <v>0</v>
      </c>
      <c r="AF130" s="118"/>
      <c r="AG130" s="119"/>
      <c r="AH130" s="119"/>
      <c r="AI130" s="119"/>
      <c r="AJ130" s="119"/>
      <c r="AK130" s="119"/>
      <c r="AL130" s="119"/>
      <c r="AM130" s="119"/>
      <c r="AN130" s="119"/>
      <c r="AO130" s="119"/>
      <c r="AP130" s="119"/>
      <c r="AQ130" s="119"/>
      <c r="AR130" s="119"/>
      <c r="AS130" s="119"/>
      <c r="AT130" s="119"/>
      <c r="AU130" s="119"/>
      <c r="AV130" s="119"/>
      <c r="AW130" s="119"/>
      <c r="AX130" s="119"/>
      <c r="AY130" s="119"/>
      <c r="AZ130" s="119"/>
      <c r="BA130" s="119"/>
      <c r="BB130" s="119"/>
      <c r="BC130" s="119"/>
      <c r="BD130" s="119"/>
      <c r="BE130" s="119"/>
      <c r="BF130" s="119"/>
      <c r="BG130" s="119"/>
      <c r="BH130" s="119"/>
      <c r="BI130" s="119" t="str">
        <f>" " &amp; TEXT(AE130,"#0.00%") &amp; " "</f>
        <v xml:space="preserve"> 0.00% </v>
      </c>
      <c r="BJ130" s="119"/>
      <c r="BK130" s="119"/>
      <c r="BL130" s="119"/>
      <c r="BM130" s="119"/>
      <c r="BN130" s="119"/>
      <c r="BO130" s="119"/>
      <c r="BP130" s="119"/>
      <c r="BQ130" s="119"/>
      <c r="BR130" s="119"/>
      <c r="BS130" s="119"/>
      <c r="BT130" s="119"/>
      <c r="BU130" s="119"/>
      <c r="BV130" s="119"/>
      <c r="BW130" s="119"/>
      <c r="BX130" s="119"/>
      <c r="BY130" s="119"/>
      <c r="BZ130" s="119"/>
      <c r="CA130" s="119"/>
      <c r="CB130" s="119" t="str">
        <f>"      " &amp; "지하철 실내 내비게이션" &amp; " " &amp; IF(P130="","",TEXT(P130,"M/D-")) &amp; IF(Q130="","",TEXT(Q130,"M/D")) &amp; " "</f>
        <v xml:space="preserve">      지하철 실내 내비게이션 1/11-5/28 </v>
      </c>
      <c r="CC130" s="119"/>
      <c r="CD130" s="119"/>
      <c r="CE130" s="119"/>
      <c r="CF130" s="119"/>
      <c r="CG130" s="119"/>
    </row>
    <row r="131" spans="1:85" ht="12" customHeight="1" outlineLevel="5">
      <c r="A131" s="101"/>
      <c r="B131" s="101" t="s">
        <v>36</v>
      </c>
      <c r="C131" s="101">
        <v>6</v>
      </c>
      <c r="D131" s="116" t="s">
        <v>263</v>
      </c>
      <c r="E131" s="102"/>
      <c r="F131" s="102"/>
      <c r="G131" s="102"/>
      <c r="H131" s="102"/>
      <c r="I131" s="102"/>
      <c r="J131" s="102" t="s">
        <v>145</v>
      </c>
      <c r="K131" s="102"/>
      <c r="L131" s="102"/>
      <c r="M131" s="102"/>
      <c r="N131" s="102"/>
      <c r="O131" s="214" t="s">
        <v>240</v>
      </c>
      <c r="P131" s="103">
        <v>46398</v>
      </c>
      <c r="Q131" s="103">
        <v>46535</v>
      </c>
      <c r="R131" s="102"/>
      <c r="S131" s="104">
        <v>95</v>
      </c>
      <c r="T131" s="104">
        <v>0</v>
      </c>
      <c r="U131" s="104">
        <v>95</v>
      </c>
      <c r="V131" s="104">
        <v>0</v>
      </c>
      <c r="W131" s="103"/>
      <c r="X131" s="103"/>
      <c r="Y131" s="105">
        <v>0</v>
      </c>
      <c r="Z131" s="106">
        <v>0</v>
      </c>
      <c r="AA131" s="104"/>
      <c r="AB131" s="102"/>
      <c r="AC131" s="102"/>
      <c r="AD131" s="281">
        <v>0</v>
      </c>
      <c r="AE131" s="283">
        <v>0</v>
      </c>
      <c r="AF131" s="118"/>
      <c r="AG131" s="119"/>
      <c r="AH131" s="119"/>
      <c r="AI131" s="119"/>
      <c r="AJ131" s="119"/>
      <c r="AK131" s="119"/>
      <c r="AL131" s="119"/>
      <c r="AM131" s="119"/>
      <c r="AN131" s="119"/>
      <c r="AO131" s="119"/>
      <c r="AP131" s="119"/>
      <c r="AQ131" s="119"/>
      <c r="AR131" s="119"/>
      <c r="AS131" s="119"/>
      <c r="AT131" s="119"/>
      <c r="AU131" s="119"/>
      <c r="AV131" s="119"/>
      <c r="AW131" s="119"/>
      <c r="AX131" s="119"/>
      <c r="AY131" s="119"/>
      <c r="AZ131" s="119"/>
      <c r="BA131" s="119"/>
      <c r="BB131" s="119"/>
      <c r="BC131" s="119"/>
      <c r="BD131" s="119"/>
      <c r="BE131" s="119"/>
      <c r="BF131" s="119"/>
      <c r="BG131" s="119"/>
      <c r="BH131" s="119"/>
      <c r="BI131" s="119" t="str">
        <f>" " &amp; TEXT(AE131,"#0.00%") &amp; " "</f>
        <v xml:space="preserve"> 0.00% </v>
      </c>
      <c r="BJ131" s="119"/>
      <c r="BK131" s="119"/>
      <c r="BL131" s="119"/>
      <c r="BM131" s="119"/>
      <c r="BN131" s="119"/>
      <c r="BO131" s="119"/>
      <c r="BP131" s="119"/>
      <c r="BQ131" s="119"/>
      <c r="BR131" s="119"/>
      <c r="BS131" s="119"/>
      <c r="BT131" s="119"/>
      <c r="BU131" s="119"/>
      <c r="BV131" s="119"/>
      <c r="BW131" s="119"/>
      <c r="BX131" s="119"/>
      <c r="BY131" s="119"/>
      <c r="BZ131" s="119"/>
      <c r="CA131" s="119"/>
      <c r="CB131" s="119" t="str">
        <f>"      " &amp; "기능 개발" &amp; " " &amp; IF(P131="","",TEXT(P131,"M/D-")) &amp; IF(Q131="","",TEXT(Q131,"M/D")) &amp; " "</f>
        <v xml:space="preserve">      기능 개발 1/11-5/28 </v>
      </c>
      <c r="CC131" s="119"/>
      <c r="CD131" s="119"/>
      <c r="CE131" s="119"/>
      <c r="CF131" s="119"/>
      <c r="CG131" s="119"/>
    </row>
    <row r="132" spans="1:85" ht="12" customHeight="1" outlineLevel="6">
      <c r="A132" s="101"/>
      <c r="B132" s="101"/>
      <c r="C132" s="101">
        <v>7</v>
      </c>
      <c r="D132" s="116" t="s">
        <v>264</v>
      </c>
      <c r="E132" s="102"/>
      <c r="F132" s="102"/>
      <c r="G132" s="102"/>
      <c r="H132" s="102"/>
      <c r="I132" s="102"/>
      <c r="J132" s="102"/>
      <c r="K132" s="102" t="s">
        <v>265</v>
      </c>
      <c r="L132" s="102"/>
      <c r="M132" s="102"/>
      <c r="N132" s="102"/>
      <c r="O132" s="214"/>
      <c r="P132" s="103">
        <v>46398</v>
      </c>
      <c r="Q132" s="103">
        <v>46449</v>
      </c>
      <c r="R132" s="102"/>
      <c r="S132" s="104">
        <v>35</v>
      </c>
      <c r="T132" s="104">
        <v>0</v>
      </c>
      <c r="U132" s="104">
        <v>35</v>
      </c>
      <c r="V132" s="104">
        <v>0</v>
      </c>
      <c r="W132" s="103"/>
      <c r="X132" s="103"/>
      <c r="Y132" s="105"/>
      <c r="Z132" s="106">
        <v>0</v>
      </c>
      <c r="AA132" s="104">
        <v>1</v>
      </c>
      <c r="AB132" s="102"/>
      <c r="AC132" s="102"/>
      <c r="AD132" s="281">
        <v>0</v>
      </c>
      <c r="AE132" s="282">
        <v>0</v>
      </c>
      <c r="AF132" s="118"/>
      <c r="AG132" s="119"/>
      <c r="AH132" s="119"/>
      <c r="AI132" s="119"/>
      <c r="AJ132" s="119"/>
      <c r="AK132" s="119"/>
      <c r="AL132" s="119"/>
      <c r="AM132" s="119"/>
      <c r="AN132" s="119"/>
      <c r="AO132" s="119"/>
      <c r="AP132" s="119"/>
      <c r="AQ132" s="119"/>
      <c r="AR132" s="119"/>
      <c r="AS132" s="119"/>
      <c r="AT132" s="119"/>
      <c r="AU132" s="119"/>
      <c r="AV132" s="119"/>
      <c r="AW132" s="119"/>
      <c r="AX132" s="119"/>
      <c r="AY132" s="119"/>
      <c r="AZ132" s="119"/>
      <c r="BA132" s="119"/>
      <c r="BB132" s="119"/>
      <c r="BC132" s="119"/>
      <c r="BD132" s="119"/>
      <c r="BE132" s="119"/>
      <c r="BF132" s="119"/>
      <c r="BG132" s="119"/>
      <c r="BH132" s="119"/>
      <c r="BI132" s="119" t="str">
        <f>" " &amp; TEXT(AE132,"#0.00%") &amp; " "</f>
        <v xml:space="preserve"> 0.00% </v>
      </c>
      <c r="BJ132" s="119"/>
      <c r="BK132" s="119"/>
      <c r="BL132" s="119"/>
      <c r="BM132" s="119"/>
      <c r="BN132" s="119"/>
      <c r="BO132" s="119"/>
      <c r="BP132" s="119" t="str">
        <f>"    " &amp; "2단계 역사 확대 반영(실내지도, 측위)" &amp; " " &amp; IF(P132="","",TEXT(P132,"M/D-")) &amp; IF(Q132="","",TEXT(Q132,"M/D")) &amp; " "</f>
        <v xml:space="preserve">    2단계 역사 확대 반영(실내지도, 측위) 1/11-3/3 </v>
      </c>
      <c r="BQ132" s="119"/>
      <c r="BR132" s="119"/>
      <c r="BS132" s="119"/>
      <c r="BT132" s="119"/>
      <c r="BU132" s="119"/>
      <c r="BV132" s="119"/>
      <c r="BW132" s="119"/>
      <c r="BX132" s="119"/>
      <c r="BY132" s="119"/>
      <c r="BZ132" s="119"/>
      <c r="CA132" s="119"/>
      <c r="CB132" s="119"/>
      <c r="CC132" s="119"/>
      <c r="CD132" s="119"/>
      <c r="CE132" s="119"/>
      <c r="CF132" s="119"/>
      <c r="CG132" s="119"/>
    </row>
    <row r="133" spans="1:85" ht="12" customHeight="1" outlineLevel="6">
      <c r="A133" s="101"/>
      <c r="B133" s="101"/>
      <c r="C133" s="101">
        <v>7</v>
      </c>
      <c r="D133" s="116" t="s">
        <v>266</v>
      </c>
      <c r="E133" s="102"/>
      <c r="F133" s="102"/>
      <c r="G133" s="102"/>
      <c r="H133" s="102"/>
      <c r="I133" s="102"/>
      <c r="J133" s="102"/>
      <c r="K133" s="102" t="s">
        <v>267</v>
      </c>
      <c r="L133" s="102"/>
      <c r="M133" s="102"/>
      <c r="N133" s="102"/>
      <c r="O133" s="214"/>
      <c r="P133" s="103">
        <v>46450</v>
      </c>
      <c r="Q133" s="103">
        <v>46484</v>
      </c>
      <c r="R133" s="102"/>
      <c r="S133" s="104">
        <v>25</v>
      </c>
      <c r="T133" s="104">
        <v>0</v>
      </c>
      <c r="U133" s="104">
        <v>25</v>
      </c>
      <c r="V133" s="104">
        <v>0</v>
      </c>
      <c r="W133" s="103"/>
      <c r="X133" s="103"/>
      <c r="Y133" s="105"/>
      <c r="Z133" s="106">
        <v>0</v>
      </c>
      <c r="AA133" s="104">
        <v>1</v>
      </c>
      <c r="AB133" s="102"/>
      <c r="AC133" s="102"/>
      <c r="AD133" s="281">
        <v>0</v>
      </c>
      <c r="AE133" s="282">
        <v>0</v>
      </c>
      <c r="AF133" s="118"/>
      <c r="AG133" s="119"/>
      <c r="AH133" s="119"/>
      <c r="AI133" s="119"/>
      <c r="AJ133" s="119"/>
      <c r="AK133" s="119"/>
      <c r="AL133" s="119"/>
      <c r="AM133" s="119"/>
      <c r="AN133" s="119"/>
      <c r="AO133" s="119"/>
      <c r="AP133" s="119"/>
      <c r="AQ133" s="119"/>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t="str">
        <f>"    " &amp; TEXT(AE133,"#0.00%") &amp; " "</f>
        <v xml:space="preserve">    0.00% </v>
      </c>
      <c r="BQ133" s="119"/>
      <c r="BR133" s="119"/>
      <c r="BS133" s="119"/>
      <c r="BT133" s="119"/>
      <c r="BU133" s="119" t="str">
        <f>"    " &amp; "실내 측위 정확도 개선" &amp; " " &amp; IF(P133="","",TEXT(P133,"M/D-")) &amp; IF(Q133="","",TEXT(Q133,"M/D")) &amp; " "</f>
        <v xml:space="preserve">    실내 측위 정확도 개선 3/4-4/7 </v>
      </c>
      <c r="BV133" s="119"/>
      <c r="BW133" s="119"/>
      <c r="BX133" s="119"/>
      <c r="BY133" s="119"/>
      <c r="BZ133" s="119"/>
      <c r="CA133" s="119"/>
      <c r="CB133" s="119"/>
      <c r="CC133" s="119"/>
      <c r="CD133" s="119"/>
      <c r="CE133" s="119"/>
      <c r="CF133" s="119"/>
      <c r="CG133" s="119"/>
    </row>
    <row r="134" spans="1:85" ht="12" customHeight="1" outlineLevel="6">
      <c r="A134" s="101"/>
      <c r="B134" s="101"/>
      <c r="C134" s="101">
        <v>7</v>
      </c>
      <c r="D134" s="116" t="s">
        <v>268</v>
      </c>
      <c r="E134" s="102"/>
      <c r="F134" s="102"/>
      <c r="G134" s="102"/>
      <c r="H134" s="102"/>
      <c r="I134" s="102"/>
      <c r="J134" s="102"/>
      <c r="K134" s="102" t="s">
        <v>269</v>
      </c>
      <c r="L134" s="102"/>
      <c r="M134" s="102"/>
      <c r="N134" s="102"/>
      <c r="O134" s="214"/>
      <c r="P134" s="103">
        <v>46485</v>
      </c>
      <c r="Q134" s="103">
        <v>46513</v>
      </c>
      <c r="R134" s="102"/>
      <c r="S134" s="104">
        <v>20</v>
      </c>
      <c r="T134" s="104">
        <v>0</v>
      </c>
      <c r="U134" s="104">
        <v>20</v>
      </c>
      <c r="V134" s="104">
        <v>0</v>
      </c>
      <c r="W134" s="103"/>
      <c r="X134" s="103"/>
      <c r="Y134" s="105"/>
      <c r="Z134" s="106">
        <v>0</v>
      </c>
      <c r="AA134" s="104">
        <v>1</v>
      </c>
      <c r="AB134" s="102"/>
      <c r="AC134" s="102"/>
      <c r="AD134" s="281">
        <v>0</v>
      </c>
      <c r="AE134" s="282">
        <v>0</v>
      </c>
      <c r="AF134" s="118"/>
      <c r="AG134" s="119"/>
      <c r="AH134" s="119"/>
      <c r="AI134" s="119"/>
      <c r="AJ134" s="119"/>
      <c r="AK134" s="119"/>
      <c r="AL134" s="119"/>
      <c r="AM134" s="119"/>
      <c r="AN134" s="119"/>
      <c r="AO134" s="119"/>
      <c r="AP134" s="119"/>
      <c r="AQ134" s="119"/>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t="str">
        <f>"    " &amp; TEXT(AE134,"#0.00%") &amp; " "</f>
        <v xml:space="preserve">    0.00% </v>
      </c>
      <c r="BV134" s="119"/>
      <c r="BW134" s="119"/>
      <c r="BX134" s="119"/>
      <c r="BY134" s="119" t="str">
        <f>"     " &amp; "실내 경로 안내 개선 반영" &amp; " " &amp; IF(P134="","",TEXT(P134,"M/D-")) &amp; IF(Q134="","",TEXT(Q134,"M/D")) &amp; " "</f>
        <v xml:space="preserve">     실내 경로 안내 개선 반영 4/8-5/6 </v>
      </c>
      <c r="BZ134" s="119"/>
      <c r="CA134" s="119"/>
      <c r="CB134" s="119"/>
      <c r="CC134" s="119"/>
      <c r="CD134" s="119"/>
      <c r="CE134" s="119"/>
      <c r="CF134" s="119"/>
      <c r="CG134" s="119"/>
    </row>
    <row r="135" spans="1:85" ht="12" customHeight="1" outlineLevel="6">
      <c r="A135" s="101"/>
      <c r="B135" s="101"/>
      <c r="C135" s="101">
        <v>7</v>
      </c>
      <c r="D135" s="116" t="s">
        <v>270</v>
      </c>
      <c r="E135" s="102"/>
      <c r="F135" s="102"/>
      <c r="G135" s="102"/>
      <c r="H135" s="102"/>
      <c r="I135" s="102"/>
      <c r="J135" s="102"/>
      <c r="K135" s="102" t="s">
        <v>271</v>
      </c>
      <c r="L135" s="102"/>
      <c r="M135" s="102"/>
      <c r="N135" s="102"/>
      <c r="O135" s="214"/>
      <c r="P135" s="103">
        <v>46514</v>
      </c>
      <c r="Q135" s="103">
        <v>46535</v>
      </c>
      <c r="R135" s="102"/>
      <c r="S135" s="104">
        <v>15</v>
      </c>
      <c r="T135" s="104">
        <v>0</v>
      </c>
      <c r="U135" s="104">
        <v>15</v>
      </c>
      <c r="V135" s="104">
        <v>0</v>
      </c>
      <c r="W135" s="103"/>
      <c r="X135" s="103"/>
      <c r="Y135" s="105"/>
      <c r="Z135" s="106">
        <v>0</v>
      </c>
      <c r="AA135" s="104">
        <v>1</v>
      </c>
      <c r="AB135" s="102"/>
      <c r="AC135" s="102"/>
      <c r="AD135" s="281">
        <v>0</v>
      </c>
      <c r="AE135" s="282">
        <v>0</v>
      </c>
      <c r="AF135" s="118"/>
      <c r="AG135" s="119"/>
      <c r="AH135" s="119"/>
      <c r="AI135" s="119"/>
      <c r="AJ135" s="119"/>
      <c r="AK135" s="119"/>
      <c r="AL135" s="119"/>
      <c r="AM135" s="119"/>
      <c r="AN135" s="119"/>
      <c r="AO135" s="119"/>
      <c r="AP135" s="119"/>
      <c r="AQ135" s="119"/>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t="str">
        <f>"     " &amp; TEXT(AE135,"#0.00%") &amp; " " &amp; "실외↔실내 전환 안정화" &amp; " " &amp; IF(P135="","",TEXT(P135,"M/D-")) &amp; IF(Q135="","",TEXT(Q135,"M/D")) &amp; " "</f>
        <v xml:space="preserve">     0.00% 실외↔실내 전환 안정화 5/7-5/28 </v>
      </c>
      <c r="BZ135" s="119"/>
      <c r="CA135" s="119"/>
      <c r="CB135" s="119"/>
      <c r="CC135" s="119"/>
      <c r="CD135" s="119"/>
      <c r="CE135" s="119"/>
      <c r="CF135" s="119"/>
      <c r="CG135" s="119"/>
    </row>
    <row r="136" spans="1:85" ht="12" customHeight="1" outlineLevel="5">
      <c r="A136" s="101"/>
      <c r="B136" s="101"/>
      <c r="C136" s="101">
        <v>6</v>
      </c>
      <c r="D136" s="116" t="s">
        <v>272</v>
      </c>
      <c r="E136" s="102"/>
      <c r="F136" s="102"/>
      <c r="G136" s="102"/>
      <c r="H136" s="102"/>
      <c r="I136" s="102"/>
      <c r="J136" s="102" t="s">
        <v>156</v>
      </c>
      <c r="K136" s="102"/>
      <c r="L136" s="102"/>
      <c r="M136" s="102"/>
      <c r="N136" s="102"/>
      <c r="O136" s="214"/>
      <c r="P136" s="103">
        <v>46405</v>
      </c>
      <c r="Q136" s="103">
        <v>46535</v>
      </c>
      <c r="R136" s="102"/>
      <c r="S136" s="104">
        <v>90</v>
      </c>
      <c r="T136" s="104">
        <v>0</v>
      </c>
      <c r="U136" s="104">
        <v>90</v>
      </c>
      <c r="V136" s="104">
        <v>0</v>
      </c>
      <c r="W136" s="103">
        <v>46163</v>
      </c>
      <c r="X136" s="103"/>
      <c r="Y136" s="105">
        <v>-32968</v>
      </c>
      <c r="Z136" s="106">
        <v>0</v>
      </c>
      <c r="AA136" s="104">
        <v>1</v>
      </c>
      <c r="AB136" s="102"/>
      <c r="AC136" s="102"/>
      <c r="AD136" s="281">
        <v>0</v>
      </c>
      <c r="AE136" s="282">
        <v>0</v>
      </c>
      <c r="AF136" s="118"/>
      <c r="AG136" s="119"/>
      <c r="AH136" s="119"/>
      <c r="AI136" s="119"/>
      <c r="AJ136" s="119"/>
      <c r="AK136" s="119"/>
      <c r="AL136" s="119"/>
      <c r="AM136" s="119"/>
      <c r="AN136" s="119"/>
      <c r="AO136" s="119"/>
      <c r="AP136" s="119"/>
      <c r="AQ136" s="119"/>
      <c r="AR136" s="119"/>
      <c r="AS136" s="119"/>
      <c r="AT136" s="119"/>
      <c r="AU136" s="119"/>
      <c r="AV136" s="119"/>
      <c r="AW136" s="119"/>
      <c r="AX136" s="119"/>
      <c r="AY136" s="119"/>
      <c r="AZ136" s="119"/>
      <c r="BA136" s="119"/>
      <c r="BB136" s="119"/>
      <c r="BC136" s="119"/>
      <c r="BD136" s="119"/>
      <c r="BE136" s="119"/>
      <c r="BF136" s="119"/>
      <c r="BG136" s="119"/>
      <c r="BH136" s="119"/>
      <c r="BI136" s="119"/>
      <c r="BJ136" s="119" t="str">
        <f>" " &amp; TEXT(AE136,"#0.00%") &amp; " "</f>
        <v xml:space="preserve"> 0.00% </v>
      </c>
      <c r="BK136" s="119"/>
      <c r="BL136" s="119"/>
      <c r="BM136" s="119"/>
      <c r="BN136" s="119"/>
      <c r="BO136" s="119"/>
      <c r="BP136" s="119"/>
      <c r="BQ136" s="119"/>
      <c r="BR136" s="119"/>
      <c r="BS136" s="119"/>
      <c r="BT136" s="119"/>
      <c r="BU136" s="119"/>
      <c r="BV136" s="119"/>
      <c r="BW136" s="119"/>
      <c r="BX136" s="119"/>
      <c r="BY136" s="119"/>
      <c r="BZ136" s="119"/>
      <c r="CA136" s="119"/>
      <c r="CB136" s="119" t="str">
        <f>"      " &amp; "단위테스트" &amp; " " &amp; IF(P136="","",TEXT(P136,"M/D-")) &amp; IF(Q136="","",TEXT(Q136,"M/D")) &amp; " "</f>
        <v xml:space="preserve">      단위테스트 1/18-5/28 </v>
      </c>
      <c r="CC136" s="119"/>
      <c r="CD136" s="119"/>
      <c r="CE136" s="119"/>
      <c r="CF136" s="119"/>
      <c r="CG136" s="119"/>
    </row>
    <row r="137" spans="1:85" ht="12" customHeight="1" outlineLevel="4">
      <c r="A137" s="101"/>
      <c r="B137" s="101" t="s">
        <v>36</v>
      </c>
      <c r="C137" s="101">
        <v>5</v>
      </c>
      <c r="D137" s="116" t="s">
        <v>273</v>
      </c>
      <c r="E137" s="102"/>
      <c r="F137" s="102"/>
      <c r="G137" s="102"/>
      <c r="H137" s="102"/>
      <c r="I137" s="102" t="s">
        <v>274</v>
      </c>
      <c r="J137" s="102"/>
      <c r="K137" s="102"/>
      <c r="L137" s="102"/>
      <c r="M137" s="102"/>
      <c r="N137" s="102"/>
      <c r="O137" s="214" t="s">
        <v>274</v>
      </c>
      <c r="P137" s="103">
        <v>46398</v>
      </c>
      <c r="Q137" s="103">
        <v>46535</v>
      </c>
      <c r="R137" s="102"/>
      <c r="S137" s="104">
        <v>237</v>
      </c>
      <c r="T137" s="104">
        <v>0</v>
      </c>
      <c r="U137" s="104">
        <v>95</v>
      </c>
      <c r="V137" s="104">
        <v>0</v>
      </c>
      <c r="W137" s="103"/>
      <c r="X137" s="103"/>
      <c r="Y137" s="105">
        <v>0</v>
      </c>
      <c r="Z137" s="106">
        <v>0</v>
      </c>
      <c r="AA137" s="104"/>
      <c r="AB137" s="102"/>
      <c r="AC137" s="102"/>
      <c r="AD137" s="281">
        <v>0</v>
      </c>
      <c r="AE137" s="283">
        <v>0</v>
      </c>
      <c r="AF137" s="118"/>
      <c r="AG137" s="119"/>
      <c r="AH137" s="119"/>
      <c r="AI137" s="119"/>
      <c r="AJ137" s="119"/>
      <c r="AK137" s="119"/>
      <c r="AL137" s="119"/>
      <c r="AM137" s="119"/>
      <c r="AN137" s="119"/>
      <c r="AO137" s="119"/>
      <c r="AP137" s="119"/>
      <c r="AQ137" s="119"/>
      <c r="AR137" s="119"/>
      <c r="AS137" s="119"/>
      <c r="AT137" s="119"/>
      <c r="AU137" s="119"/>
      <c r="AV137" s="119"/>
      <c r="AW137" s="119"/>
      <c r="AX137" s="119"/>
      <c r="AY137" s="119"/>
      <c r="AZ137" s="119"/>
      <c r="BA137" s="119"/>
      <c r="BB137" s="119"/>
      <c r="BC137" s="119"/>
      <c r="BD137" s="119"/>
      <c r="BE137" s="119"/>
      <c r="BF137" s="119"/>
      <c r="BG137" s="119"/>
      <c r="BH137" s="119"/>
      <c r="BI137" s="119" t="str">
        <f>" " &amp; TEXT(AE137,"#0.00%") &amp; " "</f>
        <v xml:space="preserve"> 0.00% </v>
      </c>
      <c r="BJ137" s="119"/>
      <c r="BK137" s="119"/>
      <c r="BL137" s="119"/>
      <c r="BM137" s="119"/>
      <c r="BN137" s="119"/>
      <c r="BO137" s="119"/>
      <c r="BP137" s="119"/>
      <c r="BQ137" s="119"/>
      <c r="BR137" s="119"/>
      <c r="BS137" s="119"/>
      <c r="BT137" s="119"/>
      <c r="BU137" s="119"/>
      <c r="BV137" s="119"/>
      <c r="BW137" s="119"/>
      <c r="BX137" s="119"/>
      <c r="BY137" s="119"/>
      <c r="BZ137" s="119"/>
      <c r="CA137" s="119"/>
      <c r="CB137" s="119" t="str">
        <f>"      " &amp; "AI 음성인식 및 안내" &amp; " " &amp; IF(P137="","",TEXT(P137,"M/D-")) &amp; IF(Q137="","",TEXT(Q137,"M/D")) &amp; " "</f>
        <v xml:space="preserve">      AI 음성인식 및 안내 1/11-5/28 </v>
      </c>
      <c r="CC137" s="119"/>
      <c r="CD137" s="119"/>
      <c r="CE137" s="119"/>
      <c r="CF137" s="119"/>
      <c r="CG137" s="119"/>
    </row>
    <row r="138" spans="1:85" ht="12" customHeight="1" outlineLevel="5">
      <c r="A138" s="101"/>
      <c r="B138" s="101" t="s">
        <v>36</v>
      </c>
      <c r="C138" s="101">
        <v>6</v>
      </c>
      <c r="D138" s="116" t="s">
        <v>275</v>
      </c>
      <c r="E138" s="102"/>
      <c r="F138" s="102"/>
      <c r="G138" s="102"/>
      <c r="H138" s="102"/>
      <c r="I138" s="102"/>
      <c r="J138" s="102" t="s">
        <v>145</v>
      </c>
      <c r="K138" s="102"/>
      <c r="L138" s="102"/>
      <c r="M138" s="102"/>
      <c r="N138" s="102"/>
      <c r="O138" s="214"/>
      <c r="P138" s="103">
        <v>46398</v>
      </c>
      <c r="Q138" s="103">
        <v>46535</v>
      </c>
      <c r="R138" s="102"/>
      <c r="S138" s="104">
        <v>95</v>
      </c>
      <c r="T138" s="104">
        <v>0</v>
      </c>
      <c r="U138" s="104">
        <v>95</v>
      </c>
      <c r="V138" s="104">
        <v>0</v>
      </c>
      <c r="W138" s="103"/>
      <c r="X138" s="103"/>
      <c r="Y138" s="105">
        <v>0</v>
      </c>
      <c r="Z138" s="106">
        <v>0</v>
      </c>
      <c r="AA138" s="104"/>
      <c r="AB138" s="102"/>
      <c r="AC138" s="102"/>
      <c r="AD138" s="281">
        <v>0</v>
      </c>
      <c r="AE138" s="283">
        <v>0</v>
      </c>
      <c r="AF138" s="118"/>
      <c r="AG138" s="119"/>
      <c r="AH138" s="119"/>
      <c r="AI138" s="119"/>
      <c r="AJ138" s="119"/>
      <c r="AK138" s="119"/>
      <c r="AL138" s="119"/>
      <c r="AM138" s="119"/>
      <c r="AN138" s="119"/>
      <c r="AO138" s="119"/>
      <c r="AP138" s="119"/>
      <c r="AQ138" s="119"/>
      <c r="AR138" s="119"/>
      <c r="AS138" s="119"/>
      <c r="AT138" s="119"/>
      <c r="AU138" s="119"/>
      <c r="AV138" s="119"/>
      <c r="AW138" s="119"/>
      <c r="AX138" s="119"/>
      <c r="AY138" s="119"/>
      <c r="AZ138" s="119"/>
      <c r="BA138" s="119"/>
      <c r="BB138" s="119"/>
      <c r="BC138" s="119"/>
      <c r="BD138" s="119"/>
      <c r="BE138" s="119"/>
      <c r="BF138" s="119"/>
      <c r="BG138" s="119"/>
      <c r="BH138" s="119"/>
      <c r="BI138" s="119" t="str">
        <f>" " &amp; TEXT(AE138,"#0.00%") &amp; " "</f>
        <v xml:space="preserve"> 0.00% </v>
      </c>
      <c r="BJ138" s="119"/>
      <c r="BK138" s="119"/>
      <c r="BL138" s="119"/>
      <c r="BM138" s="119"/>
      <c r="BN138" s="119"/>
      <c r="BO138" s="119"/>
      <c r="BP138" s="119"/>
      <c r="BQ138" s="119"/>
      <c r="BR138" s="119"/>
      <c r="BS138" s="119"/>
      <c r="BT138" s="119"/>
      <c r="BU138" s="119"/>
      <c r="BV138" s="119"/>
      <c r="BW138" s="119"/>
      <c r="BX138" s="119"/>
      <c r="BY138" s="119"/>
      <c r="BZ138" s="119"/>
      <c r="CA138" s="119"/>
      <c r="CB138" s="119" t="str">
        <f>"      " &amp; "기능 개발" &amp; " " &amp; IF(P138="","",TEXT(P138,"M/D-")) &amp; IF(Q138="","",TEXT(Q138,"M/D")) &amp; " "</f>
        <v xml:space="preserve">      기능 개발 1/11-5/28 </v>
      </c>
      <c r="CC138" s="119"/>
      <c r="CD138" s="119"/>
      <c r="CE138" s="119"/>
      <c r="CF138" s="119"/>
      <c r="CG138" s="119"/>
    </row>
    <row r="139" spans="1:85" ht="12" customHeight="1" outlineLevel="6">
      <c r="A139" s="101"/>
      <c r="B139" s="101"/>
      <c r="C139" s="101">
        <v>7</v>
      </c>
      <c r="D139" s="116" t="s">
        <v>276</v>
      </c>
      <c r="E139" s="102"/>
      <c r="F139" s="102"/>
      <c r="G139" s="102"/>
      <c r="H139" s="102"/>
      <c r="I139" s="102"/>
      <c r="J139" s="102"/>
      <c r="K139" s="102" t="s">
        <v>277</v>
      </c>
      <c r="L139" s="102"/>
      <c r="M139" s="102"/>
      <c r="N139" s="102"/>
      <c r="O139" s="214"/>
      <c r="P139" s="103">
        <v>46398</v>
      </c>
      <c r="Q139" s="103">
        <v>46434</v>
      </c>
      <c r="R139" s="102"/>
      <c r="S139" s="104">
        <v>25</v>
      </c>
      <c r="T139" s="104">
        <v>0</v>
      </c>
      <c r="U139" s="104">
        <v>25</v>
      </c>
      <c r="V139" s="104">
        <v>0</v>
      </c>
      <c r="W139" s="103"/>
      <c r="X139" s="103"/>
      <c r="Y139" s="105"/>
      <c r="Z139" s="106">
        <v>0</v>
      </c>
      <c r="AA139" s="104">
        <v>1</v>
      </c>
      <c r="AB139" s="102"/>
      <c r="AC139" s="102"/>
      <c r="AD139" s="281">
        <v>0</v>
      </c>
      <c r="AE139" s="282">
        <v>0</v>
      </c>
      <c r="AF139" s="118"/>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t="str">
        <f>" " &amp; TEXT(AE139,"#0.00%") &amp; " "</f>
        <v xml:space="preserve"> 0.00% </v>
      </c>
      <c r="BJ139" s="119"/>
      <c r="BK139" s="119"/>
      <c r="BL139" s="119"/>
      <c r="BM139" s="119"/>
      <c r="BN139" s="119" t="str">
        <f>"   " &amp; "음성 인식 및 응답 엔진 연동 구현" &amp; " " &amp; IF(P139="","",TEXT(P139,"M/D-")) &amp; IF(Q139="","",TEXT(Q139,"M/D")) &amp; " "</f>
        <v xml:space="preserve">   음성 인식 및 응답 엔진 연동 구현 1/11-2/16 </v>
      </c>
      <c r="BO139" s="119"/>
      <c r="BP139" s="119"/>
      <c r="BQ139" s="119"/>
      <c r="BR139" s="119"/>
      <c r="BS139" s="119"/>
      <c r="BT139" s="119"/>
      <c r="BU139" s="119"/>
      <c r="BV139" s="119"/>
      <c r="BW139" s="119"/>
      <c r="BX139" s="119"/>
      <c r="BY139" s="119"/>
      <c r="BZ139" s="119"/>
      <c r="CA139" s="119"/>
      <c r="CB139" s="119"/>
      <c r="CC139" s="119"/>
      <c r="CD139" s="119"/>
      <c r="CE139" s="119"/>
      <c r="CF139" s="119"/>
      <c r="CG139" s="119"/>
    </row>
    <row r="140" spans="1:85" ht="12" customHeight="1" outlineLevel="6">
      <c r="A140" s="101"/>
      <c r="B140" s="101"/>
      <c r="C140" s="101">
        <v>7</v>
      </c>
      <c r="D140" s="116" t="s">
        <v>278</v>
      </c>
      <c r="E140" s="102"/>
      <c r="F140" s="102"/>
      <c r="G140" s="102"/>
      <c r="H140" s="102"/>
      <c r="I140" s="102"/>
      <c r="J140" s="102"/>
      <c r="K140" s="102" t="s">
        <v>279</v>
      </c>
      <c r="L140" s="102"/>
      <c r="M140" s="102"/>
      <c r="N140" s="102"/>
      <c r="O140" s="214"/>
      <c r="P140" s="103">
        <v>46435</v>
      </c>
      <c r="Q140" s="103">
        <v>46463</v>
      </c>
      <c r="R140" s="102"/>
      <c r="S140" s="104">
        <v>20</v>
      </c>
      <c r="T140" s="104">
        <v>0</v>
      </c>
      <c r="U140" s="104">
        <v>20</v>
      </c>
      <c r="V140" s="104">
        <v>0</v>
      </c>
      <c r="W140" s="103"/>
      <c r="X140" s="103"/>
      <c r="Y140" s="105"/>
      <c r="Z140" s="106">
        <v>0</v>
      </c>
      <c r="AA140" s="104">
        <v>1</v>
      </c>
      <c r="AB140" s="102"/>
      <c r="AC140" s="102"/>
      <c r="AD140" s="281">
        <v>0</v>
      </c>
      <c r="AE140" s="282">
        <v>0</v>
      </c>
      <c r="AF140" s="118"/>
      <c r="AG140" s="119"/>
      <c r="AH140" s="119"/>
      <c r="AI140" s="119"/>
      <c r="AJ140" s="119"/>
      <c r="AK140" s="119"/>
      <c r="AL140" s="119"/>
      <c r="AM140" s="119"/>
      <c r="AN140" s="119"/>
      <c r="AO140" s="119"/>
      <c r="AP140" s="119"/>
      <c r="AQ140" s="119"/>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t="str">
        <f>"   " &amp; TEXT(AE140,"#0.00%") &amp; " "</f>
        <v xml:space="preserve">   0.00% </v>
      </c>
      <c r="BO140" s="119"/>
      <c r="BP140" s="119"/>
      <c r="BQ140" s="119"/>
      <c r="BR140" s="119" t="str">
        <f>"    " &amp; "챗봇형 대화창 화면 구현" &amp; " " &amp; IF(P140="","",TEXT(P140,"M/D-")) &amp; IF(Q140="","",TEXT(Q140,"M/D")) &amp; " "</f>
        <v xml:space="preserve">    챗봇형 대화창 화면 구현 2/17-3/17 </v>
      </c>
      <c r="BS140" s="119"/>
      <c r="BT140" s="119"/>
      <c r="BU140" s="119"/>
      <c r="BV140" s="119"/>
      <c r="BW140" s="119"/>
      <c r="BX140" s="119"/>
      <c r="BY140" s="119"/>
      <c r="BZ140" s="119"/>
      <c r="CA140" s="119"/>
      <c r="CB140" s="119"/>
      <c r="CC140" s="119"/>
      <c r="CD140" s="119"/>
      <c r="CE140" s="119"/>
      <c r="CF140" s="119"/>
      <c r="CG140" s="119"/>
    </row>
    <row r="141" spans="1:85" ht="12" customHeight="1" outlineLevel="6">
      <c r="A141" s="101"/>
      <c r="B141" s="101"/>
      <c r="C141" s="101">
        <v>7</v>
      </c>
      <c r="D141" s="116" t="s">
        <v>280</v>
      </c>
      <c r="E141" s="102"/>
      <c r="F141" s="102"/>
      <c r="G141" s="102"/>
      <c r="H141" s="102"/>
      <c r="I141" s="102"/>
      <c r="J141" s="102"/>
      <c r="K141" s="102" t="s">
        <v>281</v>
      </c>
      <c r="L141" s="102"/>
      <c r="M141" s="102"/>
      <c r="N141" s="102"/>
      <c r="O141" s="214"/>
      <c r="P141" s="103">
        <v>46464</v>
      </c>
      <c r="Q141" s="103">
        <v>46498</v>
      </c>
      <c r="R141" s="102"/>
      <c r="S141" s="104">
        <v>25</v>
      </c>
      <c r="T141" s="104">
        <v>0</v>
      </c>
      <c r="U141" s="104">
        <v>25</v>
      </c>
      <c r="V141" s="104">
        <v>0</v>
      </c>
      <c r="W141" s="103"/>
      <c r="X141" s="103"/>
      <c r="Y141" s="105"/>
      <c r="Z141" s="106">
        <v>0</v>
      </c>
      <c r="AA141" s="104">
        <v>1</v>
      </c>
      <c r="AB141" s="102"/>
      <c r="AC141" s="102"/>
      <c r="AD141" s="281">
        <v>0</v>
      </c>
      <c r="AE141" s="282">
        <v>0</v>
      </c>
      <c r="AF141" s="118"/>
      <c r="AG141" s="119"/>
      <c r="AH141" s="119"/>
      <c r="AI141" s="119"/>
      <c r="AJ141" s="119"/>
      <c r="AK141" s="119"/>
      <c r="AL141" s="119"/>
      <c r="AM141" s="119"/>
      <c r="AN141" s="119"/>
      <c r="AO141" s="119"/>
      <c r="AP141" s="119"/>
      <c r="AQ141" s="119"/>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t="str">
        <f>"    " &amp; TEXT(AE141,"#0.00%") &amp; " "</f>
        <v xml:space="preserve">    0.00% </v>
      </c>
      <c r="BS141" s="119"/>
      <c r="BT141" s="119"/>
      <c r="BU141" s="119"/>
      <c r="BV141" s="119"/>
      <c r="BW141" s="119" t="str">
        <f>"    " &amp; "기능 실행 및 응답 구현" &amp; " " &amp; IF(P141="","",TEXT(P141,"M/D-")) &amp; IF(Q141="","",TEXT(Q141,"M/D")) &amp; " "</f>
        <v xml:space="preserve">    기능 실행 및 응답 구현 3/18-4/21 </v>
      </c>
      <c r="BX141" s="119"/>
      <c r="BY141" s="119"/>
      <c r="BZ141" s="119"/>
      <c r="CA141" s="119"/>
      <c r="CB141" s="119"/>
      <c r="CC141" s="119"/>
      <c r="CD141" s="119"/>
      <c r="CE141" s="119"/>
      <c r="CF141" s="119"/>
      <c r="CG141" s="119"/>
    </row>
    <row r="142" spans="1:85" ht="12" customHeight="1" outlineLevel="6">
      <c r="A142" s="101"/>
      <c r="B142" s="101"/>
      <c r="C142" s="101">
        <v>7</v>
      </c>
      <c r="D142" s="116" t="s">
        <v>282</v>
      </c>
      <c r="E142" s="102"/>
      <c r="F142" s="102"/>
      <c r="G142" s="102"/>
      <c r="H142" s="102"/>
      <c r="I142" s="102"/>
      <c r="J142" s="102"/>
      <c r="K142" s="102" t="s">
        <v>283</v>
      </c>
      <c r="L142" s="102"/>
      <c r="M142" s="102"/>
      <c r="N142" s="102"/>
      <c r="O142" s="214"/>
      <c r="P142" s="103">
        <v>46499</v>
      </c>
      <c r="Q142" s="103">
        <v>46521</v>
      </c>
      <c r="R142" s="102"/>
      <c r="S142" s="104">
        <v>15</v>
      </c>
      <c r="T142" s="104">
        <v>0</v>
      </c>
      <c r="U142" s="104">
        <v>15</v>
      </c>
      <c r="V142" s="104">
        <v>0</v>
      </c>
      <c r="W142" s="103"/>
      <c r="X142" s="103"/>
      <c r="Y142" s="105"/>
      <c r="Z142" s="106">
        <v>0</v>
      </c>
      <c r="AA142" s="104">
        <v>1</v>
      </c>
      <c r="AB142" s="102"/>
      <c r="AC142" s="102"/>
      <c r="AD142" s="281">
        <v>0</v>
      </c>
      <c r="AE142" s="282">
        <v>0</v>
      </c>
      <c r="AF142" s="118"/>
      <c r="AG142" s="119"/>
      <c r="AH142" s="119"/>
      <c r="AI142" s="119"/>
      <c r="AJ142" s="119"/>
      <c r="AK142" s="119"/>
      <c r="AL142" s="119"/>
      <c r="AM142" s="119"/>
      <c r="AN142" s="119"/>
      <c r="AO142" s="119"/>
      <c r="AP142" s="119"/>
      <c r="AQ142" s="119"/>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t="str">
        <f>"    " &amp; TEXT(AE142,"#0.00%") &amp; " " &amp; "긴급 안내 우선 표출 구현" &amp; " " &amp; IF(P142="","",TEXT(P142,"M/D-")) &amp; IF(Q142="","",TEXT(Q142,"M/D")) &amp; " "</f>
        <v xml:space="preserve">    0.00% 긴급 안내 우선 표출 구현 4/22-5/14 </v>
      </c>
      <c r="BX142" s="119"/>
      <c r="BY142" s="119"/>
      <c r="BZ142" s="119"/>
      <c r="CA142" s="119"/>
      <c r="CB142" s="119"/>
      <c r="CC142" s="119"/>
      <c r="CD142" s="119"/>
      <c r="CE142" s="119"/>
      <c r="CF142" s="119"/>
      <c r="CG142" s="119"/>
    </row>
    <row r="143" spans="1:85" ht="12" customHeight="1" outlineLevel="6">
      <c r="A143" s="101"/>
      <c r="B143" s="101"/>
      <c r="C143" s="101">
        <v>7</v>
      </c>
      <c r="D143" s="116" t="s">
        <v>284</v>
      </c>
      <c r="E143" s="102"/>
      <c r="F143" s="102"/>
      <c r="G143" s="102"/>
      <c r="H143" s="102"/>
      <c r="I143" s="102"/>
      <c r="J143" s="102"/>
      <c r="K143" s="102" t="s">
        <v>285</v>
      </c>
      <c r="L143" s="102"/>
      <c r="M143" s="102"/>
      <c r="N143" s="102"/>
      <c r="O143" s="214"/>
      <c r="P143" s="103">
        <v>46524</v>
      </c>
      <c r="Q143" s="103">
        <v>46535</v>
      </c>
      <c r="R143" s="102"/>
      <c r="S143" s="104">
        <v>10</v>
      </c>
      <c r="T143" s="104">
        <v>0</v>
      </c>
      <c r="U143" s="104">
        <v>10</v>
      </c>
      <c r="V143" s="104">
        <v>0</v>
      </c>
      <c r="W143" s="103"/>
      <c r="X143" s="103"/>
      <c r="Y143" s="105"/>
      <c r="Z143" s="106">
        <v>0</v>
      </c>
      <c r="AA143" s="104">
        <v>1</v>
      </c>
      <c r="AB143" s="102"/>
      <c r="AC143" s="102"/>
      <c r="AD143" s="281">
        <v>0</v>
      </c>
      <c r="AE143" s="282">
        <v>0</v>
      </c>
      <c r="AF143" s="118"/>
      <c r="AG143" s="119"/>
      <c r="AH143" s="119"/>
      <c r="AI143" s="119"/>
      <c r="AJ143" s="119"/>
      <c r="AK143" s="119"/>
      <c r="AL143" s="119"/>
      <c r="AM143" s="119"/>
      <c r="AN143" s="119"/>
      <c r="AO143" s="119"/>
      <c r="AP143" s="119"/>
      <c r="AQ143" s="119"/>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t="str">
        <f>" " &amp; TEXT(AE143,"#0.00%") &amp; " " &amp; "온디바이스 음성 처리 전환 구현" &amp; " " &amp; IF(P143="","",TEXT(P143,"M/D-")) &amp; IF(Q143="","",TEXT(Q143,"M/D")) &amp; " "</f>
        <v xml:space="preserve"> 0.00% 온디바이스 음성 처리 전환 구현 5/17-5/28 </v>
      </c>
      <c r="CB143" s="119"/>
      <c r="CC143" s="119"/>
      <c r="CD143" s="119"/>
      <c r="CE143" s="119"/>
      <c r="CF143" s="119"/>
      <c r="CG143" s="119"/>
    </row>
    <row r="144" spans="1:85" ht="12" customHeight="1" outlineLevel="5">
      <c r="A144" s="101"/>
      <c r="B144" s="101"/>
      <c r="C144" s="101">
        <v>6</v>
      </c>
      <c r="D144" s="116" t="s">
        <v>286</v>
      </c>
      <c r="E144" s="102"/>
      <c r="F144" s="102"/>
      <c r="G144" s="102"/>
      <c r="H144" s="102"/>
      <c r="I144" s="102"/>
      <c r="J144" s="102" t="s">
        <v>287</v>
      </c>
      <c r="K144" s="102"/>
      <c r="L144" s="102"/>
      <c r="M144" s="102"/>
      <c r="N144" s="102"/>
      <c r="O144" s="214"/>
      <c r="P144" s="103">
        <v>46398</v>
      </c>
      <c r="Q144" s="103">
        <v>46472</v>
      </c>
      <c r="R144" s="102"/>
      <c r="S144" s="104">
        <v>52</v>
      </c>
      <c r="T144" s="104">
        <v>0</v>
      </c>
      <c r="U144" s="104">
        <v>52</v>
      </c>
      <c r="V144" s="104">
        <v>0</v>
      </c>
      <c r="W144" s="103"/>
      <c r="X144" s="103"/>
      <c r="Y144" s="105"/>
      <c r="Z144" s="106">
        <v>0</v>
      </c>
      <c r="AA144" s="104"/>
      <c r="AB144" s="102"/>
      <c r="AC144" s="102"/>
      <c r="AD144" s="281">
        <v>0</v>
      </c>
      <c r="AE144" s="282">
        <v>0</v>
      </c>
      <c r="AF144" s="118"/>
      <c r="AG144" s="119"/>
      <c r="AH144" s="119"/>
      <c r="AI144" s="119"/>
      <c r="AJ144" s="119"/>
      <c r="AK144" s="119"/>
      <c r="AL144" s="119"/>
      <c r="AM144" s="119"/>
      <c r="AN144" s="119"/>
      <c r="AO144" s="119"/>
      <c r="AP144" s="119"/>
      <c r="AQ144" s="119"/>
      <c r="AR144" s="119"/>
      <c r="AS144" s="119"/>
      <c r="AT144" s="119"/>
      <c r="AU144" s="119"/>
      <c r="AV144" s="119"/>
      <c r="AW144" s="119"/>
      <c r="AX144" s="119"/>
      <c r="AY144" s="119"/>
      <c r="AZ144" s="119"/>
      <c r="BA144" s="119"/>
      <c r="BB144" s="119"/>
      <c r="BC144" s="119"/>
      <c r="BD144" s="119"/>
      <c r="BE144" s="119"/>
      <c r="BF144" s="119"/>
      <c r="BG144" s="119"/>
      <c r="BH144" s="119"/>
      <c r="BI144" s="119" t="str">
        <f>" " &amp; TEXT(AE144,"#0.00%") &amp; " "</f>
        <v xml:space="preserve"> 0.00% </v>
      </c>
      <c r="BJ144" s="119"/>
      <c r="BK144" s="119"/>
      <c r="BL144" s="119"/>
      <c r="BM144" s="119"/>
      <c r="BN144" s="119"/>
      <c r="BO144" s="119"/>
      <c r="BP144" s="119"/>
      <c r="BQ144" s="119"/>
      <c r="BR144" s="119"/>
      <c r="BS144" s="119" t="str">
        <f>"      " &amp; "AI 학습 데이터" &amp; " " &amp; IF(P144="","",TEXT(P144,"M/D-")) &amp; IF(Q144="","",TEXT(Q144,"M/D")) &amp; " "</f>
        <v xml:space="preserve">      AI 학습 데이터 1/11-3/26 </v>
      </c>
      <c r="BT144" s="119"/>
      <c r="BU144" s="119"/>
      <c r="BV144" s="119"/>
      <c r="BW144" s="119"/>
      <c r="BX144" s="119"/>
      <c r="BY144" s="119"/>
      <c r="BZ144" s="119"/>
      <c r="CA144" s="119"/>
      <c r="CB144" s="119"/>
      <c r="CC144" s="119"/>
      <c r="CD144" s="119"/>
      <c r="CE144" s="119"/>
      <c r="CF144" s="119"/>
      <c r="CG144" s="119"/>
    </row>
    <row r="145" spans="1:85" ht="12" customHeight="1" outlineLevel="5">
      <c r="A145" s="101"/>
      <c r="B145" s="101"/>
      <c r="C145" s="101">
        <v>6</v>
      </c>
      <c r="D145" s="116" t="s">
        <v>288</v>
      </c>
      <c r="E145" s="102"/>
      <c r="F145" s="102"/>
      <c r="G145" s="102"/>
      <c r="H145" s="102"/>
      <c r="I145" s="102"/>
      <c r="J145" s="102" t="s">
        <v>156</v>
      </c>
      <c r="K145" s="102"/>
      <c r="L145" s="102"/>
      <c r="M145" s="102"/>
      <c r="N145" s="102"/>
      <c r="O145" s="214"/>
      <c r="P145" s="103">
        <v>46405</v>
      </c>
      <c r="Q145" s="103">
        <v>46535</v>
      </c>
      <c r="R145" s="102"/>
      <c r="S145" s="104">
        <v>90</v>
      </c>
      <c r="T145" s="104">
        <v>0</v>
      </c>
      <c r="U145" s="104">
        <v>90</v>
      </c>
      <c r="V145" s="104">
        <v>0</v>
      </c>
      <c r="W145" s="103">
        <v>46163</v>
      </c>
      <c r="X145" s="103"/>
      <c r="Y145" s="105">
        <v>-32968</v>
      </c>
      <c r="Z145" s="106">
        <v>0</v>
      </c>
      <c r="AA145" s="104">
        <v>1</v>
      </c>
      <c r="AB145" s="102"/>
      <c r="AC145" s="102"/>
      <c r="AD145" s="281">
        <v>0</v>
      </c>
      <c r="AE145" s="282">
        <v>0</v>
      </c>
      <c r="AF145" s="118"/>
      <c r="AG145" s="119"/>
      <c r="AH145" s="119"/>
      <c r="AI145" s="119"/>
      <c r="AJ145" s="119"/>
      <c r="AK145" s="119"/>
      <c r="AL145" s="119"/>
      <c r="AM145" s="119"/>
      <c r="AN145" s="119"/>
      <c r="AO145" s="119"/>
      <c r="AP145" s="119"/>
      <c r="AQ145" s="119"/>
      <c r="AR145" s="119"/>
      <c r="AS145" s="119"/>
      <c r="AT145" s="119"/>
      <c r="AU145" s="119"/>
      <c r="AV145" s="119"/>
      <c r="AW145" s="119"/>
      <c r="AX145" s="119"/>
      <c r="AY145" s="119"/>
      <c r="AZ145" s="119"/>
      <c r="BA145" s="119"/>
      <c r="BB145" s="119"/>
      <c r="BC145" s="119"/>
      <c r="BD145" s="119"/>
      <c r="BE145" s="119"/>
      <c r="BF145" s="119"/>
      <c r="BG145" s="119"/>
      <c r="BH145" s="119"/>
      <c r="BI145" s="119"/>
      <c r="BJ145" s="119" t="str">
        <f>" " &amp; TEXT(AE145,"#0.00%") &amp; " "</f>
        <v xml:space="preserve"> 0.00% </v>
      </c>
      <c r="BK145" s="119"/>
      <c r="BL145" s="119"/>
      <c r="BM145" s="119"/>
      <c r="BN145" s="119"/>
      <c r="BO145" s="119"/>
      <c r="BP145" s="119"/>
      <c r="BQ145" s="119"/>
      <c r="BR145" s="119"/>
      <c r="BS145" s="119"/>
      <c r="BT145" s="119"/>
      <c r="BU145" s="119"/>
      <c r="BV145" s="119"/>
      <c r="BW145" s="119"/>
      <c r="BX145" s="119"/>
      <c r="BY145" s="119"/>
      <c r="BZ145" s="119"/>
      <c r="CA145" s="119"/>
      <c r="CB145" s="119" t="str">
        <f>"      " &amp; "단위테스트" &amp; " " &amp; IF(P145="","",TEXT(P145,"M/D-")) &amp; IF(Q145="","",TEXT(Q145,"M/D")) &amp; " "</f>
        <v xml:space="preserve">      단위테스트 1/18-5/28 </v>
      </c>
      <c r="CC145" s="119"/>
      <c r="CD145" s="119"/>
      <c r="CE145" s="119"/>
      <c r="CF145" s="119"/>
      <c r="CG145" s="119"/>
    </row>
    <row r="146" spans="1:85" ht="12" customHeight="1" outlineLevel="4">
      <c r="A146" s="101"/>
      <c r="B146" s="101" t="s">
        <v>36</v>
      </c>
      <c r="C146" s="101">
        <v>5</v>
      </c>
      <c r="D146" s="116" t="s">
        <v>289</v>
      </c>
      <c r="E146" s="102"/>
      <c r="F146" s="102"/>
      <c r="G146" s="102"/>
      <c r="H146" s="102"/>
      <c r="I146" s="102" t="s">
        <v>290</v>
      </c>
      <c r="J146" s="102"/>
      <c r="K146" s="102"/>
      <c r="L146" s="102"/>
      <c r="M146" s="102"/>
      <c r="N146" s="102"/>
      <c r="O146" s="214"/>
      <c r="P146" s="103">
        <v>46398</v>
      </c>
      <c r="Q146" s="103">
        <v>46535</v>
      </c>
      <c r="R146" s="102"/>
      <c r="S146" s="104">
        <v>185</v>
      </c>
      <c r="T146" s="104">
        <v>0</v>
      </c>
      <c r="U146" s="104">
        <v>95</v>
      </c>
      <c r="V146" s="104">
        <v>0</v>
      </c>
      <c r="W146" s="103"/>
      <c r="X146" s="103"/>
      <c r="Y146" s="105">
        <v>0</v>
      </c>
      <c r="Z146" s="106">
        <v>0</v>
      </c>
      <c r="AA146" s="104"/>
      <c r="AB146" s="102"/>
      <c r="AC146" s="102"/>
      <c r="AD146" s="281">
        <v>0</v>
      </c>
      <c r="AE146" s="283">
        <v>0</v>
      </c>
      <c r="AF146" s="118"/>
      <c r="AG146" s="119"/>
      <c r="AH146" s="119"/>
      <c r="AI146" s="119"/>
      <c r="AJ146" s="119"/>
      <c r="AK146" s="119"/>
      <c r="AL146" s="119"/>
      <c r="AM146" s="119"/>
      <c r="AN146" s="119"/>
      <c r="AO146" s="119"/>
      <c r="AP146" s="119"/>
      <c r="AQ146" s="119"/>
      <c r="AR146" s="119"/>
      <c r="AS146" s="119"/>
      <c r="AT146" s="119"/>
      <c r="AU146" s="119"/>
      <c r="AV146" s="119"/>
      <c r="AW146" s="119"/>
      <c r="AX146" s="119"/>
      <c r="AY146" s="119"/>
      <c r="AZ146" s="119"/>
      <c r="BA146" s="119"/>
      <c r="BB146" s="119"/>
      <c r="BC146" s="119"/>
      <c r="BD146" s="119"/>
      <c r="BE146" s="119"/>
      <c r="BF146" s="119"/>
      <c r="BG146" s="119"/>
      <c r="BH146" s="119"/>
      <c r="BI146" s="119" t="str">
        <f>" " &amp; TEXT(AE146,"#0.00%") &amp; " "</f>
        <v xml:space="preserve"> 0.00% </v>
      </c>
      <c r="BJ146" s="119"/>
      <c r="BK146" s="119"/>
      <c r="BL146" s="119"/>
      <c r="BM146" s="119"/>
      <c r="BN146" s="119"/>
      <c r="BO146" s="119"/>
      <c r="BP146" s="119"/>
      <c r="BQ146" s="119"/>
      <c r="BR146" s="119"/>
      <c r="BS146" s="119"/>
      <c r="BT146" s="119"/>
      <c r="BU146" s="119"/>
      <c r="BV146" s="119"/>
      <c r="BW146" s="119"/>
      <c r="BX146" s="119"/>
      <c r="BY146" s="119"/>
      <c r="BZ146" s="119"/>
      <c r="CA146" s="119"/>
      <c r="CB146" s="119" t="str">
        <f>"      " &amp; "관리자페이지" &amp; " " &amp; IF(P146="","",TEXT(P146,"M/D-")) &amp; IF(Q146="","",TEXT(Q146,"M/D")) &amp; " "</f>
        <v xml:space="preserve">      관리자페이지 1/11-5/28 </v>
      </c>
      <c r="CC146" s="119"/>
      <c r="CD146" s="119"/>
      <c r="CE146" s="119"/>
      <c r="CF146" s="119"/>
      <c r="CG146" s="119"/>
    </row>
    <row r="147" spans="1:85" ht="12" customHeight="1" outlineLevel="5">
      <c r="A147" s="101"/>
      <c r="B147" s="101"/>
      <c r="C147" s="101">
        <v>6</v>
      </c>
      <c r="D147" s="116" t="s">
        <v>291</v>
      </c>
      <c r="E147" s="102"/>
      <c r="F147" s="102"/>
      <c r="G147" s="102"/>
      <c r="H147" s="102"/>
      <c r="I147" s="102"/>
      <c r="J147" s="102" t="s">
        <v>145</v>
      </c>
      <c r="K147" s="102"/>
      <c r="L147" s="102"/>
      <c r="M147" s="102"/>
      <c r="N147" s="102"/>
      <c r="O147" s="214" t="s">
        <v>240</v>
      </c>
      <c r="P147" s="103">
        <v>46398</v>
      </c>
      <c r="Q147" s="103">
        <v>46535</v>
      </c>
      <c r="R147" s="102"/>
      <c r="S147" s="104">
        <v>95</v>
      </c>
      <c r="T147" s="104">
        <v>0</v>
      </c>
      <c r="U147" s="104">
        <v>95</v>
      </c>
      <c r="V147" s="104">
        <v>0</v>
      </c>
      <c r="W147" s="103"/>
      <c r="X147" s="103"/>
      <c r="Y147" s="105"/>
      <c r="Z147" s="106">
        <v>0</v>
      </c>
      <c r="AA147" s="104">
        <v>1</v>
      </c>
      <c r="AB147" s="102"/>
      <c r="AC147" s="102"/>
      <c r="AD147" s="281">
        <v>0</v>
      </c>
      <c r="AE147" s="282">
        <v>0</v>
      </c>
      <c r="AF147" s="118"/>
      <c r="AG147" s="119"/>
      <c r="AH147" s="119"/>
      <c r="AI147" s="119"/>
      <c r="AJ147" s="119"/>
      <c r="AK147" s="119"/>
      <c r="AL147" s="119"/>
      <c r="AM147" s="119"/>
      <c r="AN147" s="119"/>
      <c r="AO147" s="119"/>
      <c r="AP147" s="119"/>
      <c r="AQ147" s="119"/>
      <c r="AR147" s="119"/>
      <c r="AS147" s="119"/>
      <c r="AT147" s="119"/>
      <c r="AU147" s="119"/>
      <c r="AV147" s="119"/>
      <c r="AW147" s="119"/>
      <c r="AX147" s="119"/>
      <c r="AY147" s="119"/>
      <c r="AZ147" s="119"/>
      <c r="BA147" s="119"/>
      <c r="BB147" s="119"/>
      <c r="BC147" s="119"/>
      <c r="BD147" s="119"/>
      <c r="BE147" s="119"/>
      <c r="BF147" s="119"/>
      <c r="BG147" s="119"/>
      <c r="BH147" s="119"/>
      <c r="BI147" s="119" t="str">
        <f>" " &amp; TEXT(AE147,"#0.00%") &amp; " "</f>
        <v xml:space="preserve"> 0.00% </v>
      </c>
      <c r="BJ147" s="119"/>
      <c r="BK147" s="119"/>
      <c r="BL147" s="119"/>
      <c r="BM147" s="119"/>
      <c r="BN147" s="119"/>
      <c r="BO147" s="119"/>
      <c r="BP147" s="119"/>
      <c r="BQ147" s="119"/>
      <c r="BR147" s="119"/>
      <c r="BS147" s="119"/>
      <c r="BT147" s="119"/>
      <c r="BU147" s="119"/>
      <c r="BV147" s="119"/>
      <c r="BW147" s="119"/>
      <c r="BX147" s="119"/>
      <c r="BY147" s="119"/>
      <c r="BZ147" s="119"/>
      <c r="CA147" s="119"/>
      <c r="CB147" s="119" t="str">
        <f>"      " &amp; "기능 개발" &amp; " " &amp; IF(P147="","",TEXT(P147,"M/D-")) &amp; IF(Q147="","",TEXT(Q147,"M/D")) &amp; " "</f>
        <v xml:space="preserve">      기능 개발 1/11-5/28 </v>
      </c>
      <c r="CC147" s="119"/>
      <c r="CD147" s="119"/>
      <c r="CE147" s="119"/>
      <c r="CF147" s="119"/>
      <c r="CG147" s="119"/>
    </row>
    <row r="148" spans="1:85" ht="12" customHeight="1" outlineLevel="5">
      <c r="A148" s="101"/>
      <c r="B148" s="101"/>
      <c r="C148" s="101">
        <v>6</v>
      </c>
      <c r="D148" s="116" t="s">
        <v>292</v>
      </c>
      <c r="E148" s="102"/>
      <c r="F148" s="102"/>
      <c r="G148" s="102"/>
      <c r="H148" s="102"/>
      <c r="I148" s="102"/>
      <c r="J148" s="102" t="s">
        <v>156</v>
      </c>
      <c r="K148" s="102"/>
      <c r="L148" s="102"/>
      <c r="M148" s="102"/>
      <c r="N148" s="102"/>
      <c r="O148" s="214"/>
      <c r="P148" s="103">
        <v>46405</v>
      </c>
      <c r="Q148" s="103">
        <v>46535</v>
      </c>
      <c r="R148" s="102"/>
      <c r="S148" s="104">
        <v>90</v>
      </c>
      <c r="T148" s="104">
        <v>0</v>
      </c>
      <c r="U148" s="104">
        <v>90</v>
      </c>
      <c r="V148" s="104">
        <v>0</v>
      </c>
      <c r="W148" s="103">
        <v>46163</v>
      </c>
      <c r="X148" s="103"/>
      <c r="Y148" s="105">
        <v>-32968</v>
      </c>
      <c r="Z148" s="106">
        <v>0</v>
      </c>
      <c r="AA148" s="104">
        <v>1</v>
      </c>
      <c r="AB148" s="102"/>
      <c r="AC148" s="102"/>
      <c r="AD148" s="281">
        <v>0</v>
      </c>
      <c r="AE148" s="282">
        <v>0</v>
      </c>
      <c r="AF148" s="118"/>
      <c r="AG148" s="119"/>
      <c r="AH148" s="119"/>
      <c r="AI148" s="119"/>
      <c r="AJ148" s="119"/>
      <c r="AK148" s="119"/>
      <c r="AL148" s="119"/>
      <c r="AM148" s="119"/>
      <c r="AN148" s="119"/>
      <c r="AO148" s="119"/>
      <c r="AP148" s="119"/>
      <c r="AQ148" s="119"/>
      <c r="AR148" s="119"/>
      <c r="AS148" s="119"/>
      <c r="AT148" s="119"/>
      <c r="AU148" s="119"/>
      <c r="AV148" s="119"/>
      <c r="AW148" s="119"/>
      <c r="AX148" s="119"/>
      <c r="AY148" s="119"/>
      <c r="AZ148" s="119"/>
      <c r="BA148" s="119"/>
      <c r="BB148" s="119"/>
      <c r="BC148" s="119"/>
      <c r="BD148" s="119"/>
      <c r="BE148" s="119"/>
      <c r="BF148" s="119"/>
      <c r="BG148" s="119"/>
      <c r="BH148" s="119"/>
      <c r="BI148" s="119"/>
      <c r="BJ148" s="119" t="str">
        <f>" " &amp; TEXT(AE148,"#0.00%") &amp; " "</f>
        <v xml:space="preserve"> 0.00% </v>
      </c>
      <c r="BK148" s="119"/>
      <c r="BL148" s="119"/>
      <c r="BM148" s="119"/>
      <c r="BN148" s="119"/>
      <c r="BO148" s="119"/>
      <c r="BP148" s="119"/>
      <c r="BQ148" s="119"/>
      <c r="BR148" s="119"/>
      <c r="BS148" s="119"/>
      <c r="BT148" s="119"/>
      <c r="BU148" s="119"/>
      <c r="BV148" s="119"/>
      <c r="BW148" s="119"/>
      <c r="BX148" s="119"/>
      <c r="BY148" s="119"/>
      <c r="BZ148" s="119"/>
      <c r="CA148" s="119"/>
      <c r="CB148" s="119" t="str">
        <f>"      " &amp; "단위테스트" &amp; " " &amp; IF(P148="","",TEXT(P148,"M/D-")) &amp; IF(Q148="","",TEXT(Q148,"M/D")) &amp; " "</f>
        <v xml:space="preserve">      단위테스트 1/18-5/28 </v>
      </c>
      <c r="CC148" s="119"/>
      <c r="CD148" s="119"/>
      <c r="CE148" s="119"/>
      <c r="CF148" s="119"/>
      <c r="CG148" s="119"/>
    </row>
    <row r="149" spans="1:85" ht="12" customHeight="1" outlineLevel="4">
      <c r="A149" s="101"/>
      <c r="B149" s="101" t="s">
        <v>36</v>
      </c>
      <c r="C149" s="101">
        <v>5</v>
      </c>
      <c r="D149" s="116" t="s">
        <v>293</v>
      </c>
      <c r="E149" s="102"/>
      <c r="F149" s="102"/>
      <c r="G149" s="102"/>
      <c r="H149" s="102"/>
      <c r="I149" s="102" t="s">
        <v>214</v>
      </c>
      <c r="J149" s="102"/>
      <c r="K149" s="102"/>
      <c r="L149" s="102"/>
      <c r="M149" s="102"/>
      <c r="N149" s="102"/>
      <c r="O149" s="214"/>
      <c r="P149" s="103">
        <v>46398</v>
      </c>
      <c r="Q149" s="103">
        <v>46535</v>
      </c>
      <c r="R149" s="102"/>
      <c r="S149" s="104">
        <v>185</v>
      </c>
      <c r="T149" s="104">
        <v>0</v>
      </c>
      <c r="U149" s="104">
        <v>95</v>
      </c>
      <c r="V149" s="104">
        <v>0</v>
      </c>
      <c r="W149" s="103"/>
      <c r="X149" s="103"/>
      <c r="Y149" s="105">
        <v>0</v>
      </c>
      <c r="Z149" s="106">
        <v>0</v>
      </c>
      <c r="AA149" s="104"/>
      <c r="AB149" s="102"/>
      <c r="AC149" s="102"/>
      <c r="AD149" s="281">
        <v>0</v>
      </c>
      <c r="AE149" s="283">
        <v>0</v>
      </c>
      <c r="AF149" s="118"/>
      <c r="AG149" s="119"/>
      <c r="AH149" s="119"/>
      <c r="AI149" s="119"/>
      <c r="AJ149" s="119"/>
      <c r="AK149" s="119"/>
      <c r="AL149" s="119"/>
      <c r="AM149" s="119"/>
      <c r="AN149" s="119"/>
      <c r="AO149" s="119"/>
      <c r="AP149" s="119"/>
      <c r="AQ149" s="119"/>
      <c r="AR149" s="119"/>
      <c r="AS149" s="119"/>
      <c r="AT149" s="119"/>
      <c r="AU149" s="119"/>
      <c r="AV149" s="119"/>
      <c r="AW149" s="119"/>
      <c r="AX149" s="119"/>
      <c r="AY149" s="119"/>
      <c r="AZ149" s="119"/>
      <c r="BA149" s="119"/>
      <c r="BB149" s="119"/>
      <c r="BC149" s="119"/>
      <c r="BD149" s="119"/>
      <c r="BE149" s="119"/>
      <c r="BF149" s="119"/>
      <c r="BG149" s="119"/>
      <c r="BH149" s="119"/>
      <c r="BI149" s="119" t="str">
        <f>" " &amp; TEXT(AE149,"#0.00%") &amp; " "</f>
        <v xml:space="preserve"> 0.00% </v>
      </c>
      <c r="BJ149" s="119"/>
      <c r="BK149" s="119"/>
      <c r="BL149" s="119"/>
      <c r="BM149" s="119"/>
      <c r="BN149" s="119"/>
      <c r="BO149" s="119"/>
      <c r="BP149" s="119"/>
      <c r="BQ149" s="119"/>
      <c r="BR149" s="119"/>
      <c r="BS149" s="119"/>
      <c r="BT149" s="119"/>
      <c r="BU149" s="119"/>
      <c r="BV149" s="119"/>
      <c r="BW149" s="119"/>
      <c r="BX149" s="119"/>
      <c r="BY149" s="119"/>
      <c r="BZ149" s="119"/>
      <c r="CA149" s="119"/>
      <c r="CB149" s="119" t="str">
        <f>"      " &amp; "버스 예약, 승차 및 하차 안내" &amp; " " &amp; IF(P149="","",TEXT(P149,"M/D-")) &amp; IF(Q149="","",TEXT(Q149,"M/D")) &amp; " "</f>
        <v xml:space="preserve">      버스 예약, 승차 및 하차 안내 1/11-5/28 </v>
      </c>
      <c r="CC149" s="119"/>
      <c r="CD149" s="119"/>
      <c r="CE149" s="119"/>
      <c r="CF149" s="119"/>
      <c r="CG149" s="119"/>
    </row>
    <row r="150" spans="1:85" ht="12" customHeight="1" outlineLevel="5">
      <c r="A150" s="101"/>
      <c r="B150" s="101" t="s">
        <v>36</v>
      </c>
      <c r="C150" s="101">
        <v>6</v>
      </c>
      <c r="D150" s="116" t="s">
        <v>294</v>
      </c>
      <c r="E150" s="102"/>
      <c r="F150" s="102"/>
      <c r="G150" s="102"/>
      <c r="H150" s="102"/>
      <c r="I150" s="102"/>
      <c r="J150" s="102" t="s">
        <v>145</v>
      </c>
      <c r="K150" s="102"/>
      <c r="L150" s="102"/>
      <c r="M150" s="102"/>
      <c r="N150" s="102"/>
      <c r="O150" s="214" t="s">
        <v>240</v>
      </c>
      <c r="P150" s="103">
        <v>46398</v>
      </c>
      <c r="Q150" s="103">
        <v>46535</v>
      </c>
      <c r="R150" s="102"/>
      <c r="S150" s="104">
        <v>95</v>
      </c>
      <c r="T150" s="104">
        <v>0</v>
      </c>
      <c r="U150" s="104">
        <v>95</v>
      </c>
      <c r="V150" s="104">
        <v>0</v>
      </c>
      <c r="W150" s="103"/>
      <c r="X150" s="103"/>
      <c r="Y150" s="105">
        <v>0</v>
      </c>
      <c r="Z150" s="106">
        <v>0</v>
      </c>
      <c r="AA150" s="104"/>
      <c r="AB150" s="102"/>
      <c r="AC150" s="102"/>
      <c r="AD150" s="281">
        <v>0</v>
      </c>
      <c r="AE150" s="283">
        <v>0</v>
      </c>
      <c r="AF150" s="118"/>
      <c r="AG150" s="119"/>
      <c r="AH150" s="119"/>
      <c r="AI150" s="119"/>
      <c r="AJ150" s="119"/>
      <c r="AK150" s="119"/>
      <c r="AL150" s="119"/>
      <c r="AM150" s="119"/>
      <c r="AN150" s="119"/>
      <c r="AO150" s="119"/>
      <c r="AP150" s="119"/>
      <c r="AQ150" s="119"/>
      <c r="AR150" s="119"/>
      <c r="AS150" s="119"/>
      <c r="AT150" s="119"/>
      <c r="AU150" s="119"/>
      <c r="AV150" s="119"/>
      <c r="AW150" s="119"/>
      <c r="AX150" s="119"/>
      <c r="AY150" s="119"/>
      <c r="AZ150" s="119"/>
      <c r="BA150" s="119"/>
      <c r="BB150" s="119"/>
      <c r="BC150" s="119"/>
      <c r="BD150" s="119"/>
      <c r="BE150" s="119"/>
      <c r="BF150" s="119"/>
      <c r="BG150" s="119"/>
      <c r="BH150" s="119"/>
      <c r="BI150" s="119" t="str">
        <f>" " &amp; TEXT(AE150,"#0.00%") &amp; " "</f>
        <v xml:space="preserve"> 0.00% </v>
      </c>
      <c r="BJ150" s="119"/>
      <c r="BK150" s="119"/>
      <c r="BL150" s="119"/>
      <c r="BM150" s="119"/>
      <c r="BN150" s="119"/>
      <c r="BO150" s="119"/>
      <c r="BP150" s="119"/>
      <c r="BQ150" s="119"/>
      <c r="BR150" s="119"/>
      <c r="BS150" s="119"/>
      <c r="BT150" s="119"/>
      <c r="BU150" s="119"/>
      <c r="BV150" s="119"/>
      <c r="BW150" s="119"/>
      <c r="BX150" s="119"/>
      <c r="BY150" s="119"/>
      <c r="BZ150" s="119"/>
      <c r="CA150" s="119"/>
      <c r="CB150" s="119" t="str">
        <f>"      " &amp; "기능 개발" &amp; " " &amp; IF(P150="","",TEXT(P150,"M/D-")) &amp; IF(Q150="","",TEXT(Q150,"M/D")) &amp; " "</f>
        <v xml:space="preserve">      기능 개발 1/11-5/28 </v>
      </c>
      <c r="CC150" s="119"/>
      <c r="CD150" s="119"/>
      <c r="CE150" s="119"/>
      <c r="CF150" s="119"/>
      <c r="CG150" s="119"/>
    </row>
    <row r="151" spans="1:85" ht="12" customHeight="1" outlineLevel="6">
      <c r="A151" s="101"/>
      <c r="B151" s="101"/>
      <c r="C151" s="101">
        <v>7</v>
      </c>
      <c r="D151" s="116" t="s">
        <v>295</v>
      </c>
      <c r="E151" s="102"/>
      <c r="F151" s="102"/>
      <c r="G151" s="102"/>
      <c r="H151" s="102"/>
      <c r="I151" s="102"/>
      <c r="J151" s="102"/>
      <c r="K151" s="102" t="s">
        <v>296</v>
      </c>
      <c r="L151" s="102"/>
      <c r="M151" s="102"/>
      <c r="N151" s="102"/>
      <c r="O151" s="214"/>
      <c r="P151" s="103">
        <v>46398</v>
      </c>
      <c r="Q151" s="103">
        <v>46434</v>
      </c>
      <c r="R151" s="102"/>
      <c r="S151" s="104">
        <v>25</v>
      </c>
      <c r="T151" s="104">
        <v>0</v>
      </c>
      <c r="U151" s="104">
        <v>25</v>
      </c>
      <c r="V151" s="104">
        <v>0</v>
      </c>
      <c r="W151" s="103"/>
      <c r="X151" s="103"/>
      <c r="Y151" s="105"/>
      <c r="Z151" s="106">
        <v>0</v>
      </c>
      <c r="AA151" s="104">
        <v>1</v>
      </c>
      <c r="AB151" s="102"/>
      <c r="AC151" s="102"/>
      <c r="AD151" s="281">
        <v>0</v>
      </c>
      <c r="AE151" s="282">
        <v>0</v>
      </c>
      <c r="AF151" s="118"/>
      <c r="AG151" s="119"/>
      <c r="AH151" s="119"/>
      <c r="AI151" s="119"/>
      <c r="AJ151" s="119"/>
      <c r="AK151" s="119"/>
      <c r="AL151" s="119"/>
      <c r="AM151" s="119"/>
      <c r="AN151" s="119"/>
      <c r="AO151" s="119"/>
      <c r="AP151" s="119"/>
      <c r="AQ151" s="119"/>
      <c r="AR151" s="119"/>
      <c r="AS151" s="119"/>
      <c r="AT151" s="119"/>
      <c r="AU151" s="119"/>
      <c r="AV151" s="119"/>
      <c r="AW151" s="119"/>
      <c r="AX151" s="119"/>
      <c r="AY151" s="119"/>
      <c r="AZ151" s="119"/>
      <c r="BA151" s="119"/>
      <c r="BB151" s="119"/>
      <c r="BC151" s="119"/>
      <c r="BD151" s="119"/>
      <c r="BE151" s="119"/>
      <c r="BF151" s="119"/>
      <c r="BG151" s="119"/>
      <c r="BH151" s="119"/>
      <c r="BI151" s="119" t="str">
        <f>" " &amp; TEXT(AE151,"#0.00%") &amp; " "</f>
        <v xml:space="preserve"> 0.00% </v>
      </c>
      <c r="BJ151" s="119"/>
      <c r="BK151" s="119"/>
      <c r="BL151" s="119"/>
      <c r="BM151" s="119"/>
      <c r="BN151" s="119" t="str">
        <f>"   " &amp; "예약 중계 안정화 개선" &amp; " " &amp; IF(P151="","",TEXT(P151,"M/D-")) &amp; IF(Q151="","",TEXT(Q151,"M/D")) &amp; " "</f>
        <v xml:space="preserve">   예약 중계 안정화 개선 1/11-2/16 </v>
      </c>
      <c r="BO151" s="119"/>
      <c r="BP151" s="119"/>
      <c r="BQ151" s="119"/>
      <c r="BR151" s="119"/>
      <c r="BS151" s="119"/>
      <c r="BT151" s="119"/>
      <c r="BU151" s="119"/>
      <c r="BV151" s="119"/>
      <c r="BW151" s="119"/>
      <c r="BX151" s="119"/>
      <c r="BY151" s="119"/>
      <c r="BZ151" s="119"/>
      <c r="CA151" s="119"/>
      <c r="CB151" s="119"/>
      <c r="CC151" s="119"/>
      <c r="CD151" s="119"/>
      <c r="CE151" s="119"/>
      <c r="CF151" s="119"/>
      <c r="CG151" s="119"/>
    </row>
    <row r="152" spans="1:85" ht="12" customHeight="1" outlineLevel="6">
      <c r="A152" s="101"/>
      <c r="B152" s="101"/>
      <c r="C152" s="101">
        <v>7</v>
      </c>
      <c r="D152" s="116" t="s">
        <v>297</v>
      </c>
      <c r="E152" s="102"/>
      <c r="F152" s="102"/>
      <c r="G152" s="102"/>
      <c r="H152" s="102"/>
      <c r="I152" s="102"/>
      <c r="J152" s="102"/>
      <c r="K152" s="102" t="s">
        <v>298</v>
      </c>
      <c r="L152" s="102"/>
      <c r="M152" s="102"/>
      <c r="N152" s="102"/>
      <c r="O152" s="214"/>
      <c r="P152" s="103">
        <v>46435</v>
      </c>
      <c r="Q152" s="103">
        <v>46470</v>
      </c>
      <c r="R152" s="102"/>
      <c r="S152" s="104">
        <v>25</v>
      </c>
      <c r="T152" s="104">
        <v>0</v>
      </c>
      <c r="U152" s="104">
        <v>25</v>
      </c>
      <c r="V152" s="104">
        <v>0</v>
      </c>
      <c r="W152" s="103"/>
      <c r="X152" s="103"/>
      <c r="Y152" s="105"/>
      <c r="Z152" s="106">
        <v>0</v>
      </c>
      <c r="AA152" s="104">
        <v>1</v>
      </c>
      <c r="AB152" s="102"/>
      <c r="AC152" s="102"/>
      <c r="AD152" s="281">
        <v>0</v>
      </c>
      <c r="AE152" s="282">
        <v>0</v>
      </c>
      <c r="AF152" s="118"/>
      <c r="AG152" s="119"/>
      <c r="AH152" s="119"/>
      <c r="AI152" s="119"/>
      <c r="AJ152" s="119"/>
      <c r="AK152" s="119"/>
      <c r="AL152" s="119"/>
      <c r="AM152" s="119"/>
      <c r="AN152" s="119"/>
      <c r="AO152" s="119"/>
      <c r="AP152" s="119"/>
      <c r="AQ152" s="119"/>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t="str">
        <f>"   " &amp; TEXT(AE152,"#0.00%") &amp; " "</f>
        <v xml:space="preserve">   0.00% </v>
      </c>
      <c r="BO152" s="119"/>
      <c r="BP152" s="119"/>
      <c r="BQ152" s="119"/>
      <c r="BR152" s="119"/>
      <c r="BS152" s="119" t="str">
        <f>"    " &amp; "혼잡도 기반 예약 안내 구현" &amp; " " &amp; IF(P152="","",TEXT(P152,"M/D-")) &amp; IF(Q152="","",TEXT(Q152,"M/D")) &amp; " "</f>
        <v xml:space="preserve">    혼잡도 기반 예약 안내 구현 2/17-3/24 </v>
      </c>
      <c r="BT152" s="119"/>
      <c r="BU152" s="119"/>
      <c r="BV152" s="119"/>
      <c r="BW152" s="119"/>
      <c r="BX152" s="119"/>
      <c r="BY152" s="119"/>
      <c r="BZ152" s="119"/>
      <c r="CA152" s="119"/>
      <c r="CB152" s="119"/>
      <c r="CC152" s="119"/>
      <c r="CD152" s="119"/>
      <c r="CE152" s="119"/>
      <c r="CF152" s="119"/>
      <c r="CG152" s="119"/>
    </row>
    <row r="153" spans="1:85" ht="12" customHeight="1" outlineLevel="6">
      <c r="A153" s="101"/>
      <c r="B153" s="101"/>
      <c r="C153" s="101">
        <v>7</v>
      </c>
      <c r="D153" s="116" t="s">
        <v>299</v>
      </c>
      <c r="E153" s="102"/>
      <c r="F153" s="102"/>
      <c r="G153" s="102"/>
      <c r="H153" s="102"/>
      <c r="I153" s="102"/>
      <c r="J153" s="102"/>
      <c r="K153" s="102" t="s">
        <v>300</v>
      </c>
      <c r="L153" s="102"/>
      <c r="M153" s="102"/>
      <c r="N153" s="102"/>
      <c r="O153" s="214"/>
      <c r="P153" s="103">
        <v>46471</v>
      </c>
      <c r="Q153" s="103">
        <v>46505</v>
      </c>
      <c r="R153" s="102"/>
      <c r="S153" s="104">
        <v>25</v>
      </c>
      <c r="T153" s="104">
        <v>0</v>
      </c>
      <c r="U153" s="104">
        <v>25</v>
      </c>
      <c r="V153" s="104">
        <v>0</v>
      </c>
      <c r="W153" s="103"/>
      <c r="X153" s="103"/>
      <c r="Y153" s="105"/>
      <c r="Z153" s="106">
        <v>0</v>
      </c>
      <c r="AA153" s="104">
        <v>1</v>
      </c>
      <c r="AB153" s="102"/>
      <c r="AC153" s="102"/>
      <c r="AD153" s="281">
        <v>0</v>
      </c>
      <c r="AE153" s="282">
        <v>0</v>
      </c>
      <c r="AF153" s="118"/>
      <c r="AG153" s="119"/>
      <c r="AH153" s="119"/>
      <c r="AI153" s="119"/>
      <c r="AJ153" s="119"/>
      <c r="AK153" s="119"/>
      <c r="AL153" s="119"/>
      <c r="AM153" s="119"/>
      <c r="AN153" s="119"/>
      <c r="AO153" s="119"/>
      <c r="AP153" s="119"/>
      <c r="AQ153" s="119"/>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t="str">
        <f>"    " &amp; TEXT(AE153,"#0.00%") &amp; " "</f>
        <v xml:space="preserve">    0.00% </v>
      </c>
      <c r="BT153" s="119"/>
      <c r="BU153" s="119"/>
      <c r="BV153" s="119"/>
      <c r="BW153" s="119"/>
      <c r="BX153" s="119" t="str">
        <f>"    " &amp; "탑승 및 하차 알림 정확도 개선" &amp; " " &amp; IF(P153="","",TEXT(P153,"M/D-")) &amp; IF(Q153="","",TEXT(Q153,"M/D")) &amp; " "</f>
        <v xml:space="preserve">    탑승 및 하차 알림 정확도 개선 3/25-4/28 </v>
      </c>
      <c r="BY153" s="119"/>
      <c r="BZ153" s="119"/>
      <c r="CA153" s="119"/>
      <c r="CB153" s="119"/>
      <c r="CC153" s="119"/>
      <c r="CD153" s="119"/>
      <c r="CE153" s="119"/>
      <c r="CF153" s="119"/>
      <c r="CG153" s="119"/>
    </row>
    <row r="154" spans="1:85" ht="12" customHeight="1" outlineLevel="6">
      <c r="A154" s="101"/>
      <c r="B154" s="101"/>
      <c r="C154" s="101">
        <v>7</v>
      </c>
      <c r="D154" s="116" t="s">
        <v>301</v>
      </c>
      <c r="E154" s="102"/>
      <c r="F154" s="102"/>
      <c r="G154" s="102"/>
      <c r="H154" s="102"/>
      <c r="I154" s="102"/>
      <c r="J154" s="102"/>
      <c r="K154" s="102" t="s">
        <v>302</v>
      </c>
      <c r="L154" s="102"/>
      <c r="M154" s="102"/>
      <c r="N154" s="102"/>
      <c r="O154" s="214"/>
      <c r="P154" s="103">
        <v>46506</v>
      </c>
      <c r="Q154" s="103">
        <v>46535</v>
      </c>
      <c r="R154" s="102"/>
      <c r="S154" s="104">
        <v>20</v>
      </c>
      <c r="T154" s="104">
        <v>0</v>
      </c>
      <c r="U154" s="104">
        <v>20</v>
      </c>
      <c r="V154" s="104">
        <v>0</v>
      </c>
      <c r="W154" s="103"/>
      <c r="X154" s="103"/>
      <c r="Y154" s="105"/>
      <c r="Z154" s="106">
        <v>0</v>
      </c>
      <c r="AA154" s="104">
        <v>1</v>
      </c>
      <c r="AB154" s="102"/>
      <c r="AC154" s="102"/>
      <c r="AD154" s="281">
        <v>0</v>
      </c>
      <c r="AE154" s="282">
        <v>0</v>
      </c>
      <c r="AF154" s="118"/>
      <c r="AG154" s="119"/>
      <c r="AH154" s="119"/>
      <c r="AI154" s="119"/>
      <c r="AJ154" s="119"/>
      <c r="AK154" s="119"/>
      <c r="AL154" s="119"/>
      <c r="AM154" s="119"/>
      <c r="AN154" s="119"/>
      <c r="AO154" s="119"/>
      <c r="AP154" s="119"/>
      <c r="AQ154" s="119"/>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t="str">
        <f>"    " &amp; TEXT(AE154,"#0.00%") &amp; " "</f>
        <v xml:space="preserve">    0.00% </v>
      </c>
      <c r="BY154" s="119"/>
      <c r="BZ154" s="119"/>
      <c r="CA154" s="119"/>
      <c r="CB154" s="119" t="str">
        <f>"      " &amp; "예약 이력 및 통계 연계 개선" &amp; " " &amp; IF(P154="","",TEXT(P154,"M/D-")) &amp; IF(Q154="","",TEXT(Q154,"M/D")) &amp; " "</f>
        <v xml:space="preserve">      예약 이력 및 통계 연계 개선 4/29-5/28 </v>
      </c>
      <c r="CC154" s="119"/>
      <c r="CD154" s="119"/>
      <c r="CE154" s="119"/>
      <c r="CF154" s="119"/>
      <c r="CG154" s="119"/>
    </row>
    <row r="155" spans="1:85" ht="12" customHeight="1" outlineLevel="5">
      <c r="A155" s="101"/>
      <c r="B155" s="101"/>
      <c r="C155" s="101">
        <v>6</v>
      </c>
      <c r="D155" s="116" t="s">
        <v>303</v>
      </c>
      <c r="E155" s="102"/>
      <c r="F155" s="102"/>
      <c r="G155" s="102"/>
      <c r="H155" s="102"/>
      <c r="I155" s="102"/>
      <c r="J155" s="102" t="s">
        <v>156</v>
      </c>
      <c r="K155" s="102"/>
      <c r="L155" s="102"/>
      <c r="M155" s="102"/>
      <c r="N155" s="102"/>
      <c r="O155" s="214"/>
      <c r="P155" s="103">
        <v>46405</v>
      </c>
      <c r="Q155" s="103">
        <v>46535</v>
      </c>
      <c r="R155" s="102"/>
      <c r="S155" s="104">
        <v>90</v>
      </c>
      <c r="T155" s="104">
        <v>0</v>
      </c>
      <c r="U155" s="104">
        <v>90</v>
      </c>
      <c r="V155" s="104">
        <v>0</v>
      </c>
      <c r="W155" s="103">
        <v>46163</v>
      </c>
      <c r="X155" s="103"/>
      <c r="Y155" s="105">
        <v>-32968</v>
      </c>
      <c r="Z155" s="106">
        <v>0</v>
      </c>
      <c r="AA155" s="104">
        <v>1</v>
      </c>
      <c r="AB155" s="102"/>
      <c r="AC155" s="102"/>
      <c r="AD155" s="281">
        <v>0</v>
      </c>
      <c r="AE155" s="282">
        <v>0</v>
      </c>
      <c r="AF155" s="118"/>
      <c r="AG155" s="119"/>
      <c r="AH155" s="119"/>
      <c r="AI155" s="119"/>
      <c r="AJ155" s="119"/>
      <c r="AK155" s="119"/>
      <c r="AL155" s="119"/>
      <c r="AM155" s="119"/>
      <c r="AN155" s="119"/>
      <c r="AO155" s="119"/>
      <c r="AP155" s="119"/>
      <c r="AQ155" s="119"/>
      <c r="AR155" s="119"/>
      <c r="AS155" s="119"/>
      <c r="AT155" s="119"/>
      <c r="AU155" s="119"/>
      <c r="AV155" s="119"/>
      <c r="AW155" s="119"/>
      <c r="AX155" s="119"/>
      <c r="AY155" s="119"/>
      <c r="AZ155" s="119"/>
      <c r="BA155" s="119"/>
      <c r="BB155" s="119"/>
      <c r="BC155" s="119"/>
      <c r="BD155" s="119"/>
      <c r="BE155" s="119"/>
      <c r="BF155" s="119"/>
      <c r="BG155" s="119"/>
      <c r="BH155" s="119"/>
      <c r="BI155" s="119"/>
      <c r="BJ155" s="119" t="str">
        <f>" " &amp; TEXT(AE155,"#0.00%") &amp; " "</f>
        <v xml:space="preserve"> 0.00% </v>
      </c>
      <c r="BK155" s="119"/>
      <c r="BL155" s="119"/>
      <c r="BM155" s="119"/>
      <c r="BN155" s="119"/>
      <c r="BO155" s="119"/>
      <c r="BP155" s="119"/>
      <c r="BQ155" s="119"/>
      <c r="BR155" s="119"/>
      <c r="BS155" s="119"/>
      <c r="BT155" s="119"/>
      <c r="BU155" s="119"/>
      <c r="BV155" s="119"/>
      <c r="BW155" s="119"/>
      <c r="BX155" s="119"/>
      <c r="BY155" s="119"/>
      <c r="BZ155" s="119"/>
      <c r="CA155" s="119"/>
      <c r="CB155" s="119" t="str">
        <f>"      " &amp; "단위테스트" &amp; " " &amp; IF(P155="","",TEXT(P155,"M/D-")) &amp; IF(Q155="","",TEXT(Q155,"M/D")) &amp; " "</f>
        <v xml:space="preserve">      단위테스트 1/18-5/28 </v>
      </c>
      <c r="CC155" s="119"/>
      <c r="CD155" s="119"/>
      <c r="CE155" s="119"/>
      <c r="CF155" s="119"/>
      <c r="CG155" s="119"/>
    </row>
    <row r="156" spans="1:85" ht="12" customHeight="1" outlineLevel="2">
      <c r="A156" s="101"/>
      <c r="B156" s="101" t="s">
        <v>36</v>
      </c>
      <c r="C156" s="101">
        <v>3</v>
      </c>
      <c r="D156" s="116" t="s">
        <v>304</v>
      </c>
      <c r="E156" s="102"/>
      <c r="F156" s="102"/>
      <c r="G156" s="102" t="s">
        <v>224</v>
      </c>
      <c r="H156" s="102"/>
      <c r="I156" s="102"/>
      <c r="J156" s="102"/>
      <c r="K156" s="102"/>
      <c r="L156" s="102"/>
      <c r="M156" s="102"/>
      <c r="N156" s="102"/>
      <c r="O156" s="214"/>
      <c r="P156" s="103"/>
      <c r="Q156" s="103"/>
      <c r="R156" s="102"/>
      <c r="S156" s="104">
        <v>0</v>
      </c>
      <c r="T156" s="104">
        <v>0</v>
      </c>
      <c r="U156" s="104">
        <v>0</v>
      </c>
      <c r="V156" s="104">
        <v>0</v>
      </c>
      <c r="W156" s="103"/>
      <c r="X156" s="103"/>
      <c r="Y156" s="105">
        <v>0</v>
      </c>
      <c r="Z156" s="106">
        <v>0</v>
      </c>
      <c r="AA156" s="104"/>
      <c r="AB156" s="102"/>
      <c r="AC156" s="102"/>
      <c r="AD156" s="281">
        <v>0</v>
      </c>
      <c r="AE156" s="281">
        <v>0</v>
      </c>
      <c r="AF156" s="118"/>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row>
    <row r="157" spans="1:85" ht="12" customHeight="1" outlineLevel="3">
      <c r="A157" s="101"/>
      <c r="B157" s="101"/>
      <c r="C157" s="101">
        <v>4</v>
      </c>
      <c r="D157" s="116" t="s">
        <v>305</v>
      </c>
      <c r="E157" s="102"/>
      <c r="F157" s="102"/>
      <c r="G157" s="102"/>
      <c r="H157" s="102" t="s">
        <v>226</v>
      </c>
      <c r="I157" s="102"/>
      <c r="J157" s="102"/>
      <c r="K157" s="102"/>
      <c r="L157" s="102"/>
      <c r="M157" s="102"/>
      <c r="N157" s="102"/>
      <c r="O157" s="214"/>
      <c r="P157" s="103"/>
      <c r="Q157" s="103"/>
      <c r="R157" s="102"/>
      <c r="S157" s="104">
        <v>0</v>
      </c>
      <c r="T157" s="104">
        <v>0</v>
      </c>
      <c r="U157" s="104">
        <v>0</v>
      </c>
      <c r="V157" s="104">
        <v>0</v>
      </c>
      <c r="W157" s="103"/>
      <c r="X157" s="103"/>
      <c r="Y157" s="105">
        <v>0</v>
      </c>
      <c r="Z157" s="106">
        <v>0</v>
      </c>
      <c r="AA157" s="104">
        <v>1</v>
      </c>
      <c r="AB157" s="102"/>
      <c r="AC157" s="102"/>
      <c r="AD157" s="281">
        <v>0</v>
      </c>
      <c r="AE157" s="281">
        <v>0</v>
      </c>
      <c r="AF157" s="118"/>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row>
    <row r="158" spans="1:85" ht="12" customHeight="1" outlineLevel="3">
      <c r="A158" s="101"/>
      <c r="B158" s="101"/>
      <c r="C158" s="101">
        <v>4</v>
      </c>
      <c r="D158" s="116" t="s">
        <v>306</v>
      </c>
      <c r="E158" s="102"/>
      <c r="F158" s="102"/>
      <c r="G158" s="102"/>
      <c r="H158" s="102" t="s">
        <v>307</v>
      </c>
      <c r="I158" s="102"/>
      <c r="J158" s="102"/>
      <c r="K158" s="102"/>
      <c r="L158" s="102"/>
      <c r="M158" s="102"/>
      <c r="N158" s="102"/>
      <c r="O158" s="214"/>
      <c r="P158" s="103"/>
      <c r="Q158" s="103"/>
      <c r="R158" s="102"/>
      <c r="S158" s="104">
        <v>0</v>
      </c>
      <c r="T158" s="104">
        <v>0</v>
      </c>
      <c r="U158" s="104">
        <v>0</v>
      </c>
      <c r="V158" s="104">
        <v>0</v>
      </c>
      <c r="W158" s="103"/>
      <c r="X158" s="103"/>
      <c r="Y158" s="105">
        <v>0</v>
      </c>
      <c r="Z158" s="106">
        <v>0</v>
      </c>
      <c r="AA158" s="104">
        <v>1</v>
      </c>
      <c r="AB158" s="102"/>
      <c r="AC158" s="102"/>
      <c r="AD158" s="281">
        <v>0</v>
      </c>
      <c r="AE158" s="281">
        <v>0</v>
      </c>
      <c r="AF158" s="118"/>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row>
    <row r="159" spans="1:85" ht="12" customHeight="1">
      <c r="A159" s="101"/>
      <c r="B159" s="101" t="s">
        <v>36</v>
      </c>
      <c r="C159" s="101">
        <v>1</v>
      </c>
      <c r="D159" s="116" t="s">
        <v>308</v>
      </c>
      <c r="E159" s="102" t="s">
        <v>309</v>
      </c>
      <c r="F159" s="102"/>
      <c r="G159" s="102"/>
      <c r="H159" s="102"/>
      <c r="I159" s="102"/>
      <c r="J159" s="102"/>
      <c r="K159" s="102"/>
      <c r="L159" s="102"/>
      <c r="M159" s="102"/>
      <c r="N159" s="102"/>
      <c r="O159" s="214"/>
      <c r="P159" s="103">
        <v>46244</v>
      </c>
      <c r="Q159" s="103">
        <v>46402</v>
      </c>
      <c r="R159" s="102"/>
      <c r="S159" s="104">
        <v>146</v>
      </c>
      <c r="T159" s="104">
        <v>17</v>
      </c>
      <c r="U159" s="104">
        <v>108</v>
      </c>
      <c r="V159" s="104">
        <v>17</v>
      </c>
      <c r="W159" s="103"/>
      <c r="X159" s="103"/>
      <c r="Y159" s="105">
        <v>0</v>
      </c>
      <c r="Z159" s="106">
        <v>0</v>
      </c>
      <c r="AA159" s="104"/>
      <c r="AB159" s="102"/>
      <c r="AC159" s="102"/>
      <c r="AD159" s="281">
        <v>0.11643835616438356</v>
      </c>
      <c r="AE159" s="286">
        <v>9.5890410958904104E-2</v>
      </c>
      <c r="AF159" s="118"/>
      <c r="AG159" s="119"/>
      <c r="AH159" s="119"/>
      <c r="AI159" s="119"/>
      <c r="AJ159" s="119"/>
      <c r="AK159" s="119"/>
      <c r="AL159" s="119"/>
      <c r="AM159" s="119"/>
      <c r="AN159" s="119"/>
      <c r="AO159" s="119" t="str">
        <f>"  " &amp; TEXT(AE159,"#0.00%") &amp; " "</f>
        <v xml:space="preserve">  9.59% </v>
      </c>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t="str">
        <f>"      " &amp; "실내 내비게이션 맵 구축" &amp; " " &amp; IF(P159="","",TEXT(P159,"M/D-")) &amp; IF(Q159="","",TEXT(Q159,"M/D")) &amp; " "</f>
        <v xml:space="preserve">      실내 내비게이션 맵 구축 8/10-1/15 </v>
      </c>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row>
    <row r="160" spans="1:85" ht="12" customHeight="1" outlineLevel="1">
      <c r="A160" s="101"/>
      <c r="B160" s="101" t="s">
        <v>36</v>
      </c>
      <c r="C160" s="101">
        <v>2</v>
      </c>
      <c r="D160" s="116" t="s">
        <v>310</v>
      </c>
      <c r="E160" s="102"/>
      <c r="F160" s="102" t="s">
        <v>311</v>
      </c>
      <c r="G160" s="102"/>
      <c r="H160" s="102"/>
      <c r="I160" s="102"/>
      <c r="J160" s="102"/>
      <c r="K160" s="102"/>
      <c r="L160" s="102"/>
      <c r="M160" s="102"/>
      <c r="N160" s="102"/>
      <c r="O160" s="214"/>
      <c r="P160" s="103">
        <v>46244</v>
      </c>
      <c r="Q160" s="103">
        <v>46269</v>
      </c>
      <c r="R160" s="102"/>
      <c r="S160" s="104">
        <v>16</v>
      </c>
      <c r="T160" s="104">
        <v>14</v>
      </c>
      <c r="U160" s="104">
        <v>19</v>
      </c>
      <c r="V160" s="104">
        <v>17</v>
      </c>
      <c r="W160" s="103"/>
      <c r="X160" s="103"/>
      <c r="Y160" s="105">
        <v>0</v>
      </c>
      <c r="Z160" s="106">
        <v>0</v>
      </c>
      <c r="AA160" s="104"/>
      <c r="AB160" s="102"/>
      <c r="AC160" s="102"/>
      <c r="AD160" s="281">
        <v>0.875</v>
      </c>
      <c r="AE160" s="283">
        <v>0.875</v>
      </c>
      <c r="AF160" s="118"/>
      <c r="AG160" s="119"/>
      <c r="AH160" s="119"/>
      <c r="AI160" s="119"/>
      <c r="AJ160" s="119"/>
      <c r="AK160" s="119"/>
      <c r="AL160" s="119"/>
      <c r="AM160" s="119"/>
      <c r="AN160" s="119"/>
      <c r="AO160" s="119"/>
      <c r="AP160" s="119" t="str">
        <f>"   " &amp; TEXT(AE160,"#0.00%") &amp; " " &amp; "사전 데이터 구축" &amp; " " &amp; IF(P160="","",TEXT(P160,"M/D-")) &amp; IF(Q160="","",TEXT(Q160,"M/D")) &amp; " "</f>
        <v xml:space="preserve">   87.50% 사전 데이터 구축 8/10-9/4 </v>
      </c>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row>
    <row r="161" spans="1:85" ht="12" customHeight="1" outlineLevel="2">
      <c r="A161" s="101"/>
      <c r="B161" s="101"/>
      <c r="C161" s="101">
        <v>3</v>
      </c>
      <c r="D161" s="116" t="s">
        <v>312</v>
      </c>
      <c r="E161" s="102"/>
      <c r="F161" s="102"/>
      <c r="G161" s="102" t="s">
        <v>313</v>
      </c>
      <c r="H161" s="102"/>
      <c r="I161" s="102"/>
      <c r="J161" s="102"/>
      <c r="K161" s="102"/>
      <c r="L161" s="102"/>
      <c r="M161" s="102"/>
      <c r="N161" s="102"/>
      <c r="O161" s="214"/>
      <c r="P161" s="103">
        <v>46244</v>
      </c>
      <c r="Q161" s="103">
        <v>46248</v>
      </c>
      <c r="R161" s="102"/>
      <c r="S161" s="104">
        <v>5</v>
      </c>
      <c r="T161" s="104">
        <v>5</v>
      </c>
      <c r="U161" s="104">
        <v>5</v>
      </c>
      <c r="V161" s="104">
        <v>5</v>
      </c>
      <c r="W161" s="103"/>
      <c r="X161" s="103"/>
      <c r="Y161" s="105"/>
      <c r="Z161" s="106">
        <v>0</v>
      </c>
      <c r="AA161" s="104"/>
      <c r="AB161" s="102"/>
      <c r="AC161" s="102"/>
      <c r="AD161" s="281">
        <v>1</v>
      </c>
      <c r="AE161" s="282">
        <v>1</v>
      </c>
      <c r="AF161" s="118"/>
      <c r="AG161" s="119"/>
      <c r="AH161" s="119"/>
      <c r="AI161" s="119"/>
      <c r="AJ161" s="119"/>
      <c r="AK161" s="119"/>
      <c r="AL161" s="119"/>
      <c r="AM161" s="119" t="str">
        <f>"      " &amp; TEXT(AE161,"#0.00%") &amp; " " &amp; "현장조사 계획수립" &amp; " " &amp; IF(P161="","",TEXT(P161,"M/D-")) &amp; IF(Q161="","",TEXT(Q161,"M/D")) &amp; " "</f>
        <v xml:space="preserve">      100.00% 현장조사 계획수립 8/10-8/14 </v>
      </c>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row>
    <row r="162" spans="1:85" ht="12" customHeight="1" outlineLevel="2">
      <c r="A162" s="101"/>
      <c r="B162" s="101"/>
      <c r="C162" s="101">
        <v>3</v>
      </c>
      <c r="D162" s="116" t="s">
        <v>314</v>
      </c>
      <c r="E162" s="102"/>
      <c r="F162" s="102"/>
      <c r="G162" s="102" t="s">
        <v>315</v>
      </c>
      <c r="H162" s="102"/>
      <c r="I162" s="102"/>
      <c r="J162" s="102"/>
      <c r="K162" s="102"/>
      <c r="L162" s="102"/>
      <c r="M162" s="102"/>
      <c r="N162" s="102"/>
      <c r="O162" s="214"/>
      <c r="P162" s="103">
        <v>46251</v>
      </c>
      <c r="Q162" s="103">
        <v>46255</v>
      </c>
      <c r="R162" s="102"/>
      <c r="S162" s="104">
        <v>4</v>
      </c>
      <c r="T162" s="104">
        <v>4</v>
      </c>
      <c r="U162" s="104">
        <v>4</v>
      </c>
      <c r="V162" s="104">
        <v>4</v>
      </c>
      <c r="W162" s="103"/>
      <c r="X162" s="103"/>
      <c r="Y162" s="105"/>
      <c r="Z162" s="106">
        <v>0</v>
      </c>
      <c r="AA162" s="104"/>
      <c r="AB162" s="102"/>
      <c r="AC162" s="102"/>
      <c r="AD162" s="281">
        <v>1</v>
      </c>
      <c r="AE162" s="282">
        <v>1</v>
      </c>
      <c r="AF162" s="118"/>
      <c r="AG162" s="119"/>
      <c r="AH162" s="119"/>
      <c r="AI162" s="119"/>
      <c r="AJ162" s="119"/>
      <c r="AK162" s="119"/>
      <c r="AL162" s="119"/>
      <c r="AM162" s="119"/>
      <c r="AN162" s="119" t="str">
        <f>"      " &amp; TEXT(AE162,"#0.00%") &amp; " " &amp; "현장조사(센서 측위)" &amp; " " &amp; IF(P162="","",TEXT(P162,"M/D-")) &amp; IF(Q162="","",TEXT(Q162,"M/D")) &amp; " "</f>
        <v xml:space="preserve">      100.00% 현장조사(센서 측위) 8/17-8/21 </v>
      </c>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row>
    <row r="163" spans="1:85" ht="12" customHeight="1" outlineLevel="2">
      <c r="A163" s="101"/>
      <c r="B163" s="101"/>
      <c r="C163" s="101">
        <v>3</v>
      </c>
      <c r="D163" s="116" t="s">
        <v>316</v>
      </c>
      <c r="E163" s="102"/>
      <c r="F163" s="102"/>
      <c r="G163" s="102" t="s">
        <v>317</v>
      </c>
      <c r="H163" s="102"/>
      <c r="I163" s="102"/>
      <c r="J163" s="102"/>
      <c r="K163" s="102"/>
      <c r="L163" s="102"/>
      <c r="M163" s="102"/>
      <c r="N163" s="102"/>
      <c r="O163" s="214"/>
      <c r="P163" s="103">
        <v>46257</v>
      </c>
      <c r="Q163" s="103">
        <v>46264</v>
      </c>
      <c r="R163" s="102"/>
      <c r="S163" s="104">
        <v>5</v>
      </c>
      <c r="T163" s="104">
        <v>5</v>
      </c>
      <c r="U163" s="104">
        <v>5</v>
      </c>
      <c r="V163" s="104">
        <v>5</v>
      </c>
      <c r="W163" s="103"/>
      <c r="X163" s="103"/>
      <c r="Y163" s="105"/>
      <c r="Z163" s="106">
        <v>0</v>
      </c>
      <c r="AA163" s="104"/>
      <c r="AB163" s="102"/>
      <c r="AC163" s="102"/>
      <c r="AD163" s="281">
        <v>1</v>
      </c>
      <c r="AE163" s="282">
        <v>1</v>
      </c>
      <c r="AF163" s="118"/>
      <c r="AG163" s="119"/>
      <c r="AH163" s="119"/>
      <c r="AI163" s="119"/>
      <c r="AJ163" s="119"/>
      <c r="AK163" s="119"/>
      <c r="AL163" s="119"/>
      <c r="AM163" s="119"/>
      <c r="AN163" s="119"/>
      <c r="AO163" s="119"/>
      <c r="AP163" s="119" t="str">
        <f>" " &amp; TEXT(AE163,"#0.00%") &amp; " " &amp; "내비게이션 맵 구축" &amp; " " &amp; IF(P163="","",TEXT(P163,"M/D-")) &amp; IF(Q163="","",TEXT(Q163,"M/D")) &amp; " "</f>
        <v xml:space="preserve"> 100.00% 내비게이션 맵 구축 8/23-8/30 </v>
      </c>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row>
    <row r="164" spans="1:85" ht="12" customHeight="1" outlineLevel="2">
      <c r="A164" s="101"/>
      <c r="B164" s="101"/>
      <c r="C164" s="101">
        <v>3</v>
      </c>
      <c r="D164" s="116" t="s">
        <v>318</v>
      </c>
      <c r="E164" s="102"/>
      <c r="F164" s="102"/>
      <c r="G164" s="102" t="s">
        <v>319</v>
      </c>
      <c r="H164" s="102"/>
      <c r="I164" s="102"/>
      <c r="J164" s="102"/>
      <c r="K164" s="102"/>
      <c r="L164" s="102"/>
      <c r="M164" s="102"/>
      <c r="N164" s="102"/>
      <c r="O164" s="214"/>
      <c r="P164" s="103">
        <v>46268</v>
      </c>
      <c r="Q164" s="103">
        <v>46269</v>
      </c>
      <c r="R164" s="102"/>
      <c r="S164" s="104">
        <v>2</v>
      </c>
      <c r="T164" s="104">
        <v>0</v>
      </c>
      <c r="U164" s="104">
        <v>2</v>
      </c>
      <c r="V164" s="104">
        <v>0</v>
      </c>
      <c r="W164" s="103"/>
      <c r="X164" s="103"/>
      <c r="Y164" s="105"/>
      <c r="Z164" s="106">
        <v>0</v>
      </c>
      <c r="AA164" s="104"/>
      <c r="AB164" s="102"/>
      <c r="AC164" s="102"/>
      <c r="AD164" s="281">
        <v>0</v>
      </c>
      <c r="AE164" s="282">
        <v>0</v>
      </c>
      <c r="AF164" s="118"/>
      <c r="AG164" s="119"/>
      <c r="AH164" s="119"/>
      <c r="AI164" s="119"/>
      <c r="AJ164" s="119"/>
      <c r="AK164" s="119"/>
      <c r="AL164" s="119"/>
      <c r="AM164" s="119"/>
      <c r="AN164" s="119"/>
      <c r="AO164" s="119"/>
      <c r="AP164" s="119" t="str">
        <f>"    " &amp; TEXT(AE164,"#0.00%") &amp; " " &amp; "시연 및 평가" &amp; " " &amp; IF(P164="","",TEXT(P164,"M/D-")) &amp; IF(Q164="","",TEXT(Q164,"M/D")) &amp; " "</f>
        <v xml:space="preserve">    0.00% 시연 및 평가 9/3-9/4 </v>
      </c>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row>
    <row r="165" spans="1:85" ht="12" customHeight="1" outlineLevel="1">
      <c r="A165" s="101"/>
      <c r="B165" s="101" t="s">
        <v>36</v>
      </c>
      <c r="C165" s="101">
        <v>2</v>
      </c>
      <c r="D165" s="116" t="s">
        <v>320</v>
      </c>
      <c r="E165" s="102"/>
      <c r="F165" s="102" t="s">
        <v>321</v>
      </c>
      <c r="G165" s="102"/>
      <c r="H165" s="102"/>
      <c r="I165" s="102"/>
      <c r="J165" s="102"/>
      <c r="K165" s="102"/>
      <c r="L165" s="102"/>
      <c r="M165" s="102"/>
      <c r="N165" s="102"/>
      <c r="O165" s="214"/>
      <c r="P165" s="103">
        <v>46265</v>
      </c>
      <c r="Q165" s="103">
        <v>46402</v>
      </c>
      <c r="R165" s="102"/>
      <c r="S165" s="104">
        <v>130</v>
      </c>
      <c r="T165" s="104">
        <v>3</v>
      </c>
      <c r="U165" s="104">
        <v>94</v>
      </c>
      <c r="V165" s="104">
        <v>3</v>
      </c>
      <c r="W165" s="103"/>
      <c r="X165" s="103"/>
      <c r="Y165" s="105">
        <v>0</v>
      </c>
      <c r="Z165" s="106">
        <v>0</v>
      </c>
      <c r="AA165" s="104"/>
      <c r="AB165" s="102"/>
      <c r="AC165" s="102"/>
      <c r="AD165" s="281">
        <v>2.3076923076923078E-2</v>
      </c>
      <c r="AE165" s="286">
        <v>0</v>
      </c>
      <c r="AF165" s="118"/>
      <c r="AG165" s="119"/>
      <c r="AH165" s="119"/>
      <c r="AI165" s="119"/>
      <c r="AJ165" s="119"/>
      <c r="AK165" s="119"/>
      <c r="AL165" s="119"/>
      <c r="AM165" s="119"/>
      <c r="AN165" s="119"/>
      <c r="AO165" s="119"/>
      <c r="AP165" s="119" t="str">
        <f>" " &amp; TEXT(AE165,"#0.00%") &amp; " "</f>
        <v xml:space="preserve"> 0.00% </v>
      </c>
      <c r="AQ165" s="119"/>
      <c r="AR165" s="119"/>
      <c r="AS165" s="119"/>
      <c r="AT165" s="119"/>
      <c r="AU165" s="119"/>
      <c r="AV165" s="119"/>
      <c r="AW165" s="119"/>
      <c r="AX165" s="119"/>
      <c r="AY165" s="119"/>
      <c r="AZ165" s="119"/>
      <c r="BA165" s="119"/>
      <c r="BB165" s="119"/>
      <c r="BC165" s="119"/>
      <c r="BD165" s="119"/>
      <c r="BE165" s="119"/>
      <c r="BF165" s="119"/>
      <c r="BG165" s="119"/>
      <c r="BH165" s="119"/>
      <c r="BI165" s="119" t="str">
        <f>"      " &amp; "1단계 시범 구축 (10개 역사)" &amp; " " &amp; IF(P165="","",TEXT(P165,"M/D-")) &amp; IF(Q165="","",TEXT(Q165,"M/D")) &amp; " "</f>
        <v xml:space="preserve">      1단계 시범 구축 (10개 역사) 8/31-1/15 </v>
      </c>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row>
    <row r="166" spans="1:85" ht="12" customHeight="1" outlineLevel="2">
      <c r="A166" s="101"/>
      <c r="B166" s="101"/>
      <c r="C166" s="101">
        <v>3</v>
      </c>
      <c r="D166" s="116" t="s">
        <v>322</v>
      </c>
      <c r="E166" s="102"/>
      <c r="F166" s="102"/>
      <c r="G166" s="102" t="s">
        <v>323</v>
      </c>
      <c r="H166" s="102"/>
      <c r="I166" s="102"/>
      <c r="J166" s="102"/>
      <c r="K166" s="102"/>
      <c r="L166" s="102"/>
      <c r="M166" s="102"/>
      <c r="N166" s="102"/>
      <c r="O166" s="214"/>
      <c r="P166" s="103">
        <v>46265</v>
      </c>
      <c r="Q166" s="103">
        <v>46290</v>
      </c>
      <c r="R166" s="102"/>
      <c r="S166" s="104">
        <v>18</v>
      </c>
      <c r="T166" s="104">
        <v>3</v>
      </c>
      <c r="U166" s="104">
        <v>18</v>
      </c>
      <c r="V166" s="104">
        <v>3</v>
      </c>
      <c r="W166" s="103"/>
      <c r="X166" s="103"/>
      <c r="Y166" s="105"/>
      <c r="Z166" s="106">
        <v>0</v>
      </c>
      <c r="AA166" s="104"/>
      <c r="AB166" s="102"/>
      <c r="AC166" s="102"/>
      <c r="AD166" s="281">
        <v>0.16666666666666666</v>
      </c>
      <c r="AE166" s="284">
        <v>0</v>
      </c>
      <c r="AF166" s="118"/>
      <c r="AG166" s="119"/>
      <c r="AH166" s="119"/>
      <c r="AI166" s="119"/>
      <c r="AJ166" s="119"/>
      <c r="AK166" s="119"/>
      <c r="AL166" s="119"/>
      <c r="AM166" s="119"/>
      <c r="AN166" s="119"/>
      <c r="AO166" s="119"/>
      <c r="AP166" s="119" t="str">
        <f>" " &amp; TEXT(AE166,"#0.00%") &amp; " "</f>
        <v xml:space="preserve"> 0.00% </v>
      </c>
      <c r="AQ166" s="119"/>
      <c r="AR166" s="119"/>
      <c r="AS166" s="119" t="str">
        <f>"      " &amp; "자료수집" &amp; " " &amp; IF(P166="","",TEXT(P166,"M/D-")) &amp; IF(Q166="","",TEXT(Q166,"M/D")) &amp; " "</f>
        <v xml:space="preserve">      자료수집 8/31-9/25 </v>
      </c>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row>
    <row r="167" spans="1:85" ht="12" customHeight="1" outlineLevel="2">
      <c r="A167" s="101"/>
      <c r="B167" s="101"/>
      <c r="C167" s="101">
        <v>3</v>
      </c>
      <c r="D167" s="116" t="s">
        <v>324</v>
      </c>
      <c r="E167" s="102"/>
      <c r="F167" s="102"/>
      <c r="G167" s="102" t="s">
        <v>325</v>
      </c>
      <c r="H167" s="102"/>
      <c r="I167" s="102"/>
      <c r="J167" s="102"/>
      <c r="K167" s="102"/>
      <c r="L167" s="102"/>
      <c r="M167" s="102"/>
      <c r="N167" s="102"/>
      <c r="O167" s="214"/>
      <c r="P167" s="103">
        <v>46279</v>
      </c>
      <c r="Q167" s="103">
        <v>46304</v>
      </c>
      <c r="R167" s="102"/>
      <c r="S167" s="104">
        <v>16</v>
      </c>
      <c r="T167" s="104">
        <v>0</v>
      </c>
      <c r="U167" s="104">
        <v>16</v>
      </c>
      <c r="V167" s="104">
        <v>0</v>
      </c>
      <c r="W167" s="103"/>
      <c r="X167" s="103"/>
      <c r="Y167" s="105"/>
      <c r="Z167" s="106">
        <v>0</v>
      </c>
      <c r="AA167" s="104"/>
      <c r="AB167" s="102"/>
      <c r="AC167" s="102"/>
      <c r="AD167" s="281">
        <v>0</v>
      </c>
      <c r="AE167" s="282">
        <v>0</v>
      </c>
      <c r="AF167" s="118"/>
      <c r="AG167" s="119"/>
      <c r="AH167" s="119"/>
      <c r="AI167" s="119"/>
      <c r="AJ167" s="119"/>
      <c r="AK167" s="119"/>
      <c r="AL167" s="119"/>
      <c r="AM167" s="119"/>
      <c r="AN167" s="119"/>
      <c r="AO167" s="119"/>
      <c r="AP167" s="119"/>
      <c r="AQ167" s="119"/>
      <c r="AR167" s="119" t="str">
        <f>" " &amp; TEXT(AE167,"#0.00%") &amp; " "</f>
        <v xml:space="preserve"> 0.00% </v>
      </c>
      <c r="AS167" s="119"/>
      <c r="AT167" s="119"/>
      <c r="AU167" s="119" t="str">
        <f>"      " &amp; "역사 실내지도 구축(도면 변환)" &amp; " " &amp; IF(P167="","",TEXT(P167,"M/D-")) &amp; IF(Q167="","",TEXT(Q167,"M/D")) &amp; " "</f>
        <v xml:space="preserve">      역사 실내지도 구축(도면 변환) 9/14-10/9 </v>
      </c>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row>
    <row r="168" spans="1:85" ht="12" customHeight="1" outlineLevel="2">
      <c r="A168" s="101"/>
      <c r="B168" s="101"/>
      <c r="C168" s="101">
        <v>3</v>
      </c>
      <c r="D168" s="116" t="s">
        <v>326</v>
      </c>
      <c r="E168" s="102"/>
      <c r="F168" s="102"/>
      <c r="G168" s="102" t="s">
        <v>327</v>
      </c>
      <c r="H168" s="102"/>
      <c r="I168" s="102"/>
      <c r="J168" s="102"/>
      <c r="K168" s="102"/>
      <c r="L168" s="102"/>
      <c r="M168" s="102"/>
      <c r="N168" s="102"/>
      <c r="O168" s="214"/>
      <c r="P168" s="103">
        <v>46307</v>
      </c>
      <c r="Q168" s="103">
        <v>46325</v>
      </c>
      <c r="R168" s="102"/>
      <c r="S168" s="104">
        <v>15</v>
      </c>
      <c r="T168" s="104">
        <v>0</v>
      </c>
      <c r="U168" s="104">
        <v>15</v>
      </c>
      <c r="V168" s="104">
        <v>0</v>
      </c>
      <c r="W168" s="103"/>
      <c r="X168" s="103"/>
      <c r="Y168" s="105"/>
      <c r="Z168" s="106">
        <v>0</v>
      </c>
      <c r="AA168" s="104"/>
      <c r="AB168" s="102"/>
      <c r="AC168" s="102"/>
      <c r="AD168" s="281">
        <v>0</v>
      </c>
      <c r="AE168" s="282">
        <v>0</v>
      </c>
      <c r="AF168" s="118"/>
      <c r="AG168" s="119"/>
      <c r="AH168" s="119"/>
      <c r="AI168" s="119"/>
      <c r="AJ168" s="119"/>
      <c r="AK168" s="119"/>
      <c r="AL168" s="119"/>
      <c r="AM168" s="119"/>
      <c r="AN168" s="119"/>
      <c r="AO168" s="119"/>
      <c r="AP168" s="119"/>
      <c r="AQ168" s="119"/>
      <c r="AR168" s="119"/>
      <c r="AS168" s="119"/>
      <c r="AT168" s="119"/>
      <c r="AU168" s="119"/>
      <c r="AV168" s="119" t="str">
        <f>" " &amp; TEXT(AE168,"#0.00%") &amp; " " &amp; "현장조사 (POI 구축)" &amp; " " &amp; IF(P168="","",TEXT(P168,"M/D-")) &amp; IF(Q168="","",TEXT(Q168,"M/D")) &amp; " "</f>
        <v xml:space="preserve"> 0.00% 현장조사 (POI 구축) 10/12-10/30 </v>
      </c>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row>
    <row r="169" spans="1:85" ht="12" customHeight="1" outlineLevel="2">
      <c r="A169" s="101"/>
      <c r="B169" s="101"/>
      <c r="C169" s="101">
        <v>3</v>
      </c>
      <c r="D169" s="116" t="s">
        <v>328</v>
      </c>
      <c r="E169" s="102"/>
      <c r="F169" s="102"/>
      <c r="G169" s="102" t="s">
        <v>329</v>
      </c>
      <c r="H169" s="102"/>
      <c r="I169" s="102"/>
      <c r="J169" s="102"/>
      <c r="K169" s="102"/>
      <c r="L169" s="102"/>
      <c r="M169" s="102"/>
      <c r="N169" s="102"/>
      <c r="O169" s="214"/>
      <c r="P169" s="103">
        <v>46328</v>
      </c>
      <c r="Q169" s="103">
        <v>46339</v>
      </c>
      <c r="R169" s="102"/>
      <c r="S169" s="104">
        <v>10</v>
      </c>
      <c r="T169" s="104">
        <v>0</v>
      </c>
      <c r="U169" s="104">
        <v>10</v>
      </c>
      <c r="V169" s="104">
        <v>0</v>
      </c>
      <c r="W169" s="103"/>
      <c r="X169" s="103"/>
      <c r="Y169" s="105"/>
      <c r="Z169" s="106">
        <v>0</v>
      </c>
      <c r="AA169" s="104"/>
      <c r="AB169" s="102"/>
      <c r="AC169" s="102"/>
      <c r="AD169" s="281">
        <v>0</v>
      </c>
      <c r="AE169" s="282">
        <v>0</v>
      </c>
      <c r="AF169" s="118"/>
      <c r="AG169" s="119"/>
      <c r="AH169" s="119"/>
      <c r="AI169" s="119"/>
      <c r="AJ169" s="119"/>
      <c r="AK169" s="119"/>
      <c r="AL169" s="119"/>
      <c r="AM169" s="119"/>
      <c r="AN169" s="119"/>
      <c r="AO169" s="119"/>
      <c r="AP169" s="119"/>
      <c r="AQ169" s="119"/>
      <c r="AR169" s="119"/>
      <c r="AS169" s="119"/>
      <c r="AT169" s="119"/>
      <c r="AU169" s="119"/>
      <c r="AV169" s="119"/>
      <c r="AW169" s="119"/>
      <c r="AX169" s="119"/>
      <c r="AY169" s="119" t="str">
        <f>" " &amp; TEXT(AE169,"#0.00%") &amp; " " &amp; "서비스 DB 구축" &amp; " " &amp; IF(P169="","",TEXT(P169,"M/D-")) &amp; IF(Q169="","",TEXT(Q169,"M/D")) &amp; " "</f>
        <v xml:space="preserve"> 0.00% 서비스 DB 구축 11/2-11/13 </v>
      </c>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row>
    <row r="170" spans="1:85" ht="12" customHeight="1" outlineLevel="2">
      <c r="A170" s="101"/>
      <c r="B170" s="101"/>
      <c r="C170" s="101">
        <v>3</v>
      </c>
      <c r="D170" s="116" t="s">
        <v>330</v>
      </c>
      <c r="E170" s="102"/>
      <c r="F170" s="102"/>
      <c r="G170" s="102" t="s">
        <v>313</v>
      </c>
      <c r="H170" s="102"/>
      <c r="I170" s="102"/>
      <c r="J170" s="102"/>
      <c r="K170" s="102"/>
      <c r="L170" s="102"/>
      <c r="M170" s="102"/>
      <c r="N170" s="102"/>
      <c r="O170" s="214" t="s">
        <v>331</v>
      </c>
      <c r="P170" s="103">
        <v>46339</v>
      </c>
      <c r="Q170" s="103">
        <v>46353</v>
      </c>
      <c r="R170" s="102"/>
      <c r="S170" s="104">
        <v>11</v>
      </c>
      <c r="T170" s="104">
        <v>0</v>
      </c>
      <c r="U170" s="104">
        <v>11</v>
      </c>
      <c r="V170" s="104">
        <v>0</v>
      </c>
      <c r="W170" s="103"/>
      <c r="X170" s="103"/>
      <c r="Y170" s="105"/>
      <c r="Z170" s="106">
        <v>0</v>
      </c>
      <c r="AA170" s="104"/>
      <c r="AB170" s="102"/>
      <c r="AC170" s="102"/>
      <c r="AD170" s="281">
        <v>0</v>
      </c>
      <c r="AE170" s="282">
        <v>0</v>
      </c>
      <c r="AF170" s="118"/>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t="str">
        <f>"     " &amp; TEXT(AE170,"#0.00%") &amp; " " &amp; "현장조사 계획수립" &amp; " " &amp; IF(P170="","",TEXT(P170,"M/D-")) &amp; IF(Q170="","",TEXT(Q170,"M/D")) &amp; " "</f>
        <v xml:space="preserve">     0.00% 현장조사 계획수립 11/13-11/27 </v>
      </c>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row>
    <row r="171" spans="1:85" ht="12" customHeight="1" outlineLevel="2">
      <c r="A171" s="101"/>
      <c r="B171" s="101"/>
      <c r="C171" s="101">
        <v>3</v>
      </c>
      <c r="D171" s="116" t="s">
        <v>332</v>
      </c>
      <c r="E171" s="102"/>
      <c r="F171" s="102"/>
      <c r="G171" s="102" t="s">
        <v>333</v>
      </c>
      <c r="H171" s="102"/>
      <c r="I171" s="102"/>
      <c r="J171" s="102"/>
      <c r="K171" s="102"/>
      <c r="L171" s="102"/>
      <c r="M171" s="102"/>
      <c r="N171" s="102"/>
      <c r="O171" s="214"/>
      <c r="P171" s="103">
        <v>46356</v>
      </c>
      <c r="Q171" s="103">
        <v>46381</v>
      </c>
      <c r="R171" s="102"/>
      <c r="S171" s="104">
        <v>19</v>
      </c>
      <c r="T171" s="104">
        <v>0</v>
      </c>
      <c r="U171" s="104">
        <v>19</v>
      </c>
      <c r="V171" s="104">
        <v>0</v>
      </c>
      <c r="W171" s="103"/>
      <c r="X171" s="103"/>
      <c r="Y171" s="105"/>
      <c r="Z171" s="106">
        <v>0</v>
      </c>
      <c r="AA171" s="104"/>
      <c r="AB171" s="102"/>
      <c r="AC171" s="102"/>
      <c r="AD171" s="281">
        <v>0</v>
      </c>
      <c r="AE171" s="282">
        <v>0</v>
      </c>
      <c r="AF171" s="118"/>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t="str">
        <f>" " &amp; TEXT(AE171,"#0.00%") &amp; " "</f>
        <v xml:space="preserve"> 0.00% </v>
      </c>
      <c r="BD171" s="119"/>
      <c r="BE171" s="119"/>
      <c r="BF171" s="119" t="str">
        <f>"      " &amp; "현장조사 (센서 측위)" &amp; " " &amp; IF(P171="","",TEXT(P171,"M/D-")) &amp; IF(Q171="","",TEXT(Q171,"M/D")) &amp; " "</f>
        <v xml:space="preserve">      현장조사 (센서 측위) 11/30-12/25 </v>
      </c>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row>
    <row r="172" spans="1:85" ht="12" customHeight="1" outlineLevel="2">
      <c r="A172" s="101"/>
      <c r="B172" s="101"/>
      <c r="C172" s="101">
        <v>3</v>
      </c>
      <c r="D172" s="116" t="s">
        <v>334</v>
      </c>
      <c r="E172" s="102"/>
      <c r="F172" s="102"/>
      <c r="G172" s="102" t="s">
        <v>317</v>
      </c>
      <c r="H172" s="102"/>
      <c r="I172" s="102"/>
      <c r="J172" s="102"/>
      <c r="K172" s="102"/>
      <c r="L172" s="102"/>
      <c r="M172" s="102"/>
      <c r="N172" s="102"/>
      <c r="O172" s="214"/>
      <c r="P172" s="103">
        <v>46363</v>
      </c>
      <c r="Q172" s="103">
        <v>46388</v>
      </c>
      <c r="R172" s="102"/>
      <c r="S172" s="104">
        <v>18</v>
      </c>
      <c r="T172" s="104">
        <v>0</v>
      </c>
      <c r="U172" s="104">
        <v>18</v>
      </c>
      <c r="V172" s="104">
        <v>0</v>
      </c>
      <c r="W172" s="103"/>
      <c r="X172" s="103"/>
      <c r="Y172" s="105"/>
      <c r="Z172" s="106">
        <v>0</v>
      </c>
      <c r="AA172" s="104"/>
      <c r="AB172" s="102"/>
      <c r="AC172" s="102"/>
      <c r="AD172" s="281">
        <v>0</v>
      </c>
      <c r="AE172" s="282">
        <v>0</v>
      </c>
      <c r="AF172" s="118"/>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t="str">
        <f>" " &amp; TEXT(AE172,"#0.00%") &amp; " "</f>
        <v xml:space="preserve"> 0.00% </v>
      </c>
      <c r="BE172" s="119"/>
      <c r="BF172" s="119"/>
      <c r="BG172" s="119" t="str">
        <f>"      " &amp; "내비게이션 맵 구축" &amp; " " &amp; IF(P172="","",TEXT(P172,"M/D-")) &amp; IF(Q172="","",TEXT(Q172,"M/D")) &amp; " "</f>
        <v xml:space="preserve">      내비게이션 맵 구축 12/7-1/1 </v>
      </c>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row>
    <row r="173" spans="1:85" ht="12" customHeight="1" outlineLevel="2">
      <c r="A173" s="101"/>
      <c r="B173" s="101"/>
      <c r="C173" s="101">
        <v>3</v>
      </c>
      <c r="D173" s="116" t="s">
        <v>335</v>
      </c>
      <c r="E173" s="102"/>
      <c r="F173" s="102"/>
      <c r="G173" s="102" t="s">
        <v>336</v>
      </c>
      <c r="H173" s="102"/>
      <c r="I173" s="102"/>
      <c r="J173" s="102"/>
      <c r="K173" s="102"/>
      <c r="L173" s="102"/>
      <c r="M173" s="102"/>
      <c r="N173" s="102"/>
      <c r="O173" s="214"/>
      <c r="P173" s="103">
        <v>46370</v>
      </c>
      <c r="Q173" s="103">
        <v>46402</v>
      </c>
      <c r="R173" s="102"/>
      <c r="S173" s="104">
        <v>23</v>
      </c>
      <c r="T173" s="104">
        <v>0</v>
      </c>
      <c r="U173" s="104">
        <v>23</v>
      </c>
      <c r="V173" s="104">
        <v>0</v>
      </c>
      <c r="W173" s="103"/>
      <c r="X173" s="103"/>
      <c r="Y173" s="105"/>
      <c r="Z173" s="106">
        <v>0</v>
      </c>
      <c r="AA173" s="104"/>
      <c r="AB173" s="102"/>
      <c r="AC173" s="102"/>
      <c r="AD173" s="281">
        <v>0</v>
      </c>
      <c r="AE173" s="282">
        <v>0</v>
      </c>
      <c r="AF173" s="118"/>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t="str">
        <f>" " &amp; TEXT(AE173,"#0.00%") &amp; " "</f>
        <v xml:space="preserve"> 0.00% </v>
      </c>
      <c r="BF173" s="119"/>
      <c r="BG173" s="119"/>
      <c r="BH173" s="119"/>
      <c r="BI173" s="119" t="str">
        <f>"      " &amp; "데이터 검증/보정/테스트" &amp; " " &amp; IF(P173="","",TEXT(P173,"M/D-")) &amp; IF(Q173="","",TEXT(Q173,"M/D")) &amp; " "</f>
        <v xml:space="preserve">      데이터 검증/보정/테스트 12/14-1/15 </v>
      </c>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row>
    <row r="174" spans="1:85" ht="12" customHeight="1">
      <c r="A174" s="101"/>
      <c r="B174" s="101" t="s">
        <v>36</v>
      </c>
      <c r="C174" s="101">
        <v>1</v>
      </c>
      <c r="D174" s="116" t="s">
        <v>337</v>
      </c>
      <c r="E174" s="102" t="s">
        <v>338</v>
      </c>
      <c r="F174" s="102"/>
      <c r="G174" s="102"/>
      <c r="H174" s="102"/>
      <c r="I174" s="102"/>
      <c r="J174" s="102"/>
      <c r="K174" s="102"/>
      <c r="L174" s="102"/>
      <c r="M174" s="102"/>
      <c r="N174" s="102"/>
      <c r="O174" s="214"/>
      <c r="P174" s="103">
        <v>46342</v>
      </c>
      <c r="Q174" s="103">
        <v>46554</v>
      </c>
      <c r="R174" s="102"/>
      <c r="S174" s="104">
        <v>55</v>
      </c>
      <c r="T174" s="104">
        <v>0</v>
      </c>
      <c r="U174" s="104">
        <v>146</v>
      </c>
      <c r="V174" s="104">
        <v>0</v>
      </c>
      <c r="W174" s="103"/>
      <c r="X174" s="103"/>
      <c r="Y174" s="105">
        <v>0</v>
      </c>
      <c r="Z174" s="106">
        <v>0</v>
      </c>
      <c r="AA174" s="104"/>
      <c r="AB174" s="102"/>
      <c r="AC174" s="102"/>
      <c r="AD174" s="281">
        <v>0</v>
      </c>
      <c r="AE174" s="283">
        <v>0</v>
      </c>
      <c r="AF174" s="118"/>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t="str">
        <f>" " &amp; TEXT(AE174,"#0.00%") &amp; " "</f>
        <v xml:space="preserve"> 0.00% </v>
      </c>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t="str">
        <f>"    " &amp; "시스템 이관" &amp; " " &amp; IF(P174="","",TEXT(P174,"M/D-")) &amp; IF(Q174="","",TEXT(Q174,"M/D")) &amp; " "</f>
        <v xml:space="preserve">    시스템 이관 11/16-6/16 </v>
      </c>
      <c r="CF174" s="119"/>
      <c r="CG174" s="119"/>
    </row>
    <row r="175" spans="1:85" ht="12" customHeight="1" outlineLevel="1">
      <c r="A175" s="101"/>
      <c r="B175" s="101" t="s">
        <v>36</v>
      </c>
      <c r="C175" s="101">
        <v>2</v>
      </c>
      <c r="D175" s="116" t="s">
        <v>339</v>
      </c>
      <c r="E175" s="102"/>
      <c r="F175" s="102" t="s">
        <v>340</v>
      </c>
      <c r="G175" s="102"/>
      <c r="H175" s="102"/>
      <c r="I175" s="102"/>
      <c r="J175" s="102"/>
      <c r="K175" s="102"/>
      <c r="L175" s="102"/>
      <c r="M175" s="102"/>
      <c r="N175" s="102"/>
      <c r="O175" s="214"/>
      <c r="P175" s="103">
        <v>46342</v>
      </c>
      <c r="Q175" s="103">
        <v>46374</v>
      </c>
      <c r="R175" s="102"/>
      <c r="S175" s="104">
        <v>25</v>
      </c>
      <c r="T175" s="104">
        <v>0</v>
      </c>
      <c r="U175" s="104">
        <v>25</v>
      </c>
      <c r="V175" s="104">
        <v>0</v>
      </c>
      <c r="W175" s="103"/>
      <c r="X175" s="103"/>
      <c r="Y175" s="105">
        <v>0</v>
      </c>
      <c r="Z175" s="106">
        <v>0</v>
      </c>
      <c r="AA175" s="104"/>
      <c r="AB175" s="102"/>
      <c r="AC175" s="102"/>
      <c r="AD175" s="281">
        <v>0</v>
      </c>
      <c r="AE175" s="283">
        <v>0</v>
      </c>
      <c r="AF175" s="118"/>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t="str">
        <f>" " &amp; TEXT(AE175,"#0.00%") &amp; " "</f>
        <v xml:space="preserve"> 0.00% </v>
      </c>
      <c r="BB175" s="119"/>
      <c r="BC175" s="119"/>
      <c r="BD175" s="119"/>
      <c r="BE175" s="119" t="str">
        <f>"      " &amp; "운영 환경 구성" &amp; " " &amp; IF(P175="","",TEXT(P175,"M/D-")) &amp; IF(Q175="","",TEXT(Q175,"M/D")) &amp; " "</f>
        <v xml:space="preserve">      운영 환경 구성 11/16-12/18 </v>
      </c>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row>
    <row r="176" spans="1:85" ht="12" customHeight="1" outlineLevel="2">
      <c r="A176" s="101"/>
      <c r="B176" s="101"/>
      <c r="C176" s="101">
        <v>3</v>
      </c>
      <c r="D176" s="116" t="s">
        <v>341</v>
      </c>
      <c r="E176" s="102"/>
      <c r="F176" s="102"/>
      <c r="G176" s="102" t="s">
        <v>342</v>
      </c>
      <c r="H176" s="102"/>
      <c r="I176" s="102"/>
      <c r="J176" s="102"/>
      <c r="K176" s="102"/>
      <c r="L176" s="102"/>
      <c r="M176" s="102"/>
      <c r="N176" s="102"/>
      <c r="O176" s="214"/>
      <c r="P176" s="103">
        <v>46342</v>
      </c>
      <c r="Q176" s="103">
        <v>46374</v>
      </c>
      <c r="R176" s="102"/>
      <c r="S176" s="104">
        <v>25</v>
      </c>
      <c r="T176" s="104">
        <v>0</v>
      </c>
      <c r="U176" s="104">
        <v>25</v>
      </c>
      <c r="V176" s="104">
        <v>0</v>
      </c>
      <c r="W176" s="103"/>
      <c r="X176" s="103"/>
      <c r="Y176" s="105"/>
      <c r="Z176" s="106">
        <v>0</v>
      </c>
      <c r="AA176" s="104">
        <v>1</v>
      </c>
      <c r="AB176" s="102"/>
      <c r="AC176" s="102"/>
      <c r="AD176" s="281">
        <v>0</v>
      </c>
      <c r="AE176" s="282">
        <v>0</v>
      </c>
      <c r="AF176" s="118"/>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t="str">
        <f>" " &amp; TEXT(AE176,"#0.00%") &amp; " "</f>
        <v xml:space="preserve"> 0.00% </v>
      </c>
      <c r="BB176" s="119"/>
      <c r="BC176" s="119"/>
      <c r="BD176" s="119"/>
      <c r="BE176" s="119" t="str">
        <f>"      " &amp; "시스템 설치 및 운영 환경 구성" &amp; " " &amp; IF(P176="","",TEXT(P176,"M/D-")) &amp; IF(Q176="","",TEXT(Q176,"M/D")) &amp; " "</f>
        <v xml:space="preserve">      시스템 설치 및 운영 환경 구성 11/16-12/18 </v>
      </c>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row>
    <row r="177" spans="1:85" ht="12" customHeight="1" outlineLevel="1">
      <c r="A177" s="101"/>
      <c r="B177" s="101" t="s">
        <v>36</v>
      </c>
      <c r="C177" s="101">
        <v>2</v>
      </c>
      <c r="D177" s="116" t="s">
        <v>343</v>
      </c>
      <c r="E177" s="102"/>
      <c r="F177" s="102" t="s">
        <v>344</v>
      </c>
      <c r="G177" s="102"/>
      <c r="H177" s="102"/>
      <c r="I177" s="102"/>
      <c r="J177" s="102"/>
      <c r="K177" s="102"/>
      <c r="L177" s="102"/>
      <c r="M177" s="102"/>
      <c r="N177" s="102"/>
      <c r="O177" s="214"/>
      <c r="P177" s="103">
        <v>46377</v>
      </c>
      <c r="Q177" s="103">
        <v>46554</v>
      </c>
      <c r="R177" s="102"/>
      <c r="S177" s="104">
        <v>30</v>
      </c>
      <c r="T177" s="104">
        <v>0</v>
      </c>
      <c r="U177" s="104">
        <v>121</v>
      </c>
      <c r="V177" s="104">
        <v>0</v>
      </c>
      <c r="W177" s="103"/>
      <c r="X177" s="103"/>
      <c r="Y177" s="105">
        <v>0</v>
      </c>
      <c r="Z177" s="106">
        <v>0</v>
      </c>
      <c r="AA177" s="104"/>
      <c r="AB177" s="102"/>
      <c r="AC177" s="102"/>
      <c r="AD177" s="281">
        <v>0</v>
      </c>
      <c r="AE177" s="283">
        <v>0</v>
      </c>
      <c r="AF177" s="118"/>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t="str">
        <f>" " &amp; TEXT(AE177,"#0.00%") &amp; " "</f>
        <v xml:space="preserve"> 0.00% </v>
      </c>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t="str">
        <f>"    " &amp; "전환 및 배포" &amp; " " &amp; IF(P177="","",TEXT(P177,"M/D-")) &amp; IF(Q177="","",TEXT(Q177,"M/D")) &amp; " "</f>
        <v xml:space="preserve">    전환 및 배포 12/21-6/16 </v>
      </c>
      <c r="CF177" s="119"/>
      <c r="CG177" s="119"/>
    </row>
    <row r="178" spans="1:85" ht="12" customHeight="1" outlineLevel="2">
      <c r="A178" s="101"/>
      <c r="B178" s="101" t="s">
        <v>36</v>
      </c>
      <c r="C178" s="101">
        <v>3</v>
      </c>
      <c r="D178" s="116" t="s">
        <v>345</v>
      </c>
      <c r="E178" s="102"/>
      <c r="F178" s="102"/>
      <c r="G178" s="102" t="s">
        <v>346</v>
      </c>
      <c r="H178" s="102"/>
      <c r="I178" s="102"/>
      <c r="J178" s="102"/>
      <c r="K178" s="102"/>
      <c r="L178" s="102"/>
      <c r="M178" s="102"/>
      <c r="N178" s="102"/>
      <c r="O178" s="214"/>
      <c r="P178" s="103">
        <v>46377</v>
      </c>
      <c r="Q178" s="103">
        <v>46415</v>
      </c>
      <c r="R178" s="102"/>
      <c r="S178" s="104">
        <v>17</v>
      </c>
      <c r="T178" s="104">
        <v>0</v>
      </c>
      <c r="U178" s="104">
        <v>27</v>
      </c>
      <c r="V178" s="104">
        <v>0</v>
      </c>
      <c r="W178" s="103"/>
      <c r="X178" s="103"/>
      <c r="Y178" s="105">
        <v>0</v>
      </c>
      <c r="Z178" s="106">
        <v>0</v>
      </c>
      <c r="AA178" s="104"/>
      <c r="AB178" s="102"/>
      <c r="AC178" s="102"/>
      <c r="AD178" s="281">
        <v>0</v>
      </c>
      <c r="AE178" s="283">
        <v>0</v>
      </c>
      <c r="AF178" s="118"/>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t="str">
        <f>" " &amp; TEXT(AE178,"#0.00%") &amp; " "</f>
        <v xml:space="preserve"> 0.00% </v>
      </c>
      <c r="BG178" s="119"/>
      <c r="BH178" s="119"/>
      <c r="BI178" s="119"/>
      <c r="BJ178" s="119"/>
      <c r="BK178" s="119" t="str">
        <f>"     " &amp; "1차 전환 및 배포" &amp; " " &amp; IF(P178="","",TEXT(P178,"M/D-")) &amp; IF(Q178="","",TEXT(Q178,"M/D")) &amp; " "</f>
        <v xml:space="preserve">     1차 전환 및 배포 12/21-1/28 </v>
      </c>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row>
    <row r="179" spans="1:85" ht="12" customHeight="1" outlineLevel="3">
      <c r="A179" s="101"/>
      <c r="B179" s="101"/>
      <c r="C179" s="101">
        <v>4</v>
      </c>
      <c r="D179" s="116" t="s">
        <v>347</v>
      </c>
      <c r="E179" s="102"/>
      <c r="F179" s="102"/>
      <c r="G179" s="102"/>
      <c r="H179" s="102" t="s">
        <v>348</v>
      </c>
      <c r="I179" s="102"/>
      <c r="J179" s="102"/>
      <c r="K179" s="102"/>
      <c r="L179" s="102"/>
      <c r="M179" s="102"/>
      <c r="N179" s="102"/>
      <c r="O179" s="214"/>
      <c r="P179" s="103">
        <v>46377</v>
      </c>
      <c r="Q179" s="103">
        <v>46381</v>
      </c>
      <c r="R179" s="102"/>
      <c r="S179" s="104">
        <v>4</v>
      </c>
      <c r="T179" s="104">
        <v>0</v>
      </c>
      <c r="U179" s="104">
        <v>4</v>
      </c>
      <c r="V179" s="104">
        <v>0</v>
      </c>
      <c r="W179" s="103"/>
      <c r="X179" s="103"/>
      <c r="Y179" s="105"/>
      <c r="Z179" s="106">
        <v>0</v>
      </c>
      <c r="AA179" s="104">
        <v>1</v>
      </c>
      <c r="AB179" s="102"/>
      <c r="AC179" s="102"/>
      <c r="AD179" s="281">
        <v>0</v>
      </c>
      <c r="AE179" s="282">
        <v>0</v>
      </c>
      <c r="AF179" s="118"/>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t="str">
        <f>" " &amp; TEXT(AE179,"#0.00%") &amp; " " &amp; "1차 데이터베이스이관" &amp; " " &amp; IF(P179="","",TEXT(P179,"M/D-")) &amp; IF(Q179="","",TEXT(Q179,"M/D")) &amp; " "</f>
        <v xml:space="preserve"> 0.00% 1차 데이터베이스이관 12/21-12/25 </v>
      </c>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row>
    <row r="180" spans="1:85" ht="12" customHeight="1" outlineLevel="3">
      <c r="A180" s="101"/>
      <c r="B180" s="101"/>
      <c r="C180" s="101">
        <v>4</v>
      </c>
      <c r="D180" s="116" t="s">
        <v>349</v>
      </c>
      <c r="E180" s="102"/>
      <c r="F180" s="102"/>
      <c r="G180" s="102"/>
      <c r="H180" s="102" t="s">
        <v>350</v>
      </c>
      <c r="I180" s="102"/>
      <c r="J180" s="102"/>
      <c r="K180" s="102"/>
      <c r="L180" s="102"/>
      <c r="M180" s="102"/>
      <c r="N180" s="102"/>
      <c r="O180" s="214"/>
      <c r="P180" s="103">
        <v>46377</v>
      </c>
      <c r="Q180" s="103">
        <v>46381</v>
      </c>
      <c r="R180" s="102"/>
      <c r="S180" s="104">
        <v>4</v>
      </c>
      <c r="T180" s="104">
        <v>0</v>
      </c>
      <c r="U180" s="104">
        <v>4</v>
      </c>
      <c r="V180" s="104">
        <v>0</v>
      </c>
      <c r="W180" s="103"/>
      <c r="X180" s="103"/>
      <c r="Y180" s="105"/>
      <c r="Z180" s="106">
        <v>0</v>
      </c>
      <c r="AA180" s="104"/>
      <c r="AB180" s="102"/>
      <c r="AC180" s="102"/>
      <c r="AD180" s="281">
        <v>0</v>
      </c>
      <c r="AE180" s="282">
        <v>0</v>
      </c>
      <c r="AF180" s="118"/>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t="str">
        <f>" " &amp; TEXT(AE180,"#0.00%") &amp; " " &amp; "1차 시스템 이관" &amp; " " &amp; IF(P180="","",TEXT(P180,"M/D-")) &amp; IF(Q180="","",TEXT(Q180,"M/D")) &amp; " "</f>
        <v xml:space="preserve"> 0.00% 1차 시스템 이관 12/21-12/25 </v>
      </c>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row>
    <row r="181" spans="1:85" ht="12" customHeight="1" outlineLevel="3">
      <c r="A181" s="101"/>
      <c r="B181" s="101"/>
      <c r="C181" s="101">
        <v>4</v>
      </c>
      <c r="D181" s="116" t="s">
        <v>351</v>
      </c>
      <c r="E181" s="102"/>
      <c r="F181" s="102"/>
      <c r="G181" s="102"/>
      <c r="H181" s="102" t="s">
        <v>352</v>
      </c>
      <c r="I181" s="102"/>
      <c r="J181" s="102"/>
      <c r="K181" s="102"/>
      <c r="L181" s="102"/>
      <c r="M181" s="102"/>
      <c r="N181" s="102"/>
      <c r="O181" s="214"/>
      <c r="P181" s="103">
        <v>46405</v>
      </c>
      <c r="Q181" s="103">
        <v>46415</v>
      </c>
      <c r="R181" s="102"/>
      <c r="S181" s="104">
        <v>9</v>
      </c>
      <c r="T181" s="104">
        <v>0</v>
      </c>
      <c r="U181" s="104">
        <v>9</v>
      </c>
      <c r="V181" s="104">
        <v>0</v>
      </c>
      <c r="W181" s="103"/>
      <c r="X181" s="103"/>
      <c r="Y181" s="105"/>
      <c r="Z181" s="106">
        <v>0</v>
      </c>
      <c r="AA181" s="104"/>
      <c r="AB181" s="102"/>
      <c r="AC181" s="102"/>
      <c r="AD181" s="281">
        <v>0</v>
      </c>
      <c r="AE181" s="282">
        <v>0</v>
      </c>
      <c r="AF181" s="118"/>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t="str">
        <f>" " &amp; TEXT(AE181,"#0.00%") &amp; " " &amp; "1차 앱 스토어 등록" &amp; " " &amp; IF(P181="","",TEXT(P181,"M/D-")) &amp; IF(Q181="","",TEXT(Q181,"M/D")) &amp; " "</f>
        <v xml:space="preserve"> 0.00% 1차 앱 스토어 등록 1/18-1/28 </v>
      </c>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row>
    <row r="182" spans="1:85" ht="12" customHeight="1" outlineLevel="2">
      <c r="A182" s="101"/>
      <c r="B182" s="101" t="s">
        <v>36</v>
      </c>
      <c r="C182" s="101">
        <v>3</v>
      </c>
      <c r="D182" s="116" t="s">
        <v>353</v>
      </c>
      <c r="E182" s="102"/>
      <c r="F182" s="102"/>
      <c r="G182" s="102" t="s">
        <v>354</v>
      </c>
      <c r="H182" s="102"/>
      <c r="I182" s="102"/>
      <c r="J182" s="102"/>
      <c r="K182" s="102"/>
      <c r="L182" s="102"/>
      <c r="M182" s="102"/>
      <c r="N182" s="102"/>
      <c r="O182" s="214"/>
      <c r="P182" s="103">
        <v>46545</v>
      </c>
      <c r="Q182" s="103">
        <v>46554</v>
      </c>
      <c r="R182" s="102"/>
      <c r="S182" s="104">
        <v>13</v>
      </c>
      <c r="T182" s="104">
        <v>0</v>
      </c>
      <c r="U182" s="104">
        <v>8</v>
      </c>
      <c r="V182" s="104">
        <v>0</v>
      </c>
      <c r="W182" s="103"/>
      <c r="X182" s="103"/>
      <c r="Y182" s="105">
        <v>0</v>
      </c>
      <c r="Z182" s="106">
        <v>0</v>
      </c>
      <c r="AA182" s="104"/>
      <c r="AB182" s="102"/>
      <c r="AC182" s="102"/>
      <c r="AD182" s="281">
        <v>0</v>
      </c>
      <c r="AE182" s="283">
        <v>0</v>
      </c>
      <c r="AF182" s="118"/>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t="str">
        <f>" " &amp; TEXT(AE182,"#0.00%") &amp; " " &amp; "2차 전환 및 배포" &amp; " " &amp; IF(P182="","",TEXT(P182,"M/D-")) &amp; IF(Q182="","",TEXT(Q182,"M/D")) &amp; " "</f>
        <v xml:space="preserve"> 0.00% 2차 전환 및 배포 6/7-6/16 </v>
      </c>
      <c r="CE182" s="119"/>
      <c r="CF182" s="119"/>
      <c r="CG182" s="119"/>
    </row>
    <row r="183" spans="1:85" ht="12" customHeight="1" outlineLevel="3">
      <c r="A183" s="101"/>
      <c r="B183" s="101"/>
      <c r="C183" s="101">
        <v>4</v>
      </c>
      <c r="D183" s="116" t="s">
        <v>355</v>
      </c>
      <c r="E183" s="102"/>
      <c r="F183" s="102"/>
      <c r="G183" s="102"/>
      <c r="H183" s="102" t="s">
        <v>356</v>
      </c>
      <c r="I183" s="102"/>
      <c r="J183" s="102"/>
      <c r="K183" s="102"/>
      <c r="L183" s="102"/>
      <c r="M183" s="102"/>
      <c r="N183" s="102"/>
      <c r="O183" s="214"/>
      <c r="P183" s="103">
        <v>46545</v>
      </c>
      <c r="Q183" s="103">
        <v>46549</v>
      </c>
      <c r="R183" s="102"/>
      <c r="S183" s="104">
        <v>5</v>
      </c>
      <c r="T183" s="104">
        <v>0</v>
      </c>
      <c r="U183" s="104">
        <v>5</v>
      </c>
      <c r="V183" s="104">
        <v>0</v>
      </c>
      <c r="W183" s="103"/>
      <c r="X183" s="103"/>
      <c r="Y183" s="105"/>
      <c r="Z183" s="106">
        <v>0</v>
      </c>
      <c r="AA183" s="104">
        <v>1</v>
      </c>
      <c r="AB183" s="102"/>
      <c r="AC183" s="102"/>
      <c r="AD183" s="281">
        <v>0</v>
      </c>
      <c r="AE183" s="282">
        <v>0</v>
      </c>
      <c r="AF183" s="118"/>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t="str">
        <f>" " &amp; TEXT(AE183,"#0.00%") &amp; " " &amp; "2차 데이터베이스이관" &amp; " " &amp; IF(P183="","",TEXT(P183,"M/D-")) &amp; IF(Q183="","",TEXT(Q183,"M/D")) &amp; " "</f>
        <v xml:space="preserve"> 0.00% 2차 데이터베이스이관 6/7-6/11 </v>
      </c>
      <c r="CE183" s="119"/>
      <c r="CF183" s="119"/>
      <c r="CG183" s="119"/>
    </row>
    <row r="184" spans="1:85" ht="12" customHeight="1" outlineLevel="3">
      <c r="A184" s="101"/>
      <c r="B184" s="101"/>
      <c r="C184" s="101">
        <v>4</v>
      </c>
      <c r="D184" s="116" t="s">
        <v>357</v>
      </c>
      <c r="E184" s="102"/>
      <c r="F184" s="102"/>
      <c r="G184" s="102"/>
      <c r="H184" s="102" t="s">
        <v>358</v>
      </c>
      <c r="I184" s="102"/>
      <c r="J184" s="102"/>
      <c r="K184" s="102"/>
      <c r="L184" s="102"/>
      <c r="M184" s="102"/>
      <c r="N184" s="102"/>
      <c r="O184" s="214"/>
      <c r="P184" s="103">
        <v>46545</v>
      </c>
      <c r="Q184" s="103">
        <v>46549</v>
      </c>
      <c r="R184" s="102"/>
      <c r="S184" s="104">
        <v>5</v>
      </c>
      <c r="T184" s="104">
        <v>0</v>
      </c>
      <c r="U184" s="104">
        <v>5</v>
      </c>
      <c r="V184" s="104">
        <v>0</v>
      </c>
      <c r="W184" s="103"/>
      <c r="X184" s="103"/>
      <c r="Y184" s="105"/>
      <c r="Z184" s="106">
        <v>0</v>
      </c>
      <c r="AA184" s="104"/>
      <c r="AB184" s="102"/>
      <c r="AC184" s="102"/>
      <c r="AD184" s="281">
        <v>0</v>
      </c>
      <c r="AE184" s="282">
        <v>0</v>
      </c>
      <c r="AF184" s="118"/>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t="str">
        <f>" " &amp; TEXT(AE184,"#0.00%") &amp; " " &amp; "2차 시스템 이관" &amp; " " &amp; IF(P184="","",TEXT(P184,"M/D-")) &amp; IF(Q184="","",TEXT(Q184,"M/D")) &amp; " "</f>
        <v xml:space="preserve"> 0.00% 2차 시스템 이관 6/7-6/11 </v>
      </c>
      <c r="CE184" s="119"/>
      <c r="CF184" s="119"/>
      <c r="CG184" s="119"/>
    </row>
    <row r="185" spans="1:85" ht="12" customHeight="1" outlineLevel="3">
      <c r="A185" s="101"/>
      <c r="B185" s="101"/>
      <c r="C185" s="101">
        <v>4</v>
      </c>
      <c r="D185" s="116" t="s">
        <v>359</v>
      </c>
      <c r="E185" s="102"/>
      <c r="F185" s="102"/>
      <c r="G185" s="102"/>
      <c r="H185" s="289" t="s">
        <v>360</v>
      </c>
      <c r="I185" s="289"/>
      <c r="J185" s="289"/>
      <c r="K185" s="289"/>
      <c r="L185" s="289"/>
      <c r="M185" s="289"/>
      <c r="N185" s="289"/>
      <c r="O185" s="290"/>
      <c r="P185" s="291">
        <v>46552</v>
      </c>
      <c r="Q185" s="291">
        <v>46554</v>
      </c>
      <c r="R185" s="102"/>
      <c r="S185" s="104">
        <v>3</v>
      </c>
      <c r="T185" s="104">
        <v>0</v>
      </c>
      <c r="U185" s="104">
        <v>3</v>
      </c>
      <c r="V185" s="104">
        <v>0</v>
      </c>
      <c r="W185" s="103"/>
      <c r="X185" s="103"/>
      <c r="Y185" s="105"/>
      <c r="Z185" s="106">
        <v>0</v>
      </c>
      <c r="AA185" s="104"/>
      <c r="AB185" s="102"/>
      <c r="AC185" s="102"/>
      <c r="AD185" s="281">
        <v>0</v>
      </c>
      <c r="AE185" s="282">
        <v>0</v>
      </c>
      <c r="AF185" s="118"/>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t="str">
        <f>" " &amp; TEXT(AE185,"#0.00%") &amp; " " &amp; "2차 앱 스토어 등록" &amp; " " &amp; IF(P185="","",TEXT(P185,"M/D-")) &amp; IF(Q185="","",TEXT(Q185,"M/D")) &amp; " "</f>
        <v xml:space="preserve"> 0.00% 2차 앱 스토어 등록 6/14-6/16 </v>
      </c>
      <c r="CF185" s="119"/>
      <c r="CG185" s="119"/>
    </row>
    <row r="186" spans="1:85">
      <c r="A186" s="272"/>
      <c r="B186" s="272"/>
      <c r="C186" s="272"/>
      <c r="D186" s="273"/>
      <c r="E186" s="274"/>
      <c r="F186" s="274"/>
      <c r="G186" s="274"/>
      <c r="H186" s="274"/>
      <c r="I186" s="274"/>
      <c r="J186" s="274"/>
      <c r="K186" s="274"/>
      <c r="L186" s="274"/>
      <c r="M186" s="274"/>
      <c r="N186" s="274"/>
      <c r="O186" s="273"/>
      <c r="P186" s="275"/>
      <c r="Q186" s="275"/>
      <c r="R186" s="274"/>
      <c r="S186" s="276"/>
      <c r="T186" s="276"/>
      <c r="U186" s="276"/>
      <c r="V186" s="276"/>
      <c r="W186" s="275"/>
      <c r="X186" s="275"/>
      <c r="Y186" s="277"/>
      <c r="Z186" s="278"/>
      <c r="AA186" s="276"/>
      <c r="AB186" s="274"/>
      <c r="AC186" s="274"/>
      <c r="AD186" s="279"/>
      <c r="AE186" s="280"/>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row>
    <row r="187" spans="1:85"/>
  </sheetData>
  <mergeCells count="50">
    <mergeCell ref="CB3:CE3"/>
    <mergeCell ref="CB2:CE2"/>
    <mergeCell ref="CF3:CI3"/>
    <mergeCell ref="CF2:CI2"/>
    <mergeCell ref="AJ3:AM3"/>
    <mergeCell ref="AN3:AQ3"/>
    <mergeCell ref="AN2:AQ2"/>
    <mergeCell ref="AV3:AY3"/>
    <mergeCell ref="AV2:AY2"/>
    <mergeCell ref="AZ3:BC3"/>
    <mergeCell ref="AZ2:BC2"/>
    <mergeCell ref="BP3:BS3"/>
    <mergeCell ref="BP2:BS2"/>
    <mergeCell ref="BT3:BW3"/>
    <mergeCell ref="BT2:BW2"/>
    <mergeCell ref="BX3:CA3"/>
    <mergeCell ref="BX2:CA2"/>
    <mergeCell ref="BD3:BG3"/>
    <mergeCell ref="BD2:BG2"/>
    <mergeCell ref="BH3:BK3"/>
    <mergeCell ref="BH2:BK2"/>
    <mergeCell ref="BL3:BO3"/>
    <mergeCell ref="BL2:BO2"/>
    <mergeCell ref="AD3:AD4"/>
    <mergeCell ref="AE3:AE4"/>
    <mergeCell ref="AC3:AC4"/>
    <mergeCell ref="B3:B4"/>
    <mergeCell ref="AA3:AA4"/>
    <mergeCell ref="P3:P4"/>
    <mergeCell ref="R3:R4"/>
    <mergeCell ref="T3:T4"/>
    <mergeCell ref="AB3:AB4"/>
    <mergeCell ref="X3:X4"/>
    <mergeCell ref="Z3:Z4"/>
    <mergeCell ref="A3:A4"/>
    <mergeCell ref="D3:D4"/>
    <mergeCell ref="U3:U4"/>
    <mergeCell ref="W3:W4"/>
    <mergeCell ref="C3:C4"/>
    <mergeCell ref="O3:O4"/>
    <mergeCell ref="V3:V4"/>
    <mergeCell ref="Q3:Q4"/>
    <mergeCell ref="E3:N4"/>
    <mergeCell ref="S3:S4"/>
    <mergeCell ref="Y3:Y4"/>
    <mergeCell ref="AR3:AU3"/>
    <mergeCell ref="AF2:AI2"/>
    <mergeCell ref="AJ2:AM2"/>
    <mergeCell ref="AF3:AI3"/>
    <mergeCell ref="AR2:AU2"/>
  </mergeCells>
  <phoneticPr fontId="1" type="noConversion"/>
  <conditionalFormatting sqref="D5:AD185">
    <cfRule type="expression" dxfId="0" priority="1">
      <formula>($B5="G")</formula>
    </cfRule>
  </conditionalFormatting>
  <hyperlinks>
    <hyperlink ref="AF1:BJ1" r:id="rId1" display="https://xlworks.net/xlgantt-project-scheduler/" xr:uid="{6D933353-AD49-4CB1-AC53-506C3293D3DD}"/>
  </hyperlinks>
  <pageMargins left="0.19685039370078741" right="0.23622047244094491" top="0.43307086614173229" bottom="0.23622047244094491" header="0.23622047244094491" footer="0.19685039370078741"/>
  <pageSetup paperSize="9" scale="24" orientation="landscape" r:id="rId2"/>
  <headerFooter alignWithMargins="0">
    <oddFooter>&amp;L&amp;"-,보통"&amp;9 XLGantt ©http://xlworks.net&amp;C&amp;"-,보통"&amp;9 &amp;P/&amp;N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40.625" style="57" customWidth="1"/>
    <col min="2" max="2" width="13.125" style="55" customWidth="1"/>
    <col min="3" max="3" width="9.875" style="59" customWidth="1"/>
    <col min="4" max="4" width="31.375" style="59" customWidth="1"/>
    <col min="5" max="6" width="14.125" style="59" customWidth="1"/>
    <col min="7" max="7" width="28.375" style="59" customWidth="1"/>
    <col min="8" max="9" width="10" style="59" customWidth="1"/>
    <col min="10" max="10" width="8.875" style="59" bestFit="1" customWidth="1"/>
    <col min="11" max="22" width="10" style="59" customWidth="1"/>
    <col min="23" max="23" width="10" style="59" hidden="1" customWidth="1"/>
    <col min="24" max="26" width="10" style="59" customWidth="1"/>
    <col min="27" max="27" width="0" style="59" hidden="1"/>
    <col min="28" max="28" width="10" style="59" customWidth="1"/>
    <col min="29" max="16384" width="10" style="59"/>
  </cols>
  <sheetData>
    <row r="1" spans="1:17" s="4" customFormat="1" ht="36.950000000000003" customHeight="1">
      <c r="A1" s="1" t="s">
        <v>1824</v>
      </c>
      <c r="B1" s="2"/>
      <c r="C1" s="2"/>
      <c r="D1" s="2"/>
      <c r="E1" s="2"/>
      <c r="F1" s="2"/>
      <c r="G1" s="2"/>
      <c r="H1" s="2"/>
      <c r="I1" s="2"/>
      <c r="J1" s="2"/>
      <c r="K1" s="2"/>
      <c r="L1" s="259"/>
      <c r="M1" s="260"/>
      <c r="N1" s="260"/>
      <c r="O1" s="3"/>
      <c r="P1" s="3"/>
      <c r="Q1" s="3"/>
    </row>
    <row r="2" spans="1:17" s="7" customFormat="1" ht="14.1" customHeight="1">
      <c r="A2" s="5" t="s">
        <v>410</v>
      </c>
      <c r="B2" s="6"/>
    </row>
    <row r="3" spans="1:17" s="7" customFormat="1" ht="14.1" customHeight="1">
      <c r="A3" s="5" t="s">
        <v>411</v>
      </c>
      <c r="B3" s="6"/>
    </row>
    <row r="4" spans="1:17" s="7" customFormat="1" ht="14.1" customHeight="1">
      <c r="A4" s="257"/>
      <c r="B4" s="258"/>
      <c r="C4" s="8"/>
      <c r="D4" s="9"/>
      <c r="E4" s="9"/>
      <c r="F4" s="9"/>
    </row>
    <row r="5" spans="1:17" s="15" customFormat="1" ht="14.1" customHeight="1">
      <c r="A5" s="10"/>
      <c r="B5" s="11"/>
      <c r="C5" s="12"/>
      <c r="D5" s="13"/>
      <c r="E5" s="14"/>
      <c r="F5" s="14"/>
      <c r="G5" s="14"/>
    </row>
    <row r="6" spans="1:17" s="15" customFormat="1" ht="14.1" customHeight="1">
      <c r="A6" s="16" t="s">
        <v>412</v>
      </c>
      <c r="B6" s="17">
        <v>2687</v>
      </c>
      <c r="C6" s="15" t="s">
        <v>413</v>
      </c>
      <c r="D6" s="256" t="s">
        <v>414</v>
      </c>
      <c r="E6" s="255"/>
      <c r="F6" s="255"/>
      <c r="G6" s="255"/>
    </row>
    <row r="7" spans="1:17" s="15" customFormat="1" ht="14.1" customHeight="1">
      <c r="A7" s="18"/>
      <c r="B7" s="19"/>
      <c r="C7" s="20"/>
      <c r="D7" s="21"/>
      <c r="E7" s="21"/>
      <c r="F7" s="21"/>
      <c r="G7" s="21"/>
    </row>
    <row r="8" spans="1:17" s="15" customFormat="1" ht="12.75" customHeight="1">
      <c r="A8" s="22"/>
      <c r="B8" s="23"/>
      <c r="D8" s="24"/>
      <c r="E8" s="24"/>
      <c r="F8" s="24"/>
      <c r="G8" s="24"/>
      <c r="J8" s="25"/>
    </row>
    <row r="9" spans="1:17" s="15" customFormat="1" ht="14.1" customHeight="1">
      <c r="A9" s="16" t="s">
        <v>415</v>
      </c>
      <c r="B9" s="17">
        <v>132</v>
      </c>
      <c r="C9" s="15" t="s">
        <v>413</v>
      </c>
      <c r="D9" s="261" t="s">
        <v>416</v>
      </c>
      <c r="E9" s="255"/>
      <c r="F9" s="255"/>
      <c r="G9" s="255"/>
    </row>
    <row r="10" spans="1:17" s="15" customFormat="1" ht="14.1" customHeight="1">
      <c r="A10" s="26"/>
      <c r="B10" s="19"/>
      <c r="C10" s="20"/>
      <c r="D10" s="27"/>
      <c r="E10" s="27"/>
      <c r="F10" s="27"/>
      <c r="G10" s="27"/>
    </row>
    <row r="11" spans="1:17" s="15" customFormat="1" ht="13.5" customHeight="1">
      <c r="A11" s="28"/>
      <c r="B11" s="23"/>
      <c r="D11" s="24"/>
      <c r="E11" s="24"/>
      <c r="F11" s="24"/>
      <c r="G11" s="24"/>
    </row>
    <row r="12" spans="1:17" s="15" customFormat="1" ht="12.75" customHeight="1">
      <c r="A12" s="29" t="s">
        <v>1825</v>
      </c>
      <c r="B12" s="17">
        <v>118.5</v>
      </c>
      <c r="C12" s="15" t="s">
        <v>413</v>
      </c>
      <c r="D12" s="261" t="s">
        <v>1826</v>
      </c>
      <c r="E12" s="255"/>
      <c r="F12" s="255"/>
      <c r="G12" s="255"/>
    </row>
    <row r="13" spans="1:17" s="32" customFormat="1" ht="14.1" customHeight="1">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419</v>
      </c>
      <c r="B15" s="17"/>
      <c r="C15" s="15" t="s">
        <v>413</v>
      </c>
      <c r="D15" s="254" t="s">
        <v>420</v>
      </c>
      <c r="E15" s="255"/>
      <c r="F15" s="255"/>
      <c r="G15" s="255"/>
    </row>
    <row r="16" spans="1:17" s="15" customFormat="1" ht="14.1" customHeight="1">
      <c r="A16" s="30"/>
      <c r="B16" s="36"/>
      <c r="C16" s="37"/>
      <c r="D16" s="27"/>
      <c r="E16" s="27"/>
      <c r="F16" s="27"/>
      <c r="G16" s="27"/>
    </row>
    <row r="17" spans="1:7" s="32" customFormat="1" ht="12.75" customHeight="1">
      <c r="A17" s="38"/>
      <c r="B17" s="34"/>
      <c r="C17" s="35"/>
      <c r="D17" s="24"/>
      <c r="E17" s="24"/>
      <c r="F17" s="24"/>
      <c r="G17" s="24"/>
    </row>
    <row r="18" spans="1:7" s="15" customFormat="1" ht="14.1" customHeight="1">
      <c r="A18" s="16" t="s">
        <v>421</v>
      </c>
      <c r="B18" s="39">
        <v>4.9125418682545587E-2</v>
      </c>
      <c r="D18" s="254" t="s">
        <v>422</v>
      </c>
      <c r="E18" s="255"/>
      <c r="F18" s="255"/>
      <c r="G18" s="255"/>
    </row>
    <row r="19" spans="1:7" s="15" customFormat="1" ht="14.1" customHeight="1">
      <c r="A19" s="40"/>
      <c r="B19" s="36"/>
      <c r="C19" s="37"/>
      <c r="D19" s="27"/>
      <c r="E19" s="27"/>
      <c r="F19" s="27"/>
      <c r="G19" s="27"/>
    </row>
    <row r="20" spans="1:7" s="15" customFormat="1" ht="12.75" customHeight="1">
      <c r="A20" s="41"/>
      <c r="B20" s="11"/>
      <c r="C20" s="12"/>
      <c r="D20" s="24"/>
      <c r="E20" s="24"/>
      <c r="F20" s="24"/>
      <c r="G20" s="24"/>
    </row>
    <row r="21" spans="1:7" s="15" customFormat="1" ht="14.1" customHeight="1">
      <c r="A21" s="16" t="s">
        <v>423</v>
      </c>
      <c r="B21" s="39">
        <v>4.410122813546706E-2</v>
      </c>
      <c r="D21" s="254" t="s">
        <v>424</v>
      </c>
      <c r="E21" s="255"/>
      <c r="F21" s="255"/>
      <c r="G21" s="255"/>
    </row>
    <row r="22" spans="1:7" s="15" customFormat="1" ht="14.1" customHeight="1">
      <c r="A22" s="42"/>
      <c r="B22" s="43"/>
      <c r="C22" s="44"/>
      <c r="D22" s="27"/>
      <c r="E22" s="27"/>
      <c r="F22" s="27"/>
      <c r="G22" s="27"/>
    </row>
    <row r="23" spans="1:7" s="15" customFormat="1" ht="13.5" customHeight="1">
      <c r="A23" s="45"/>
      <c r="B23" s="46"/>
      <c r="C23" s="47"/>
      <c r="D23" s="48"/>
      <c r="E23" s="48"/>
      <c r="F23" s="48"/>
      <c r="G23" s="48"/>
    </row>
    <row r="24" spans="1:7" s="15" customFormat="1" ht="14.1" customHeight="1">
      <c r="A24" s="16" t="s">
        <v>425</v>
      </c>
      <c r="B24" s="49">
        <f>ACTUAL_RATE-PLANNED_RATE</f>
        <v>-5.0241905470785261E-3</v>
      </c>
      <c r="D24" s="256" t="s">
        <v>426</v>
      </c>
      <c r="E24" s="255"/>
      <c r="F24" s="255"/>
      <c r="G24" s="255"/>
    </row>
    <row r="25" spans="1:7" s="15" customFormat="1" ht="14.1" customHeight="1">
      <c r="A25" s="50"/>
      <c r="B25" s="51"/>
      <c r="C25" s="52"/>
      <c r="D25" s="53"/>
      <c r="E25" s="53"/>
      <c r="F25" s="53"/>
      <c r="G25" s="53"/>
    </row>
    <row r="26" spans="1:7" s="56" customFormat="1">
      <c r="A26" s="54"/>
      <c r="B26" s="55"/>
    </row>
    <row r="27" spans="1:7">
      <c r="B27" s="58"/>
      <c r="G27" s="57"/>
    </row>
    <row r="28" spans="1:7">
      <c r="B28" s="179"/>
    </row>
    <row r="29" spans="1:7">
      <c r="B29" s="60"/>
    </row>
    <row r="30" spans="1:7">
      <c r="B30" s="61"/>
    </row>
  </sheetData>
  <mergeCells count="9">
    <mergeCell ref="D21:G21"/>
    <mergeCell ref="D24:G24"/>
    <mergeCell ref="D15:G15"/>
    <mergeCell ref="A4:B4"/>
    <mergeCell ref="L1:N1"/>
    <mergeCell ref="D18:G18"/>
    <mergeCell ref="D9:G9"/>
    <mergeCell ref="D12:G12"/>
    <mergeCell ref="D6:G6"/>
  </mergeCells>
  <phoneticPr fontId="1" type="noConversion"/>
  <conditionalFormatting sqref="J1">
    <cfRule type="expression" dxfId="1" priority="4">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2" right="0.70866141732283472" top="0.74803149606299213" bottom="0.74803149606299213" header="0.31496062992125978" footer="0.31496062992125978"/>
  <pageSetup paperSize="9" scale="32"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A1:L24"/>
  <sheetViews>
    <sheetView showGridLines="0" zoomScale="85" zoomScaleNormal="85" workbookViewId="0">
      <pane ySplit="6" topLeftCell="A7" activePane="bottomLeft" state="frozen"/>
      <selection pane="bottomLeft" activeCell="L5" sqref="L5"/>
    </sheetView>
  </sheetViews>
  <sheetFormatPr defaultColWidth="9.125" defaultRowHeight="15" outlineLevelRow="2"/>
  <cols>
    <col min="1" max="1" width="20.625" style="201" customWidth="1"/>
    <col min="2" max="2" width="8.125" style="201" bestFit="1" customWidth="1"/>
    <col min="3" max="3" width="18" style="201" bestFit="1" customWidth="1"/>
    <col min="4" max="5" width="10" style="201" bestFit="1" customWidth="1"/>
    <col min="6" max="6" width="9" style="202" bestFit="1" customWidth="1"/>
    <col min="7" max="9" width="9" style="201" bestFit="1" customWidth="1"/>
    <col min="10" max="10" width="7.875" style="201" bestFit="1" customWidth="1"/>
    <col min="11" max="11" width="9.125" style="201" customWidth="1"/>
    <col min="12" max="12" width="8.375" style="201" bestFit="1" customWidth="1"/>
    <col min="13" max="13" width="9.125" style="201" customWidth="1"/>
    <col min="14" max="16384" width="9.125" style="201"/>
  </cols>
  <sheetData>
    <row r="1" spans="1:12" ht="36.950000000000003" customHeight="1">
      <c r="A1" s="1" t="s">
        <v>427</v>
      </c>
    </row>
    <row r="2" spans="1:12">
      <c r="A2" s="201" t="s">
        <v>428</v>
      </c>
    </row>
    <row r="3" spans="1:12">
      <c r="A3" s="201" t="s">
        <v>429</v>
      </c>
    </row>
    <row r="6" spans="1:12" ht="48" customHeight="1">
      <c r="A6" s="183" t="s">
        <v>19</v>
      </c>
      <c r="B6" s="184" t="s">
        <v>15</v>
      </c>
      <c r="C6" s="184" t="s">
        <v>430</v>
      </c>
      <c r="D6" s="184" t="s">
        <v>431</v>
      </c>
      <c r="E6" s="184" t="s">
        <v>432</v>
      </c>
      <c r="F6" s="198" t="s">
        <v>433</v>
      </c>
      <c r="G6" s="184" t="s">
        <v>434</v>
      </c>
      <c r="H6" s="184" t="s">
        <v>435</v>
      </c>
      <c r="I6" s="184" t="s">
        <v>436</v>
      </c>
      <c r="J6" s="184" t="s">
        <v>437</v>
      </c>
      <c r="K6" s="184" t="s">
        <v>438</v>
      </c>
      <c r="L6" s="199" t="s">
        <v>439</v>
      </c>
    </row>
    <row r="7" spans="1:12" outlineLevel="2">
      <c r="A7" s="203" t="s">
        <v>440</v>
      </c>
      <c r="B7" s="204" t="s">
        <v>41</v>
      </c>
      <c r="C7" s="203" t="s">
        <v>42</v>
      </c>
      <c r="D7" s="62">
        <v>46196</v>
      </c>
      <c r="E7" s="62">
        <v>46200</v>
      </c>
      <c r="F7" s="202">
        <v>1</v>
      </c>
      <c r="G7" s="201">
        <v>4</v>
      </c>
      <c r="H7" s="201">
        <v>4</v>
      </c>
      <c r="I7" s="201">
        <v>4</v>
      </c>
      <c r="J7" s="202">
        <v>1</v>
      </c>
      <c r="K7" s="202">
        <v>1</v>
      </c>
      <c r="L7" s="202">
        <f t="shared" ref="L7:L22" si="0">K7-J7</f>
        <v>0</v>
      </c>
    </row>
    <row r="8" spans="1:12" outlineLevel="2">
      <c r="A8" s="203" t="s">
        <v>440</v>
      </c>
      <c r="B8" s="204" t="s">
        <v>45</v>
      </c>
      <c r="C8" s="203" t="s">
        <v>46</v>
      </c>
      <c r="D8" s="62">
        <v>46196</v>
      </c>
      <c r="E8" s="62">
        <v>46200</v>
      </c>
      <c r="F8" s="202">
        <v>1</v>
      </c>
      <c r="G8" s="201">
        <v>4</v>
      </c>
      <c r="H8" s="201">
        <v>4</v>
      </c>
      <c r="I8" s="201">
        <v>4</v>
      </c>
      <c r="J8" s="202">
        <v>1</v>
      </c>
      <c r="K8" s="202">
        <v>1</v>
      </c>
      <c r="L8" s="202">
        <f t="shared" si="0"/>
        <v>0</v>
      </c>
    </row>
    <row r="9" spans="1:12" outlineLevel="2">
      <c r="A9" s="203" t="s">
        <v>440</v>
      </c>
      <c r="B9" s="204" t="s">
        <v>48</v>
      </c>
      <c r="C9" s="203" t="s">
        <v>49</v>
      </c>
      <c r="D9" s="62">
        <v>46203</v>
      </c>
      <c r="E9" s="62">
        <v>46203</v>
      </c>
      <c r="F9" s="202">
        <v>0</v>
      </c>
      <c r="G9" s="201">
        <v>0</v>
      </c>
      <c r="H9" s="201">
        <v>0</v>
      </c>
      <c r="I9" s="201">
        <v>0</v>
      </c>
      <c r="J9" s="202">
        <v>1</v>
      </c>
      <c r="K9" s="202">
        <v>1</v>
      </c>
      <c r="L9" s="202">
        <f t="shared" si="0"/>
        <v>0</v>
      </c>
    </row>
    <row r="10" spans="1:12" outlineLevel="2">
      <c r="A10" s="203" t="s">
        <v>440</v>
      </c>
      <c r="B10" s="204" t="s">
        <v>52</v>
      </c>
      <c r="C10" s="203" t="s">
        <v>441</v>
      </c>
      <c r="D10" s="62">
        <v>46239</v>
      </c>
      <c r="E10" s="62">
        <v>46239</v>
      </c>
      <c r="F10" s="202">
        <v>1</v>
      </c>
      <c r="G10" s="201">
        <v>1</v>
      </c>
      <c r="H10" s="201">
        <v>1</v>
      </c>
      <c r="I10" s="201">
        <v>1</v>
      </c>
      <c r="J10" s="202">
        <v>1</v>
      </c>
      <c r="K10" s="202">
        <v>1</v>
      </c>
      <c r="L10" s="202">
        <f t="shared" si="0"/>
        <v>0</v>
      </c>
    </row>
    <row r="11" spans="1:12" outlineLevel="2">
      <c r="A11" s="203" t="s">
        <v>440</v>
      </c>
      <c r="B11" s="204" t="s">
        <v>55</v>
      </c>
      <c r="C11" s="203" t="s">
        <v>53</v>
      </c>
      <c r="D11" s="62">
        <v>46267</v>
      </c>
      <c r="E11" s="62">
        <v>46267</v>
      </c>
      <c r="F11" s="202">
        <v>1</v>
      </c>
      <c r="G11" s="201">
        <v>1</v>
      </c>
      <c r="H11" s="201">
        <v>0</v>
      </c>
      <c r="I11" s="201">
        <v>0</v>
      </c>
      <c r="J11" s="202">
        <v>0</v>
      </c>
      <c r="K11" s="202">
        <v>0</v>
      </c>
      <c r="L11" s="202">
        <f t="shared" si="0"/>
        <v>0</v>
      </c>
    </row>
    <row r="12" spans="1:12" outlineLevel="2">
      <c r="A12" s="203" t="s">
        <v>440</v>
      </c>
      <c r="B12" s="204" t="s">
        <v>57</v>
      </c>
      <c r="C12" s="203" t="s">
        <v>56</v>
      </c>
      <c r="D12" s="62">
        <v>46295</v>
      </c>
      <c r="E12" s="62">
        <v>46295</v>
      </c>
      <c r="F12" s="202">
        <v>1</v>
      </c>
      <c r="G12" s="201">
        <v>1</v>
      </c>
      <c r="H12" s="201">
        <v>0</v>
      </c>
      <c r="I12" s="201">
        <v>0</v>
      </c>
      <c r="J12" s="202">
        <v>0</v>
      </c>
      <c r="K12" s="202">
        <v>0</v>
      </c>
      <c r="L12" s="202">
        <f t="shared" si="0"/>
        <v>0</v>
      </c>
    </row>
    <row r="13" spans="1:12" outlineLevel="2">
      <c r="A13" s="203" t="s">
        <v>440</v>
      </c>
      <c r="B13" s="204" t="s">
        <v>59</v>
      </c>
      <c r="C13" s="203" t="s">
        <v>58</v>
      </c>
      <c r="D13" s="62">
        <v>46330</v>
      </c>
      <c r="E13" s="62">
        <v>46330</v>
      </c>
      <c r="F13" s="202">
        <v>1</v>
      </c>
      <c r="G13" s="201">
        <v>1</v>
      </c>
      <c r="H13" s="201">
        <v>0</v>
      </c>
      <c r="I13" s="201">
        <v>0</v>
      </c>
      <c r="J13" s="202">
        <v>0</v>
      </c>
      <c r="K13" s="202">
        <v>0</v>
      </c>
      <c r="L13" s="202">
        <f t="shared" si="0"/>
        <v>0</v>
      </c>
    </row>
    <row r="14" spans="1:12" outlineLevel="2">
      <c r="A14" s="203" t="s">
        <v>440</v>
      </c>
      <c r="B14" s="204" t="s">
        <v>61</v>
      </c>
      <c r="C14" s="203" t="s">
        <v>60</v>
      </c>
      <c r="D14" s="62">
        <v>46370</v>
      </c>
      <c r="E14" s="62">
        <v>46370</v>
      </c>
      <c r="F14" s="202">
        <v>1</v>
      </c>
      <c r="G14" s="201">
        <v>1</v>
      </c>
      <c r="H14" s="201">
        <v>0</v>
      </c>
      <c r="I14" s="201">
        <v>0</v>
      </c>
      <c r="J14" s="202">
        <v>0</v>
      </c>
      <c r="K14" s="202">
        <v>0</v>
      </c>
      <c r="L14" s="202">
        <f t="shared" si="0"/>
        <v>0</v>
      </c>
    </row>
    <row r="15" spans="1:12" outlineLevel="2">
      <c r="A15" s="203" t="s">
        <v>440</v>
      </c>
      <c r="B15" s="204" t="s">
        <v>63</v>
      </c>
      <c r="C15" s="203" t="s">
        <v>62</v>
      </c>
      <c r="D15" s="62">
        <v>46390</v>
      </c>
      <c r="E15" s="62">
        <v>46390</v>
      </c>
      <c r="F15" s="202">
        <v>1</v>
      </c>
      <c r="G15" s="201">
        <v>0</v>
      </c>
      <c r="H15" s="201">
        <v>0</v>
      </c>
      <c r="I15" s="201">
        <v>0</v>
      </c>
      <c r="J15" s="202">
        <v>0</v>
      </c>
      <c r="K15" s="202">
        <v>0</v>
      </c>
      <c r="L15" s="202">
        <f t="shared" si="0"/>
        <v>0</v>
      </c>
    </row>
    <row r="16" spans="1:12" outlineLevel="2">
      <c r="A16" s="203" t="s">
        <v>440</v>
      </c>
      <c r="B16" s="204" t="s">
        <v>65</v>
      </c>
      <c r="C16" s="203" t="s">
        <v>64</v>
      </c>
      <c r="D16" s="62">
        <v>46421</v>
      </c>
      <c r="E16" s="62">
        <v>46421</v>
      </c>
      <c r="F16" s="202">
        <v>1</v>
      </c>
      <c r="G16" s="201">
        <v>1</v>
      </c>
      <c r="H16" s="201">
        <v>0</v>
      </c>
      <c r="I16" s="201">
        <v>0</v>
      </c>
      <c r="J16" s="202">
        <v>0</v>
      </c>
      <c r="K16" s="202">
        <v>0</v>
      </c>
      <c r="L16" s="202">
        <f t="shared" si="0"/>
        <v>0</v>
      </c>
    </row>
    <row r="17" spans="1:12" outlineLevel="2">
      <c r="A17" s="203" t="s">
        <v>440</v>
      </c>
      <c r="B17" s="204" t="s">
        <v>67</v>
      </c>
      <c r="C17" s="203" t="s">
        <v>66</v>
      </c>
      <c r="D17" s="62">
        <v>46449</v>
      </c>
      <c r="E17" s="62">
        <v>46449</v>
      </c>
      <c r="F17" s="202">
        <v>1</v>
      </c>
      <c r="G17" s="201">
        <v>1</v>
      </c>
      <c r="H17" s="201">
        <v>0</v>
      </c>
      <c r="I17" s="201">
        <v>0</v>
      </c>
      <c r="J17" s="202">
        <v>0</v>
      </c>
      <c r="K17" s="202">
        <v>0</v>
      </c>
      <c r="L17" s="202">
        <f t="shared" si="0"/>
        <v>0</v>
      </c>
    </row>
    <row r="18" spans="1:12" outlineLevel="2">
      <c r="A18" s="203" t="s">
        <v>440</v>
      </c>
      <c r="B18" s="204" t="s">
        <v>69</v>
      </c>
      <c r="C18" s="203" t="s">
        <v>68</v>
      </c>
      <c r="D18" s="62">
        <v>46507</v>
      </c>
      <c r="E18" s="62">
        <v>46507</v>
      </c>
      <c r="F18" s="202">
        <v>1</v>
      </c>
      <c r="G18" s="201">
        <v>1</v>
      </c>
      <c r="H18" s="201">
        <v>0</v>
      </c>
      <c r="I18" s="201">
        <v>0</v>
      </c>
      <c r="J18" s="202">
        <v>0</v>
      </c>
      <c r="K18" s="202">
        <v>0</v>
      </c>
      <c r="L18" s="202">
        <f t="shared" si="0"/>
        <v>0</v>
      </c>
    </row>
    <row r="19" spans="1:12" outlineLevel="2">
      <c r="A19" s="203" t="s">
        <v>440</v>
      </c>
      <c r="B19" s="204" t="s">
        <v>71</v>
      </c>
      <c r="C19" s="203" t="s">
        <v>70</v>
      </c>
      <c r="D19" s="62">
        <v>46511</v>
      </c>
      <c r="E19" s="62">
        <v>46511</v>
      </c>
      <c r="F19" s="202">
        <v>1</v>
      </c>
      <c r="G19" s="201">
        <v>1</v>
      </c>
      <c r="H19" s="201">
        <v>0</v>
      </c>
      <c r="I19" s="201">
        <v>0</v>
      </c>
      <c r="J19" s="202">
        <v>0</v>
      </c>
      <c r="K19" s="202">
        <v>0</v>
      </c>
      <c r="L19" s="202">
        <f t="shared" si="0"/>
        <v>0</v>
      </c>
    </row>
    <row r="20" spans="1:12" outlineLevel="2">
      <c r="A20" s="203" t="s">
        <v>440</v>
      </c>
      <c r="B20" s="204" t="s">
        <v>73</v>
      </c>
      <c r="C20" s="203" t="s">
        <v>72</v>
      </c>
      <c r="D20" s="62">
        <v>46540</v>
      </c>
      <c r="E20" s="62">
        <v>46540</v>
      </c>
      <c r="F20" s="202">
        <v>1</v>
      </c>
      <c r="G20" s="201">
        <v>1</v>
      </c>
      <c r="H20" s="201">
        <v>0</v>
      </c>
      <c r="I20" s="201">
        <v>0</v>
      </c>
      <c r="J20" s="202">
        <v>0</v>
      </c>
      <c r="K20" s="202">
        <v>0</v>
      </c>
      <c r="L20" s="202">
        <f t="shared" si="0"/>
        <v>0</v>
      </c>
    </row>
    <row r="21" spans="1:12" outlineLevel="2">
      <c r="A21" s="203" t="s">
        <v>440</v>
      </c>
      <c r="B21" s="204" t="s">
        <v>442</v>
      </c>
      <c r="C21" s="203" t="s">
        <v>74</v>
      </c>
      <c r="D21" s="62">
        <v>46555</v>
      </c>
      <c r="E21" s="62">
        <v>46555</v>
      </c>
      <c r="F21" s="202">
        <v>1</v>
      </c>
      <c r="G21" s="201">
        <v>1</v>
      </c>
      <c r="H21" s="201">
        <v>0</v>
      </c>
      <c r="I21" s="201">
        <v>0</v>
      </c>
      <c r="J21" s="202">
        <v>0</v>
      </c>
      <c r="K21" s="202">
        <v>0</v>
      </c>
      <c r="L21" s="202">
        <f t="shared" si="0"/>
        <v>0</v>
      </c>
    </row>
    <row r="22" spans="1:12" outlineLevel="1">
      <c r="A22" s="205" t="s">
        <v>443</v>
      </c>
      <c r="B22" s="206"/>
      <c r="C22" s="207"/>
      <c r="D22" s="208"/>
      <c r="E22" s="208"/>
      <c r="F22" s="209"/>
      <c r="G22" s="210">
        <f>SUBTOTAL(9,G7:G21)</f>
        <v>19</v>
      </c>
      <c r="H22" s="210">
        <f>SUBTOTAL(9,H7:H21)</f>
        <v>9</v>
      </c>
      <c r="I22" s="210">
        <f>SUBTOTAL(9,I7:I21)</f>
        <v>9</v>
      </c>
      <c r="J22" s="209">
        <f>H22/G22</f>
        <v>0.47368421052631576</v>
      </c>
      <c r="K22" s="209">
        <f>I22/G22</f>
        <v>0.47368421052631576</v>
      </c>
      <c r="L22" s="209">
        <f t="shared" si="0"/>
        <v>0</v>
      </c>
    </row>
    <row r="23" spans="1:12" outlineLevel="1">
      <c r="J23" s="202"/>
      <c r="K23" s="202"/>
      <c r="L23" s="202"/>
    </row>
    <row r="24" spans="1:12" outlineLevel="1">
      <c r="A24" s="211" t="s">
        <v>444</v>
      </c>
      <c r="B24" s="210"/>
      <c r="C24" s="210"/>
      <c r="D24" s="210"/>
      <c r="E24" s="210"/>
      <c r="F24" s="209"/>
      <c r="G24" s="210">
        <f>SUBTOTAL(9,G7:G23)</f>
        <v>19</v>
      </c>
      <c r="H24" s="210">
        <f>SUBTOTAL(9,H7:H23)</f>
        <v>9</v>
      </c>
      <c r="I24" s="210">
        <f>SUBTOTAL(9,I7:I23)</f>
        <v>9</v>
      </c>
      <c r="J24" s="209">
        <f>H24/G24</f>
        <v>0.47368421052631576</v>
      </c>
      <c r="K24" s="209">
        <f>I24/G24</f>
        <v>0.47368421052631576</v>
      </c>
      <c r="L24" s="209">
        <f>K24-J24</f>
        <v>0</v>
      </c>
    </row>
  </sheetData>
  <phoneticPr fontId="1" type="noConversion"/>
  <hyperlinks>
    <hyperlink ref="B7" location="Schedule!$D$7" display="1.1.1" xr:uid="{00000000-0004-0000-0300-000000000000}"/>
    <hyperlink ref="B8" location="Schedule!$D$9" display="1.1.2.1" xr:uid="{00000000-0004-0000-0300-000001000000}"/>
    <hyperlink ref="B9" location="Schedule!$D$10" display="1.1.2.2" xr:uid="{00000000-0004-0000-0300-000002000000}"/>
    <hyperlink ref="B10" location="Schedule!$D$12" display="1.2.1" xr:uid="{00000000-0004-0000-0300-000003000000}"/>
    <hyperlink ref="B11" location="Schedule!$D$13" display="1.2.2" xr:uid="{00000000-0004-0000-0300-000004000000}"/>
    <hyperlink ref="B12" location="Schedule!$D$14" display="1.2.3" xr:uid="{00000000-0004-0000-0300-000005000000}"/>
    <hyperlink ref="B13" location="Schedule!$D$15" display="1.2.4" xr:uid="{00000000-0004-0000-0300-000006000000}"/>
    <hyperlink ref="B14" location="Schedule!$D$16" display="1.2.5" xr:uid="{00000000-0004-0000-0300-000007000000}"/>
    <hyperlink ref="B15" location="Schedule!$D$17" display="1.2.6" xr:uid="{00000000-0004-0000-0300-000008000000}"/>
    <hyperlink ref="B16" location="Schedule!$D$18" display="1.2.7" xr:uid="{00000000-0004-0000-0300-000009000000}"/>
    <hyperlink ref="B17" location="Schedule!$D$19" display="1.2.8" xr:uid="{00000000-0004-0000-0300-00000A000000}"/>
    <hyperlink ref="B18" location="Schedule!$D$20" display="1.2.9" xr:uid="{00000000-0004-0000-0300-00000B000000}"/>
    <hyperlink ref="B19" location="Schedule!$D$21" display="1.2.10" xr:uid="{00000000-0004-0000-0300-00000C000000}"/>
    <hyperlink ref="B20" location="Schedule!$D$22" display="1.2.11" xr:uid="{00000000-0004-0000-0300-00000D000000}"/>
    <hyperlink ref="B21" location="Schedule!$D$23" display="1.2.12" xr:uid="{00000000-0004-0000-0300-00000E000000}"/>
  </hyperlinks>
  <pageMargins left="0.7" right="0.7" top="0.75" bottom="0.75" header="0.3" footer="0.3"/>
  <pageSetup paperSize="9" orientation="portrait"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2" tint="-9.9978637043366805E-2"/>
  </sheetPr>
  <dimension ref="A1:K156"/>
  <sheetViews>
    <sheetView zoomScale="85" zoomScaleNormal="85" workbookViewId="0"/>
  </sheetViews>
  <sheetFormatPr defaultColWidth="8.875" defaultRowHeight="16.5"/>
  <cols>
    <col min="1" max="1" width="11.625" bestFit="1" customWidth="1"/>
    <col min="2" max="2" width="5.5" bestFit="1" customWidth="1"/>
    <col min="3" max="4" width="26.375" bestFit="1" customWidth="1"/>
    <col min="5" max="5" width="18.125" bestFit="1" customWidth="1"/>
    <col min="6" max="7" width="24.125" bestFit="1" customWidth="1"/>
    <col min="8" max="8" width="16.125" bestFit="1" customWidth="1"/>
    <col min="9" max="10" width="30.5" bestFit="1" customWidth="1"/>
    <col min="11" max="11" width="22.125" bestFit="1" customWidth="1"/>
  </cols>
  <sheetData>
    <row r="1" spans="1:11">
      <c r="A1" s="185" t="s">
        <v>445</v>
      </c>
      <c r="B1" s="185" t="s">
        <v>446</v>
      </c>
      <c r="C1" s="185" t="s">
        <v>447</v>
      </c>
      <c r="D1" s="185" t="s">
        <v>448</v>
      </c>
      <c r="E1" s="185" t="s">
        <v>449</v>
      </c>
      <c r="F1" s="185" t="s">
        <v>450</v>
      </c>
      <c r="G1" s="185" t="s">
        <v>451</v>
      </c>
      <c r="H1" s="185" t="s">
        <v>452</v>
      </c>
      <c r="I1" s="185" t="s">
        <v>453</v>
      </c>
      <c r="J1" s="185" t="s">
        <v>454</v>
      </c>
      <c r="K1" s="185" t="s">
        <v>455</v>
      </c>
    </row>
    <row r="2" spans="1:11">
      <c r="A2" s="186">
        <v>46086</v>
      </c>
      <c r="B2" s="187">
        <v>10</v>
      </c>
      <c r="C2" s="188">
        <v>3</v>
      </c>
      <c r="D2" s="188">
        <v>3</v>
      </c>
      <c r="E2" s="178">
        <v>1.1824990145841549E-2</v>
      </c>
      <c r="F2" s="188">
        <v>3</v>
      </c>
      <c r="G2" s="188">
        <v>3</v>
      </c>
      <c r="H2" s="178">
        <v>1.1824990145841549E-2</v>
      </c>
      <c r="I2" s="188">
        <v>0</v>
      </c>
      <c r="J2" s="188">
        <v>0</v>
      </c>
      <c r="K2" s="178">
        <v>0</v>
      </c>
    </row>
    <row r="3" spans="1:11">
      <c r="A3" s="186">
        <v>46087</v>
      </c>
      <c r="B3" s="187">
        <v>10</v>
      </c>
      <c r="C3" s="188">
        <v>1</v>
      </c>
      <c r="D3" s="188">
        <v>4</v>
      </c>
      <c r="E3" s="178">
        <v>1.5766653527788731E-2</v>
      </c>
      <c r="F3" s="188">
        <v>1</v>
      </c>
      <c r="G3" s="188">
        <v>4</v>
      </c>
      <c r="H3" s="178">
        <v>1.5766653527788731E-2</v>
      </c>
      <c r="I3" s="188">
        <v>0</v>
      </c>
      <c r="J3" s="188">
        <v>0</v>
      </c>
      <c r="K3" s="178">
        <v>0</v>
      </c>
    </row>
    <row r="4" spans="1:11">
      <c r="A4" s="186">
        <v>46088</v>
      </c>
      <c r="B4" s="187">
        <v>10</v>
      </c>
      <c r="C4" s="188">
        <v>0</v>
      </c>
      <c r="D4" s="188">
        <v>4</v>
      </c>
      <c r="E4" s="178">
        <v>1.5766653527788731E-2</v>
      </c>
      <c r="F4" s="188">
        <v>0</v>
      </c>
      <c r="G4" s="188">
        <v>4</v>
      </c>
      <c r="H4" s="178">
        <v>1.5766653527788731E-2</v>
      </c>
      <c r="I4" s="188">
        <v>0</v>
      </c>
      <c r="J4" s="188">
        <v>0</v>
      </c>
      <c r="K4" s="178">
        <v>0</v>
      </c>
    </row>
    <row r="5" spans="1:11">
      <c r="A5" s="186">
        <v>46089</v>
      </c>
      <c r="B5" s="187">
        <v>11</v>
      </c>
      <c r="C5" s="188">
        <v>0</v>
      </c>
      <c r="D5" s="188">
        <v>4</v>
      </c>
      <c r="E5" s="178">
        <v>1.5766653527788731E-2</v>
      </c>
      <c r="F5" s="188">
        <v>0</v>
      </c>
      <c r="G5" s="188">
        <v>4</v>
      </c>
      <c r="H5" s="178">
        <v>1.5766653527788731E-2</v>
      </c>
      <c r="I5" s="188">
        <v>0</v>
      </c>
      <c r="J5" s="188">
        <v>0</v>
      </c>
      <c r="K5" s="178">
        <v>0</v>
      </c>
    </row>
    <row r="6" spans="1:11">
      <c r="A6" s="186">
        <v>46090</v>
      </c>
      <c r="B6" s="187">
        <v>11</v>
      </c>
      <c r="C6" s="188">
        <v>1</v>
      </c>
      <c r="D6" s="188">
        <v>5</v>
      </c>
      <c r="E6" s="178">
        <v>1.9708316909735912E-2</v>
      </c>
      <c r="F6" s="188">
        <v>1</v>
      </c>
      <c r="G6" s="188">
        <v>5</v>
      </c>
      <c r="H6" s="178">
        <v>1.9708316909735912E-2</v>
      </c>
      <c r="I6" s="188">
        <v>0</v>
      </c>
      <c r="J6" s="188">
        <v>0</v>
      </c>
      <c r="K6" s="178">
        <v>0</v>
      </c>
    </row>
    <row r="7" spans="1:11">
      <c r="A7" s="186">
        <v>46091</v>
      </c>
      <c r="B7" s="187">
        <v>11</v>
      </c>
      <c r="C7" s="188">
        <v>1</v>
      </c>
      <c r="D7" s="188">
        <v>6</v>
      </c>
      <c r="E7" s="178">
        <v>2.3649980291683088E-2</v>
      </c>
      <c r="F7" s="188">
        <v>1</v>
      </c>
      <c r="G7" s="188">
        <v>6</v>
      </c>
      <c r="H7" s="178">
        <v>2.3649980291683088E-2</v>
      </c>
      <c r="I7" s="188">
        <v>0</v>
      </c>
      <c r="J7" s="188">
        <v>0</v>
      </c>
      <c r="K7" s="178">
        <v>0</v>
      </c>
    </row>
    <row r="8" spans="1:11">
      <c r="A8" s="186">
        <v>46092</v>
      </c>
      <c r="B8" s="187">
        <v>11</v>
      </c>
      <c r="C8" s="188">
        <v>1</v>
      </c>
      <c r="D8" s="188">
        <v>7</v>
      </c>
      <c r="E8" s="178">
        <v>2.7591643673630269E-2</v>
      </c>
      <c r="F8" s="188">
        <v>1</v>
      </c>
      <c r="G8" s="188">
        <v>7</v>
      </c>
      <c r="H8" s="178">
        <v>2.7591643673630269E-2</v>
      </c>
      <c r="I8" s="188">
        <v>0</v>
      </c>
      <c r="J8" s="188">
        <v>0</v>
      </c>
      <c r="K8" s="178">
        <v>0</v>
      </c>
    </row>
    <row r="9" spans="1:11">
      <c r="A9" s="186">
        <v>46093</v>
      </c>
      <c r="B9" s="187">
        <v>11</v>
      </c>
      <c r="C9" s="188">
        <v>2</v>
      </c>
      <c r="D9" s="188">
        <v>9</v>
      </c>
      <c r="E9" s="178">
        <v>3.5474970437524643E-2</v>
      </c>
      <c r="F9" s="188">
        <v>2</v>
      </c>
      <c r="G9" s="188">
        <v>9</v>
      </c>
      <c r="H9" s="178">
        <v>3.5474970437524643E-2</v>
      </c>
      <c r="I9" s="188">
        <v>0</v>
      </c>
      <c r="J9" s="188">
        <v>0</v>
      </c>
      <c r="K9" s="178">
        <v>0</v>
      </c>
    </row>
    <row r="10" spans="1:11">
      <c r="A10" s="186">
        <v>46094</v>
      </c>
      <c r="B10" s="187">
        <v>11</v>
      </c>
      <c r="C10" s="188">
        <v>2</v>
      </c>
      <c r="D10" s="188">
        <v>11</v>
      </c>
      <c r="E10" s="178">
        <v>4.3358297201418997E-2</v>
      </c>
      <c r="F10" s="188">
        <v>2</v>
      </c>
      <c r="G10" s="188">
        <v>11</v>
      </c>
      <c r="H10" s="178">
        <v>4.3358297201418997E-2</v>
      </c>
      <c r="I10" s="188">
        <v>0</v>
      </c>
      <c r="J10" s="188">
        <v>0</v>
      </c>
      <c r="K10" s="178">
        <v>0</v>
      </c>
    </row>
    <row r="11" spans="1:11">
      <c r="A11" s="186">
        <v>46095</v>
      </c>
      <c r="B11" s="187">
        <v>11</v>
      </c>
      <c r="C11" s="188">
        <v>0</v>
      </c>
      <c r="D11" s="188">
        <v>11</v>
      </c>
      <c r="E11" s="178">
        <v>4.3358297201418997E-2</v>
      </c>
      <c r="F11" s="188">
        <v>0</v>
      </c>
      <c r="G11" s="188">
        <v>11</v>
      </c>
      <c r="H11" s="178">
        <v>4.3358297201418997E-2</v>
      </c>
      <c r="I11" s="188">
        <v>0</v>
      </c>
      <c r="J11" s="188">
        <v>0</v>
      </c>
      <c r="K11" s="178">
        <v>0</v>
      </c>
    </row>
    <row r="12" spans="1:11">
      <c r="A12" s="186">
        <v>46096</v>
      </c>
      <c r="B12" s="187">
        <v>12</v>
      </c>
      <c r="C12" s="188">
        <v>0</v>
      </c>
      <c r="D12" s="188">
        <v>11</v>
      </c>
      <c r="E12" s="178">
        <v>4.3358297201418997E-2</v>
      </c>
      <c r="F12" s="188">
        <v>0</v>
      </c>
      <c r="G12" s="188">
        <v>11</v>
      </c>
      <c r="H12" s="178">
        <v>4.3358297201418997E-2</v>
      </c>
      <c r="I12" s="188">
        <v>0</v>
      </c>
      <c r="J12" s="188">
        <v>0</v>
      </c>
      <c r="K12" s="178">
        <v>0</v>
      </c>
    </row>
    <row r="13" spans="1:11">
      <c r="A13" s="186">
        <v>46097</v>
      </c>
      <c r="B13" s="187">
        <v>12</v>
      </c>
      <c r="C13" s="188">
        <v>2</v>
      </c>
      <c r="D13" s="188">
        <v>13</v>
      </c>
      <c r="E13" s="178">
        <v>5.1241623965313357E-2</v>
      </c>
      <c r="F13" s="188">
        <v>2</v>
      </c>
      <c r="G13" s="188">
        <v>13</v>
      </c>
      <c r="H13" s="178">
        <v>5.1241623965313357E-2</v>
      </c>
      <c r="I13" s="188">
        <v>0</v>
      </c>
      <c r="J13" s="188">
        <v>0</v>
      </c>
      <c r="K13" s="178">
        <v>0</v>
      </c>
    </row>
    <row r="14" spans="1:11">
      <c r="A14" s="186">
        <v>46098</v>
      </c>
      <c r="B14" s="187">
        <v>12</v>
      </c>
      <c r="C14" s="188">
        <v>1</v>
      </c>
      <c r="D14" s="188">
        <v>14</v>
      </c>
      <c r="E14" s="178">
        <v>5.5183287347260537E-2</v>
      </c>
      <c r="F14" s="188">
        <v>1</v>
      </c>
      <c r="G14" s="188">
        <v>14</v>
      </c>
      <c r="H14" s="178">
        <v>5.5183287347260537E-2</v>
      </c>
      <c r="I14" s="188">
        <v>0</v>
      </c>
      <c r="J14" s="188">
        <v>0</v>
      </c>
      <c r="K14" s="178">
        <v>0</v>
      </c>
    </row>
    <row r="15" spans="1:11">
      <c r="A15" s="186">
        <v>46099</v>
      </c>
      <c r="B15" s="187">
        <v>12</v>
      </c>
      <c r="C15" s="188">
        <v>1</v>
      </c>
      <c r="D15" s="188">
        <v>15</v>
      </c>
      <c r="E15" s="178">
        <v>5.9124950729207731E-2</v>
      </c>
      <c r="F15" s="188">
        <v>1</v>
      </c>
      <c r="G15" s="188">
        <v>15</v>
      </c>
      <c r="H15" s="178">
        <v>5.9124950729207731E-2</v>
      </c>
      <c r="I15" s="188">
        <v>0</v>
      </c>
      <c r="J15" s="188">
        <v>0</v>
      </c>
      <c r="K15" s="178">
        <v>0</v>
      </c>
    </row>
    <row r="16" spans="1:11">
      <c r="A16" s="186">
        <v>46100</v>
      </c>
      <c r="B16" s="187">
        <v>12</v>
      </c>
      <c r="C16" s="188">
        <v>2</v>
      </c>
      <c r="D16" s="188">
        <v>17</v>
      </c>
      <c r="E16" s="178">
        <v>6.7008277493102092E-2</v>
      </c>
      <c r="F16" s="188">
        <v>2</v>
      </c>
      <c r="G16" s="188">
        <v>17</v>
      </c>
      <c r="H16" s="178">
        <v>6.7008277493102092E-2</v>
      </c>
      <c r="I16" s="188">
        <v>0</v>
      </c>
      <c r="J16" s="188">
        <v>0</v>
      </c>
      <c r="K16" s="178">
        <v>0</v>
      </c>
    </row>
    <row r="17" spans="1:11">
      <c r="A17" s="186">
        <v>46101</v>
      </c>
      <c r="B17" s="187">
        <v>12</v>
      </c>
      <c r="C17" s="188">
        <v>2</v>
      </c>
      <c r="D17" s="188">
        <v>19</v>
      </c>
      <c r="E17" s="178">
        <v>7.4891604256996452E-2</v>
      </c>
      <c r="F17" s="188">
        <v>2</v>
      </c>
      <c r="G17" s="188">
        <v>19</v>
      </c>
      <c r="H17" s="178">
        <v>7.4891604256996452E-2</v>
      </c>
      <c r="I17" s="188">
        <v>0</v>
      </c>
      <c r="J17" s="188">
        <v>0</v>
      </c>
      <c r="K17" s="178">
        <v>0</v>
      </c>
    </row>
    <row r="18" spans="1:11">
      <c r="A18" s="186">
        <v>46102</v>
      </c>
      <c r="B18" s="187">
        <v>12</v>
      </c>
      <c r="C18" s="188">
        <v>0</v>
      </c>
      <c r="D18" s="188">
        <v>19</v>
      </c>
      <c r="E18" s="178">
        <v>7.4891604256996452E-2</v>
      </c>
      <c r="F18" s="188">
        <v>0</v>
      </c>
      <c r="G18" s="188">
        <v>19</v>
      </c>
      <c r="H18" s="178">
        <v>7.4891604256996452E-2</v>
      </c>
      <c r="I18" s="188">
        <v>0</v>
      </c>
      <c r="J18" s="188">
        <v>0</v>
      </c>
      <c r="K18" s="178">
        <v>0</v>
      </c>
    </row>
    <row r="19" spans="1:11">
      <c r="A19" s="186">
        <v>46103</v>
      </c>
      <c r="B19" s="187">
        <v>13</v>
      </c>
      <c r="C19" s="188">
        <v>0</v>
      </c>
      <c r="D19" s="188">
        <v>19</v>
      </c>
      <c r="E19" s="178">
        <v>7.4891604256996452E-2</v>
      </c>
      <c r="F19" s="188">
        <v>0</v>
      </c>
      <c r="G19" s="188">
        <v>19</v>
      </c>
      <c r="H19" s="178">
        <v>7.4891604256996452E-2</v>
      </c>
      <c r="I19" s="188">
        <v>0</v>
      </c>
      <c r="J19" s="188">
        <v>0</v>
      </c>
      <c r="K19" s="178">
        <v>0</v>
      </c>
    </row>
    <row r="20" spans="1:11">
      <c r="A20" s="186">
        <v>46104</v>
      </c>
      <c r="B20" s="187">
        <v>13</v>
      </c>
      <c r="C20" s="188">
        <v>2</v>
      </c>
      <c r="D20" s="188">
        <v>21</v>
      </c>
      <c r="E20" s="178">
        <v>8.2774931020890813E-2</v>
      </c>
      <c r="F20" s="188">
        <v>2</v>
      </c>
      <c r="G20" s="188">
        <v>21</v>
      </c>
      <c r="H20" s="178">
        <v>8.2774931020890813E-2</v>
      </c>
      <c r="I20" s="188">
        <v>0</v>
      </c>
      <c r="J20" s="188">
        <v>0</v>
      </c>
      <c r="K20" s="178">
        <v>0</v>
      </c>
    </row>
    <row r="21" spans="1:11">
      <c r="A21" s="186">
        <v>46105</v>
      </c>
      <c r="B21" s="187">
        <v>13</v>
      </c>
      <c r="C21" s="188">
        <v>2</v>
      </c>
      <c r="D21" s="188">
        <v>23</v>
      </c>
      <c r="E21" s="178">
        <v>9.0658257784785187E-2</v>
      </c>
      <c r="F21" s="188">
        <v>2</v>
      </c>
      <c r="G21" s="188">
        <v>23</v>
      </c>
      <c r="H21" s="178">
        <v>9.0658257784785187E-2</v>
      </c>
      <c r="I21" s="188">
        <v>0</v>
      </c>
      <c r="J21" s="188">
        <v>0</v>
      </c>
      <c r="K21" s="178">
        <v>0</v>
      </c>
    </row>
    <row r="22" spans="1:11">
      <c r="A22" s="186">
        <v>46106</v>
      </c>
      <c r="B22" s="187">
        <v>13</v>
      </c>
      <c r="C22" s="188">
        <v>2</v>
      </c>
      <c r="D22" s="188">
        <v>25</v>
      </c>
      <c r="E22" s="178">
        <v>9.8541584548679548E-2</v>
      </c>
      <c r="F22" s="188">
        <v>2</v>
      </c>
      <c r="G22" s="188">
        <v>25</v>
      </c>
      <c r="H22" s="178">
        <v>9.8541584548679548E-2</v>
      </c>
      <c r="I22" s="188">
        <v>0</v>
      </c>
      <c r="J22" s="188">
        <v>0</v>
      </c>
      <c r="K22" s="178">
        <v>0</v>
      </c>
    </row>
    <row r="23" spans="1:11">
      <c r="A23" s="186">
        <v>46107</v>
      </c>
      <c r="B23" s="187">
        <v>13</v>
      </c>
      <c r="C23" s="188">
        <v>5.7</v>
      </c>
      <c r="D23" s="188">
        <v>30.7</v>
      </c>
      <c r="E23" s="178">
        <v>0.1210090658257785</v>
      </c>
      <c r="F23" s="188">
        <v>5.19</v>
      </c>
      <c r="G23" s="188">
        <v>30.19</v>
      </c>
      <c r="H23" s="178">
        <v>0.1189988175009854</v>
      </c>
      <c r="I23" s="188">
        <v>0</v>
      </c>
      <c r="J23" s="188">
        <v>0</v>
      </c>
      <c r="K23" s="178">
        <v>0</v>
      </c>
    </row>
    <row r="24" spans="1:11">
      <c r="A24" s="186">
        <v>46108</v>
      </c>
      <c r="B24" s="187">
        <v>13</v>
      </c>
      <c r="C24" s="188">
        <v>4.7</v>
      </c>
      <c r="D24" s="188">
        <v>35.4</v>
      </c>
      <c r="E24" s="178">
        <v>0.1395348837209302</v>
      </c>
      <c r="F24" s="188">
        <v>4.1900000000000004</v>
      </c>
      <c r="G24" s="188">
        <v>34.380000000000003</v>
      </c>
      <c r="H24" s="178">
        <v>0.13551438707134411</v>
      </c>
      <c r="I24" s="188">
        <v>0</v>
      </c>
      <c r="J24" s="188">
        <v>0</v>
      </c>
      <c r="K24" s="178">
        <v>0</v>
      </c>
    </row>
    <row r="25" spans="1:11">
      <c r="A25" s="186">
        <v>46109</v>
      </c>
      <c r="B25" s="187">
        <v>13</v>
      </c>
      <c r="C25" s="188">
        <v>0</v>
      </c>
      <c r="D25" s="188">
        <v>35.4</v>
      </c>
      <c r="E25" s="178">
        <v>0.1395348837209302</v>
      </c>
      <c r="F25" s="188">
        <v>0</v>
      </c>
      <c r="G25" s="188">
        <v>34.380000000000003</v>
      </c>
      <c r="H25" s="178">
        <v>0.13551438707134411</v>
      </c>
      <c r="I25" s="188">
        <v>0</v>
      </c>
      <c r="J25" s="188">
        <v>0</v>
      </c>
      <c r="K25" s="178">
        <v>0</v>
      </c>
    </row>
    <row r="26" spans="1:11">
      <c r="A26" s="186">
        <v>46110</v>
      </c>
      <c r="B26" s="187">
        <v>14</v>
      </c>
      <c r="C26" s="188">
        <v>0</v>
      </c>
      <c r="D26" s="188">
        <v>35.4</v>
      </c>
      <c r="E26" s="178">
        <v>0.1395348837209302</v>
      </c>
      <c r="F26" s="188">
        <v>0</v>
      </c>
      <c r="G26" s="188">
        <v>34.380000000000003</v>
      </c>
      <c r="H26" s="178">
        <v>0.13551438707134411</v>
      </c>
      <c r="I26" s="188">
        <v>0</v>
      </c>
      <c r="J26" s="188">
        <v>0</v>
      </c>
      <c r="K26" s="178">
        <v>0</v>
      </c>
    </row>
    <row r="27" spans="1:11">
      <c r="A27" s="186">
        <v>46111</v>
      </c>
      <c r="B27" s="187">
        <v>14</v>
      </c>
      <c r="C27" s="188">
        <v>4.7</v>
      </c>
      <c r="D27" s="188">
        <v>40.1</v>
      </c>
      <c r="E27" s="178">
        <v>0.15806070161608199</v>
      </c>
      <c r="F27" s="188">
        <v>4.1900000000000004</v>
      </c>
      <c r="G27" s="188">
        <v>38.57</v>
      </c>
      <c r="H27" s="178">
        <v>0.1520299566417028</v>
      </c>
      <c r="I27" s="188">
        <v>0</v>
      </c>
      <c r="J27" s="188">
        <v>0</v>
      </c>
      <c r="K27" s="178">
        <v>0</v>
      </c>
    </row>
    <row r="28" spans="1:11">
      <c r="A28" s="186">
        <v>46112</v>
      </c>
      <c r="B28" s="187">
        <v>14</v>
      </c>
      <c r="C28" s="188">
        <v>1</v>
      </c>
      <c r="D28" s="188">
        <v>41.1</v>
      </c>
      <c r="E28" s="178">
        <v>0.1620023649980292</v>
      </c>
      <c r="F28" s="188">
        <v>1</v>
      </c>
      <c r="G28" s="188">
        <v>39.57</v>
      </c>
      <c r="H28" s="178">
        <v>0.15597162002364989</v>
      </c>
      <c r="I28" s="188">
        <v>0</v>
      </c>
      <c r="J28" s="188">
        <v>0</v>
      </c>
      <c r="K28" s="178">
        <v>0</v>
      </c>
    </row>
    <row r="29" spans="1:11">
      <c r="A29" s="186">
        <v>46113</v>
      </c>
      <c r="B29" s="187">
        <v>14</v>
      </c>
      <c r="C29" s="188">
        <v>1</v>
      </c>
      <c r="D29" s="188">
        <v>42.1</v>
      </c>
      <c r="E29" s="178">
        <v>0.16594402837997629</v>
      </c>
      <c r="F29" s="188">
        <v>1</v>
      </c>
      <c r="G29" s="188">
        <v>40.57</v>
      </c>
      <c r="H29" s="178">
        <v>0.1599132834055971</v>
      </c>
      <c r="I29" s="188">
        <v>0</v>
      </c>
      <c r="J29" s="188">
        <v>0</v>
      </c>
      <c r="K29" s="178">
        <v>0</v>
      </c>
    </row>
    <row r="30" spans="1:11">
      <c r="A30" s="186">
        <v>46114</v>
      </c>
      <c r="B30" s="187">
        <v>14</v>
      </c>
      <c r="C30" s="188">
        <v>2.2000000000000002</v>
      </c>
      <c r="D30" s="188">
        <v>44.3</v>
      </c>
      <c r="E30" s="178">
        <v>0.17461568782026021</v>
      </c>
      <c r="F30" s="188">
        <v>3.2</v>
      </c>
      <c r="G30" s="188">
        <v>43.77</v>
      </c>
      <c r="H30" s="178">
        <v>0.17252660622782809</v>
      </c>
      <c r="I30" s="188">
        <v>0</v>
      </c>
      <c r="J30" s="188">
        <v>0</v>
      </c>
      <c r="K30" s="178">
        <v>0</v>
      </c>
    </row>
    <row r="31" spans="1:11">
      <c r="A31" s="186">
        <v>46115</v>
      </c>
      <c r="B31" s="187">
        <v>14</v>
      </c>
      <c r="C31" s="188">
        <v>2</v>
      </c>
      <c r="D31" s="188">
        <v>46.3</v>
      </c>
      <c r="E31" s="178">
        <v>0.18249901458415449</v>
      </c>
      <c r="F31" s="188">
        <v>3</v>
      </c>
      <c r="G31" s="188">
        <v>46.77</v>
      </c>
      <c r="H31" s="178">
        <v>0.18435159637366971</v>
      </c>
      <c r="I31" s="188">
        <v>0</v>
      </c>
      <c r="J31" s="188">
        <v>0</v>
      </c>
      <c r="K31" s="178">
        <v>0</v>
      </c>
    </row>
    <row r="32" spans="1:11">
      <c r="A32" s="186">
        <v>46116</v>
      </c>
      <c r="B32" s="187">
        <v>14</v>
      </c>
      <c r="C32" s="188">
        <v>0</v>
      </c>
      <c r="D32" s="188">
        <v>46.3</v>
      </c>
      <c r="E32" s="178">
        <v>0.18249901458415449</v>
      </c>
      <c r="F32" s="188">
        <v>0</v>
      </c>
      <c r="G32" s="188">
        <v>46.77</v>
      </c>
      <c r="H32" s="178">
        <v>0.18435159637366971</v>
      </c>
      <c r="I32" s="188">
        <v>0</v>
      </c>
      <c r="J32" s="188">
        <v>0</v>
      </c>
      <c r="K32" s="178">
        <v>0</v>
      </c>
    </row>
    <row r="33" spans="1:11">
      <c r="A33" s="186">
        <v>46117</v>
      </c>
      <c r="B33" s="187">
        <v>15</v>
      </c>
      <c r="C33" s="188">
        <v>0</v>
      </c>
      <c r="D33" s="188">
        <v>46.3</v>
      </c>
      <c r="E33" s="178">
        <v>0.18249901458415449</v>
      </c>
      <c r="F33" s="188">
        <v>0</v>
      </c>
      <c r="G33" s="188">
        <v>46.77</v>
      </c>
      <c r="H33" s="178">
        <v>0.18435159637366971</v>
      </c>
      <c r="I33" s="188">
        <v>0</v>
      </c>
      <c r="J33" s="188">
        <v>0</v>
      </c>
      <c r="K33" s="178">
        <v>0</v>
      </c>
    </row>
    <row r="34" spans="1:11">
      <c r="A34" s="186">
        <v>46118</v>
      </c>
      <c r="B34" s="187">
        <v>15</v>
      </c>
      <c r="C34" s="188">
        <v>3</v>
      </c>
      <c r="D34" s="188">
        <v>49.3</v>
      </c>
      <c r="E34" s="178">
        <v>0.19432400472999611</v>
      </c>
      <c r="F34" s="188">
        <v>3</v>
      </c>
      <c r="G34" s="188">
        <v>49.77</v>
      </c>
      <c r="H34" s="178">
        <v>0.1961765865195112</v>
      </c>
      <c r="I34" s="188">
        <v>0</v>
      </c>
      <c r="J34" s="188">
        <v>0</v>
      </c>
      <c r="K34" s="178">
        <v>0</v>
      </c>
    </row>
    <row r="35" spans="1:11">
      <c r="A35" s="186">
        <v>46119</v>
      </c>
      <c r="B35" s="187">
        <v>15</v>
      </c>
      <c r="C35" s="188">
        <v>2</v>
      </c>
      <c r="D35" s="188">
        <v>51.3</v>
      </c>
      <c r="E35" s="178">
        <v>0.20220733149389039</v>
      </c>
      <c r="F35" s="188">
        <v>9.6999999999999993</v>
      </c>
      <c r="G35" s="188">
        <v>59.47</v>
      </c>
      <c r="H35" s="178">
        <v>0.23441072132439891</v>
      </c>
      <c r="I35" s="188">
        <v>0</v>
      </c>
      <c r="J35" s="188">
        <v>0</v>
      </c>
      <c r="K35" s="178">
        <v>0</v>
      </c>
    </row>
    <row r="36" spans="1:11">
      <c r="A36" s="186">
        <v>46120</v>
      </c>
      <c r="B36" s="187">
        <v>15</v>
      </c>
      <c r="C36" s="188">
        <v>2</v>
      </c>
      <c r="D36" s="188">
        <v>53.3</v>
      </c>
      <c r="E36" s="178">
        <v>0.21009065825778481</v>
      </c>
      <c r="F36" s="188">
        <v>0</v>
      </c>
      <c r="G36" s="188">
        <v>59.47</v>
      </c>
      <c r="H36" s="178">
        <v>0.23441072132439891</v>
      </c>
      <c r="I36" s="188">
        <v>0</v>
      </c>
      <c r="J36" s="188">
        <v>0</v>
      </c>
      <c r="K36" s="178">
        <v>0</v>
      </c>
    </row>
    <row r="37" spans="1:11">
      <c r="A37" s="186">
        <v>46121</v>
      </c>
      <c r="B37" s="187">
        <v>15</v>
      </c>
      <c r="C37" s="188">
        <v>2</v>
      </c>
      <c r="D37" s="188">
        <v>55.3</v>
      </c>
      <c r="E37" s="178">
        <v>0.2179739850216792</v>
      </c>
      <c r="F37" s="188">
        <v>0</v>
      </c>
      <c r="G37" s="188">
        <v>59.47</v>
      </c>
      <c r="H37" s="178">
        <v>0.23441072132439891</v>
      </c>
      <c r="I37" s="188">
        <v>0</v>
      </c>
      <c r="J37" s="188">
        <v>0</v>
      </c>
      <c r="K37" s="178">
        <v>0</v>
      </c>
    </row>
    <row r="38" spans="1:11">
      <c r="A38" s="186">
        <v>46122</v>
      </c>
      <c r="B38" s="187">
        <v>15</v>
      </c>
      <c r="C38" s="188">
        <v>2</v>
      </c>
      <c r="D38" s="188">
        <v>57.3</v>
      </c>
      <c r="E38" s="178">
        <v>0.2258573117855735</v>
      </c>
      <c r="F38" s="188">
        <v>0</v>
      </c>
      <c r="G38" s="188">
        <v>59.47</v>
      </c>
      <c r="H38" s="178">
        <v>0.23441072132439891</v>
      </c>
      <c r="I38" s="188">
        <v>0</v>
      </c>
      <c r="J38" s="188">
        <v>0</v>
      </c>
      <c r="K38" s="178">
        <v>0</v>
      </c>
    </row>
    <row r="39" spans="1:11">
      <c r="A39" s="186">
        <v>46123</v>
      </c>
      <c r="B39" s="187">
        <v>15</v>
      </c>
      <c r="C39" s="188">
        <v>0</v>
      </c>
      <c r="D39" s="188">
        <v>57.3</v>
      </c>
      <c r="E39" s="178">
        <v>0.2258573117855735</v>
      </c>
      <c r="F39" s="188">
        <v>0</v>
      </c>
      <c r="G39" s="188">
        <v>59.47</v>
      </c>
      <c r="H39" s="178">
        <v>0.23441072132439891</v>
      </c>
      <c r="I39" s="188">
        <v>0</v>
      </c>
      <c r="J39" s="188">
        <v>0</v>
      </c>
      <c r="K39" s="178">
        <v>0</v>
      </c>
    </row>
    <row r="40" spans="1:11">
      <c r="A40" s="186">
        <v>46124</v>
      </c>
      <c r="B40" s="187">
        <v>16</v>
      </c>
      <c r="C40" s="188">
        <v>0</v>
      </c>
      <c r="D40" s="188">
        <v>57.3</v>
      </c>
      <c r="E40" s="178">
        <v>0.2258573117855735</v>
      </c>
      <c r="F40" s="188">
        <v>0</v>
      </c>
      <c r="G40" s="188">
        <v>59.47</v>
      </c>
      <c r="H40" s="178">
        <v>0.23441072132439891</v>
      </c>
      <c r="I40" s="188">
        <v>0</v>
      </c>
      <c r="J40" s="188">
        <v>0</v>
      </c>
      <c r="K40" s="178">
        <v>0</v>
      </c>
    </row>
    <row r="41" spans="1:11">
      <c r="A41" s="186">
        <v>46125</v>
      </c>
      <c r="B41" s="187">
        <v>16</v>
      </c>
      <c r="C41" s="188">
        <v>2</v>
      </c>
      <c r="D41" s="188">
        <v>59.3</v>
      </c>
      <c r="E41" s="178">
        <v>0.23374063854946789</v>
      </c>
      <c r="F41" s="188">
        <v>0</v>
      </c>
      <c r="G41" s="188">
        <v>59.47</v>
      </c>
      <c r="H41" s="178">
        <v>0.23441072132439891</v>
      </c>
      <c r="I41" s="188">
        <v>0</v>
      </c>
      <c r="J41" s="188">
        <v>0</v>
      </c>
      <c r="K41" s="178">
        <v>0</v>
      </c>
    </row>
    <row r="42" spans="1:11">
      <c r="A42" s="186">
        <v>46126</v>
      </c>
      <c r="B42" s="187">
        <v>16</v>
      </c>
      <c r="C42" s="188">
        <v>1</v>
      </c>
      <c r="D42" s="188">
        <v>60.3</v>
      </c>
      <c r="E42" s="178">
        <v>0.2376823019314151</v>
      </c>
      <c r="F42" s="188">
        <v>0</v>
      </c>
      <c r="G42" s="188">
        <v>59.47</v>
      </c>
      <c r="H42" s="178">
        <v>0.23441072132439891</v>
      </c>
      <c r="I42" s="188">
        <v>0</v>
      </c>
      <c r="J42" s="188">
        <v>0</v>
      </c>
      <c r="K42" s="178">
        <v>0</v>
      </c>
    </row>
    <row r="43" spans="1:11">
      <c r="A43" s="186">
        <v>46127</v>
      </c>
      <c r="B43" s="187">
        <v>16</v>
      </c>
      <c r="C43" s="188">
        <v>1</v>
      </c>
      <c r="D43" s="188">
        <v>61.3</v>
      </c>
      <c r="E43" s="178">
        <v>0.2416239653133623</v>
      </c>
      <c r="F43" s="188">
        <v>0</v>
      </c>
      <c r="G43" s="188">
        <v>59.47</v>
      </c>
      <c r="H43" s="178">
        <v>0.23441072132439891</v>
      </c>
      <c r="I43" s="188">
        <v>0</v>
      </c>
      <c r="J43" s="188">
        <v>0</v>
      </c>
      <c r="K43" s="178">
        <v>0</v>
      </c>
    </row>
    <row r="44" spans="1:11">
      <c r="A44" s="186">
        <v>46128</v>
      </c>
      <c r="B44" s="187">
        <v>16</v>
      </c>
      <c r="C44" s="188">
        <v>1</v>
      </c>
      <c r="D44" s="188">
        <v>62.3</v>
      </c>
      <c r="E44" s="178">
        <v>0.24556562869530951</v>
      </c>
      <c r="F44" s="188">
        <v>0</v>
      </c>
      <c r="G44" s="188">
        <v>59.47</v>
      </c>
      <c r="H44" s="178">
        <v>0.23441072132439891</v>
      </c>
      <c r="I44" s="188">
        <v>0</v>
      </c>
      <c r="J44" s="188">
        <v>0</v>
      </c>
      <c r="K44" s="178">
        <v>0</v>
      </c>
    </row>
    <row r="45" spans="1:11">
      <c r="A45" s="186">
        <v>46129</v>
      </c>
      <c r="B45" s="187">
        <v>16</v>
      </c>
      <c r="C45" s="188">
        <v>1</v>
      </c>
      <c r="D45" s="188">
        <v>63.3</v>
      </c>
      <c r="E45" s="178">
        <v>0.24950729207725661</v>
      </c>
      <c r="F45" s="188">
        <v>0</v>
      </c>
      <c r="G45" s="188">
        <v>59.47</v>
      </c>
      <c r="H45" s="178">
        <v>0.23441072132439891</v>
      </c>
      <c r="I45" s="188">
        <v>0</v>
      </c>
      <c r="J45" s="188">
        <v>0</v>
      </c>
      <c r="K45" s="178">
        <v>0</v>
      </c>
    </row>
    <row r="46" spans="1:11">
      <c r="A46" s="186">
        <v>46130</v>
      </c>
      <c r="B46" s="187">
        <v>16</v>
      </c>
      <c r="C46" s="188">
        <v>0</v>
      </c>
      <c r="D46" s="188">
        <v>63.3</v>
      </c>
      <c r="E46" s="178">
        <v>0.24950729207725661</v>
      </c>
      <c r="F46" s="188">
        <v>0</v>
      </c>
      <c r="G46" s="188">
        <v>59.47</v>
      </c>
      <c r="H46" s="178">
        <v>0.23441072132439891</v>
      </c>
      <c r="I46" s="188">
        <v>0</v>
      </c>
      <c r="J46" s="188">
        <v>0</v>
      </c>
      <c r="K46" s="178">
        <v>0</v>
      </c>
    </row>
    <row r="47" spans="1:11">
      <c r="A47" s="186">
        <v>46131</v>
      </c>
      <c r="B47" s="187">
        <v>17</v>
      </c>
      <c r="C47" s="188">
        <v>0</v>
      </c>
      <c r="D47" s="188">
        <v>63.3</v>
      </c>
      <c r="E47" s="178">
        <v>0.24950729207725661</v>
      </c>
      <c r="F47" s="188">
        <v>0</v>
      </c>
      <c r="G47" s="188">
        <v>59.47</v>
      </c>
      <c r="H47" s="178">
        <v>0.23441072132439891</v>
      </c>
      <c r="I47" s="188">
        <v>0</v>
      </c>
      <c r="J47" s="188">
        <v>0</v>
      </c>
      <c r="K47" s="178">
        <v>0</v>
      </c>
    </row>
    <row r="48" spans="1:11">
      <c r="A48" s="186">
        <v>46132</v>
      </c>
      <c r="B48" s="187">
        <v>17</v>
      </c>
      <c r="C48" s="188">
        <v>1</v>
      </c>
      <c r="D48" s="188">
        <v>64.3</v>
      </c>
      <c r="E48" s="178">
        <v>0.25344895545920382</v>
      </c>
      <c r="F48" s="188">
        <v>0</v>
      </c>
      <c r="G48" s="188">
        <v>59.47</v>
      </c>
      <c r="H48" s="178">
        <v>0.23441072132439891</v>
      </c>
      <c r="I48" s="188">
        <v>0</v>
      </c>
      <c r="J48" s="188">
        <v>0</v>
      </c>
      <c r="K48" s="178">
        <v>0</v>
      </c>
    </row>
    <row r="49" spans="1:11">
      <c r="A49" s="186">
        <v>46133</v>
      </c>
      <c r="B49" s="187">
        <v>17</v>
      </c>
      <c r="C49" s="188">
        <v>1</v>
      </c>
      <c r="D49" s="188">
        <v>65.3</v>
      </c>
      <c r="E49" s="178">
        <v>0.257390618841151</v>
      </c>
      <c r="F49" s="188">
        <v>0</v>
      </c>
      <c r="G49" s="188">
        <v>59.47</v>
      </c>
      <c r="H49" s="178">
        <v>0.23441072132439891</v>
      </c>
      <c r="I49" s="188">
        <v>0</v>
      </c>
      <c r="J49" s="188">
        <v>0</v>
      </c>
      <c r="K49" s="178">
        <v>0</v>
      </c>
    </row>
    <row r="50" spans="1:11">
      <c r="A50" s="186">
        <v>46134</v>
      </c>
      <c r="B50" s="187">
        <v>17</v>
      </c>
      <c r="C50" s="188">
        <v>1</v>
      </c>
      <c r="D50" s="188">
        <v>66.3</v>
      </c>
      <c r="E50" s="178">
        <v>0.26133228222309818</v>
      </c>
      <c r="F50" s="188">
        <v>0</v>
      </c>
      <c r="G50" s="188">
        <v>59.47</v>
      </c>
      <c r="H50" s="178">
        <v>0.23441072132439891</v>
      </c>
      <c r="I50" s="188">
        <v>0</v>
      </c>
      <c r="J50" s="188">
        <v>0</v>
      </c>
      <c r="K50" s="178">
        <v>0</v>
      </c>
    </row>
    <row r="51" spans="1:11">
      <c r="A51" s="186">
        <v>46135</v>
      </c>
      <c r="B51" s="187">
        <v>17</v>
      </c>
      <c r="C51" s="188">
        <v>1</v>
      </c>
      <c r="D51" s="188">
        <v>67.3</v>
      </c>
      <c r="E51" s="178">
        <v>0.26527394560504541</v>
      </c>
      <c r="F51" s="188">
        <v>0</v>
      </c>
      <c r="G51" s="188">
        <v>59.47</v>
      </c>
      <c r="H51" s="178">
        <v>0.23441072132439891</v>
      </c>
      <c r="I51" s="188">
        <v>0</v>
      </c>
      <c r="J51" s="188">
        <v>0</v>
      </c>
      <c r="K51" s="178">
        <v>0</v>
      </c>
    </row>
    <row r="52" spans="1:11">
      <c r="A52" s="186">
        <v>46136</v>
      </c>
      <c r="B52" s="187">
        <v>17</v>
      </c>
      <c r="C52" s="188">
        <v>1</v>
      </c>
      <c r="D52" s="188">
        <v>68.3</v>
      </c>
      <c r="E52" s="178">
        <v>0.26921560898699259</v>
      </c>
      <c r="F52" s="188">
        <v>0</v>
      </c>
      <c r="G52" s="188">
        <v>59.47</v>
      </c>
      <c r="H52" s="178">
        <v>0.23441072132439891</v>
      </c>
      <c r="I52" s="188">
        <v>0</v>
      </c>
      <c r="J52" s="188">
        <v>0</v>
      </c>
      <c r="K52" s="178">
        <v>0</v>
      </c>
    </row>
    <row r="53" spans="1:11">
      <c r="A53" s="186">
        <v>46137</v>
      </c>
      <c r="B53" s="187">
        <v>17</v>
      </c>
      <c r="C53" s="188">
        <v>0</v>
      </c>
      <c r="D53" s="188">
        <v>68.3</v>
      </c>
      <c r="E53" s="178">
        <v>0.26921560898699259</v>
      </c>
      <c r="F53" s="188">
        <v>0</v>
      </c>
      <c r="G53" s="188">
        <v>59.47</v>
      </c>
      <c r="H53" s="178">
        <v>0.23441072132439891</v>
      </c>
      <c r="I53" s="188">
        <v>0</v>
      </c>
      <c r="J53" s="188">
        <v>0</v>
      </c>
      <c r="K53" s="178">
        <v>0</v>
      </c>
    </row>
    <row r="54" spans="1:11">
      <c r="A54" s="186">
        <v>46138</v>
      </c>
      <c r="B54" s="187">
        <v>18</v>
      </c>
      <c r="C54" s="188">
        <v>0</v>
      </c>
      <c r="D54" s="188">
        <v>68.3</v>
      </c>
      <c r="E54" s="178">
        <v>0.26921560898699259</v>
      </c>
      <c r="F54" s="188">
        <v>0</v>
      </c>
      <c r="G54" s="188">
        <v>59.47</v>
      </c>
      <c r="H54" s="178">
        <v>0.23441072132439891</v>
      </c>
      <c r="I54" s="188">
        <v>0</v>
      </c>
      <c r="J54" s="188">
        <v>0</v>
      </c>
      <c r="K54" s="178">
        <v>0</v>
      </c>
    </row>
    <row r="55" spans="1:11">
      <c r="A55" s="186">
        <v>46139</v>
      </c>
      <c r="B55" s="187">
        <v>18</v>
      </c>
      <c r="C55" s="188">
        <v>1</v>
      </c>
      <c r="D55" s="188">
        <v>69.3</v>
      </c>
      <c r="E55" s="178">
        <v>0.27315727236893977</v>
      </c>
      <c r="F55" s="188">
        <v>0</v>
      </c>
      <c r="G55" s="188">
        <v>59.47</v>
      </c>
      <c r="H55" s="178">
        <v>0.23441072132439891</v>
      </c>
      <c r="I55" s="188">
        <v>0</v>
      </c>
      <c r="J55" s="188">
        <v>0</v>
      </c>
      <c r="K55" s="178">
        <v>0</v>
      </c>
    </row>
    <row r="56" spans="1:11">
      <c r="A56" s="186">
        <v>46140</v>
      </c>
      <c r="B56" s="187">
        <v>18</v>
      </c>
      <c r="C56" s="188">
        <v>0</v>
      </c>
      <c r="D56" s="188">
        <v>69.3</v>
      </c>
      <c r="E56" s="178">
        <v>0.27315727236893977</v>
      </c>
      <c r="F56" s="188">
        <v>0</v>
      </c>
      <c r="G56" s="188">
        <v>59.47</v>
      </c>
      <c r="H56" s="178">
        <v>0.23441072132439891</v>
      </c>
      <c r="I56" s="188">
        <v>0</v>
      </c>
      <c r="J56" s="188">
        <v>0</v>
      </c>
      <c r="K56" s="178">
        <v>0</v>
      </c>
    </row>
    <row r="57" spans="1:11">
      <c r="A57" s="186">
        <v>46141</v>
      </c>
      <c r="B57" s="187">
        <v>18</v>
      </c>
      <c r="C57" s="188">
        <v>0</v>
      </c>
      <c r="D57" s="188">
        <v>69.3</v>
      </c>
      <c r="E57" s="178">
        <v>0.27315727236893977</v>
      </c>
      <c r="F57" s="188">
        <v>0</v>
      </c>
      <c r="G57" s="188">
        <v>59.47</v>
      </c>
      <c r="H57" s="178">
        <v>0.23441072132439891</v>
      </c>
      <c r="I57" s="188">
        <v>0</v>
      </c>
      <c r="J57" s="188">
        <v>0</v>
      </c>
      <c r="K57" s="178">
        <v>0</v>
      </c>
    </row>
    <row r="58" spans="1:11">
      <c r="A58" s="186">
        <v>46142</v>
      </c>
      <c r="B58" s="187">
        <v>18</v>
      </c>
      <c r="C58" s="188">
        <v>1.2</v>
      </c>
      <c r="D58" s="188">
        <v>70.5</v>
      </c>
      <c r="E58" s="178">
        <v>0.2778872684272764</v>
      </c>
      <c r="F58" s="188">
        <v>0</v>
      </c>
      <c r="G58" s="188">
        <v>59.47</v>
      </c>
      <c r="H58" s="178">
        <v>0.23441072132439891</v>
      </c>
      <c r="I58" s="188">
        <v>0</v>
      </c>
      <c r="J58" s="188">
        <v>0</v>
      </c>
      <c r="K58" s="178">
        <v>0</v>
      </c>
    </row>
    <row r="59" spans="1:11">
      <c r="A59" s="186">
        <v>46143</v>
      </c>
      <c r="B59" s="187">
        <v>18</v>
      </c>
      <c r="C59" s="188">
        <v>1</v>
      </c>
      <c r="D59" s="188">
        <v>71.5</v>
      </c>
      <c r="E59" s="178">
        <v>0.28182893180922358</v>
      </c>
      <c r="F59" s="188">
        <v>0</v>
      </c>
      <c r="G59" s="188">
        <v>59.47</v>
      </c>
      <c r="H59" s="178">
        <v>0.23441072132439891</v>
      </c>
      <c r="I59" s="188">
        <v>0</v>
      </c>
      <c r="J59" s="188">
        <v>0</v>
      </c>
      <c r="K59" s="178">
        <v>0</v>
      </c>
    </row>
    <row r="60" spans="1:11">
      <c r="A60" s="186">
        <v>46144</v>
      </c>
      <c r="B60" s="187">
        <v>18</v>
      </c>
      <c r="C60" s="188">
        <v>0</v>
      </c>
      <c r="D60" s="188">
        <v>71.5</v>
      </c>
      <c r="E60" s="178">
        <v>0.28182893180922358</v>
      </c>
      <c r="F60" s="188">
        <v>0</v>
      </c>
      <c r="G60" s="188">
        <v>59.47</v>
      </c>
      <c r="H60" s="178">
        <v>0.23441072132439891</v>
      </c>
      <c r="I60" s="188">
        <v>0</v>
      </c>
      <c r="J60" s="188">
        <v>0</v>
      </c>
      <c r="K60" s="178">
        <v>0</v>
      </c>
    </row>
    <row r="61" spans="1:11">
      <c r="A61" s="186">
        <v>46145</v>
      </c>
      <c r="B61" s="187">
        <v>19</v>
      </c>
      <c r="C61" s="188">
        <v>0</v>
      </c>
      <c r="D61" s="188">
        <v>71.5</v>
      </c>
      <c r="E61" s="178">
        <v>0.28182893180922358</v>
      </c>
      <c r="F61" s="188">
        <v>0</v>
      </c>
      <c r="G61" s="188">
        <v>59.47</v>
      </c>
      <c r="H61" s="178">
        <v>0.23441072132439891</v>
      </c>
      <c r="I61" s="188">
        <v>0</v>
      </c>
      <c r="J61" s="188">
        <v>0</v>
      </c>
      <c r="K61" s="178">
        <v>0</v>
      </c>
    </row>
    <row r="62" spans="1:11">
      <c r="A62" s="186">
        <v>46146</v>
      </c>
      <c r="B62" s="187">
        <v>19</v>
      </c>
      <c r="C62" s="188">
        <v>3</v>
      </c>
      <c r="D62" s="188">
        <v>74.5</v>
      </c>
      <c r="E62" s="178">
        <v>0.29365392195506512</v>
      </c>
      <c r="F62" s="188">
        <v>0</v>
      </c>
      <c r="G62" s="188">
        <v>59.47</v>
      </c>
      <c r="H62" s="178">
        <v>0.23441072132439891</v>
      </c>
      <c r="I62" s="188">
        <v>0</v>
      </c>
      <c r="J62" s="188">
        <v>0</v>
      </c>
      <c r="K62" s="178">
        <v>0</v>
      </c>
    </row>
    <row r="63" spans="1:11">
      <c r="A63" s="186">
        <v>46147</v>
      </c>
      <c r="B63" s="187">
        <v>19</v>
      </c>
      <c r="C63" s="188">
        <v>0</v>
      </c>
      <c r="D63" s="188">
        <v>74.5</v>
      </c>
      <c r="E63" s="178">
        <v>0.29365392195506512</v>
      </c>
      <c r="F63" s="188">
        <v>0</v>
      </c>
      <c r="G63" s="188">
        <v>59.47</v>
      </c>
      <c r="H63" s="178">
        <v>0.23441072132439891</v>
      </c>
      <c r="I63" s="188">
        <v>0</v>
      </c>
      <c r="J63" s="188">
        <v>0</v>
      </c>
      <c r="K63" s="178">
        <v>0</v>
      </c>
    </row>
    <row r="64" spans="1:11">
      <c r="A64" s="186">
        <v>46148</v>
      </c>
      <c r="B64" s="187">
        <v>19</v>
      </c>
      <c r="C64" s="188">
        <v>3</v>
      </c>
      <c r="D64" s="188">
        <v>77.5</v>
      </c>
      <c r="E64" s="178">
        <v>0.30547891210090672</v>
      </c>
      <c r="F64" s="188">
        <v>0</v>
      </c>
      <c r="G64" s="188">
        <v>59.47</v>
      </c>
      <c r="H64" s="178">
        <v>0.23441072132439891</v>
      </c>
      <c r="I64" s="188">
        <v>0</v>
      </c>
      <c r="J64" s="188">
        <v>0</v>
      </c>
      <c r="K64" s="178">
        <v>0</v>
      </c>
    </row>
    <row r="65" spans="1:11">
      <c r="A65" s="186">
        <v>46149</v>
      </c>
      <c r="B65" s="187">
        <v>19</v>
      </c>
      <c r="C65" s="188">
        <v>5</v>
      </c>
      <c r="D65" s="188">
        <v>82.5</v>
      </c>
      <c r="E65" s="178">
        <v>0.32518722901064262</v>
      </c>
      <c r="F65" s="188">
        <v>0</v>
      </c>
      <c r="G65" s="188">
        <v>59.47</v>
      </c>
      <c r="H65" s="178">
        <v>0.23441072132439891</v>
      </c>
      <c r="I65" s="188">
        <v>0</v>
      </c>
      <c r="J65" s="188">
        <v>0</v>
      </c>
      <c r="K65" s="178">
        <v>0</v>
      </c>
    </row>
    <row r="66" spans="1:11">
      <c r="A66" s="186">
        <v>46150</v>
      </c>
      <c r="B66" s="187">
        <v>19</v>
      </c>
      <c r="C66" s="188">
        <v>4</v>
      </c>
      <c r="D66" s="188">
        <v>86.5</v>
      </c>
      <c r="E66" s="178">
        <v>0.34095388253843129</v>
      </c>
      <c r="F66" s="188">
        <v>0</v>
      </c>
      <c r="G66" s="188">
        <v>59.47</v>
      </c>
      <c r="H66" s="178">
        <v>0.23441072132439891</v>
      </c>
      <c r="I66" s="188">
        <v>0</v>
      </c>
      <c r="J66" s="188">
        <v>0</v>
      </c>
      <c r="K66" s="178">
        <v>0</v>
      </c>
    </row>
    <row r="67" spans="1:11">
      <c r="A67" s="186">
        <v>46151</v>
      </c>
      <c r="B67" s="187">
        <v>19</v>
      </c>
      <c r="C67" s="188">
        <v>0</v>
      </c>
      <c r="D67" s="188">
        <v>86.5</v>
      </c>
      <c r="E67" s="178">
        <v>0.34095388253843129</v>
      </c>
      <c r="F67" s="188">
        <v>0</v>
      </c>
      <c r="G67" s="188">
        <v>59.47</v>
      </c>
      <c r="H67" s="178">
        <v>0.23441072132439891</v>
      </c>
      <c r="I67" s="188">
        <v>0</v>
      </c>
      <c r="J67" s="188">
        <v>0</v>
      </c>
      <c r="K67" s="178">
        <v>0</v>
      </c>
    </row>
    <row r="68" spans="1:11">
      <c r="A68" s="186">
        <v>46152</v>
      </c>
      <c r="B68" s="187">
        <v>20</v>
      </c>
      <c r="C68" s="188">
        <v>0</v>
      </c>
      <c r="D68" s="188">
        <v>86.5</v>
      </c>
      <c r="E68" s="178">
        <v>0.34095388253843129</v>
      </c>
      <c r="F68" s="188">
        <v>0</v>
      </c>
      <c r="G68" s="188">
        <v>59.47</v>
      </c>
      <c r="H68" s="178">
        <v>0.23441072132439891</v>
      </c>
      <c r="I68" s="188">
        <v>0</v>
      </c>
      <c r="J68" s="188">
        <v>0</v>
      </c>
      <c r="K68" s="178">
        <v>0</v>
      </c>
    </row>
    <row r="69" spans="1:11">
      <c r="A69" s="186">
        <v>46153</v>
      </c>
      <c r="B69" s="187">
        <v>20</v>
      </c>
      <c r="C69" s="188">
        <v>3</v>
      </c>
      <c r="D69" s="188">
        <v>89.5</v>
      </c>
      <c r="E69" s="178">
        <v>0.35277887268427283</v>
      </c>
      <c r="F69" s="188">
        <v>0</v>
      </c>
      <c r="G69" s="188">
        <v>59.47</v>
      </c>
      <c r="H69" s="178">
        <v>0.23441072132439891</v>
      </c>
      <c r="I69" s="188">
        <v>0</v>
      </c>
      <c r="J69" s="188">
        <v>0</v>
      </c>
      <c r="K69" s="178">
        <v>0</v>
      </c>
    </row>
    <row r="70" spans="1:11">
      <c r="A70" s="186">
        <v>46154</v>
      </c>
      <c r="B70" s="187">
        <v>20</v>
      </c>
      <c r="C70" s="188">
        <v>3</v>
      </c>
      <c r="D70" s="188">
        <v>92.5</v>
      </c>
      <c r="E70" s="178">
        <v>0.36460386283011442</v>
      </c>
      <c r="F70" s="188">
        <v>0</v>
      </c>
      <c r="G70" s="188">
        <v>59.47</v>
      </c>
      <c r="H70" s="178">
        <v>0.23441072132439891</v>
      </c>
      <c r="I70" s="188">
        <v>0</v>
      </c>
      <c r="J70" s="188">
        <v>0</v>
      </c>
      <c r="K70" s="178">
        <v>0</v>
      </c>
    </row>
    <row r="71" spans="1:11">
      <c r="A71" s="186">
        <v>46155</v>
      </c>
      <c r="B71" s="187">
        <v>20</v>
      </c>
      <c r="C71" s="188">
        <v>3</v>
      </c>
      <c r="D71" s="188">
        <v>95.5</v>
      </c>
      <c r="E71" s="178">
        <v>0.37642885297595591</v>
      </c>
      <c r="F71" s="188">
        <v>0</v>
      </c>
      <c r="G71" s="188">
        <v>59.47</v>
      </c>
      <c r="H71" s="178">
        <v>0.23441072132439891</v>
      </c>
      <c r="I71" s="188">
        <v>0</v>
      </c>
      <c r="J71" s="188">
        <v>0</v>
      </c>
      <c r="K71" s="178">
        <v>0</v>
      </c>
    </row>
    <row r="72" spans="1:11">
      <c r="A72" s="186">
        <v>46156</v>
      </c>
      <c r="B72" s="187">
        <v>20</v>
      </c>
      <c r="C72" s="188">
        <v>3</v>
      </c>
      <c r="D72" s="188">
        <v>98.5</v>
      </c>
      <c r="E72" s="178">
        <v>0.38825384312179739</v>
      </c>
      <c r="F72" s="188">
        <v>0</v>
      </c>
      <c r="G72" s="188">
        <v>59.47</v>
      </c>
      <c r="H72" s="178">
        <v>0.23441072132439891</v>
      </c>
      <c r="I72" s="188">
        <v>0</v>
      </c>
      <c r="J72" s="188">
        <v>0</v>
      </c>
      <c r="K72" s="178">
        <v>0</v>
      </c>
    </row>
    <row r="73" spans="1:11">
      <c r="A73" s="186">
        <v>46157</v>
      </c>
      <c r="B73" s="187">
        <v>20</v>
      </c>
      <c r="C73" s="188">
        <v>3</v>
      </c>
      <c r="D73" s="188">
        <v>101.5</v>
      </c>
      <c r="E73" s="178">
        <v>0.40007883326763899</v>
      </c>
      <c r="F73" s="188">
        <v>0</v>
      </c>
      <c r="G73" s="188">
        <v>59.47</v>
      </c>
      <c r="H73" s="178">
        <v>0.23441072132439891</v>
      </c>
      <c r="I73" s="188">
        <v>0</v>
      </c>
      <c r="J73" s="188">
        <v>0</v>
      </c>
      <c r="K73" s="178">
        <v>0</v>
      </c>
    </row>
    <row r="74" spans="1:11">
      <c r="A74" s="186">
        <v>46158</v>
      </c>
      <c r="B74" s="187">
        <v>20</v>
      </c>
      <c r="C74" s="188">
        <v>0</v>
      </c>
      <c r="D74" s="188">
        <v>101.5</v>
      </c>
      <c r="E74" s="178">
        <v>0.40007883326763899</v>
      </c>
      <c r="F74" s="188">
        <v>0</v>
      </c>
      <c r="G74" s="188">
        <v>59.47</v>
      </c>
      <c r="H74" s="178">
        <v>0.23441072132439891</v>
      </c>
      <c r="I74" s="188">
        <v>0</v>
      </c>
      <c r="J74" s="188">
        <v>0</v>
      </c>
      <c r="K74" s="178">
        <v>0</v>
      </c>
    </row>
    <row r="75" spans="1:11">
      <c r="A75" s="186">
        <v>46159</v>
      </c>
      <c r="B75" s="187">
        <v>21</v>
      </c>
      <c r="C75" s="188">
        <v>0</v>
      </c>
      <c r="D75" s="188">
        <v>101.5</v>
      </c>
      <c r="E75" s="178">
        <v>0.40007883326763899</v>
      </c>
      <c r="F75" s="188">
        <v>0</v>
      </c>
      <c r="G75" s="188">
        <v>59.47</v>
      </c>
      <c r="H75" s="178">
        <v>0.23441072132439891</v>
      </c>
      <c r="I75" s="188">
        <v>0</v>
      </c>
      <c r="J75" s="188">
        <v>0</v>
      </c>
      <c r="K75" s="178">
        <v>0</v>
      </c>
    </row>
    <row r="76" spans="1:11">
      <c r="A76" s="186">
        <v>46160</v>
      </c>
      <c r="B76" s="187">
        <v>21</v>
      </c>
      <c r="C76" s="188">
        <v>4</v>
      </c>
      <c r="D76" s="188">
        <v>105.5</v>
      </c>
      <c r="E76" s="178">
        <v>0.41584548679542782</v>
      </c>
      <c r="F76" s="188">
        <v>0</v>
      </c>
      <c r="G76" s="188">
        <v>59.47</v>
      </c>
      <c r="H76" s="178">
        <v>0.23441072132439891</v>
      </c>
      <c r="I76" s="188">
        <v>0</v>
      </c>
      <c r="J76" s="188">
        <v>0</v>
      </c>
      <c r="K76" s="178">
        <v>0</v>
      </c>
    </row>
    <row r="77" spans="1:11">
      <c r="A77" s="186">
        <v>46161</v>
      </c>
      <c r="B77" s="187">
        <v>21</v>
      </c>
      <c r="C77" s="188">
        <v>3</v>
      </c>
      <c r="D77" s="188">
        <v>108.5</v>
      </c>
      <c r="E77" s="178">
        <v>0.42767047694126931</v>
      </c>
      <c r="F77" s="188">
        <v>0</v>
      </c>
      <c r="G77" s="188">
        <v>59.47</v>
      </c>
      <c r="H77" s="178">
        <v>0.23441072132439891</v>
      </c>
      <c r="I77" s="188">
        <v>0</v>
      </c>
      <c r="J77" s="188">
        <v>0</v>
      </c>
      <c r="K77" s="178">
        <v>0</v>
      </c>
    </row>
    <row r="78" spans="1:11">
      <c r="A78" s="186">
        <v>46162</v>
      </c>
      <c r="B78" s="187">
        <v>21</v>
      </c>
      <c r="C78" s="188">
        <v>3</v>
      </c>
      <c r="D78" s="188">
        <v>111.5</v>
      </c>
      <c r="E78" s="178">
        <v>0.43949546708711079</v>
      </c>
      <c r="F78" s="188">
        <v>0</v>
      </c>
      <c r="G78" s="188">
        <v>59.47</v>
      </c>
      <c r="H78" s="178">
        <v>0.23441072132439891</v>
      </c>
      <c r="I78" s="188">
        <v>0</v>
      </c>
      <c r="J78" s="188">
        <v>0</v>
      </c>
      <c r="K78" s="178">
        <v>0</v>
      </c>
    </row>
    <row r="79" spans="1:11">
      <c r="A79" s="186">
        <v>46163</v>
      </c>
      <c r="B79" s="187">
        <v>21</v>
      </c>
      <c r="C79" s="188">
        <v>4</v>
      </c>
      <c r="D79" s="188">
        <v>115.5</v>
      </c>
      <c r="E79" s="178">
        <v>0.45526212061489962</v>
      </c>
      <c r="F79" s="188">
        <v>0</v>
      </c>
      <c r="G79" s="188">
        <v>59.47</v>
      </c>
      <c r="H79" s="178">
        <v>0.23441072132439891</v>
      </c>
      <c r="I79" s="188">
        <v>0</v>
      </c>
      <c r="J79" s="188">
        <v>0</v>
      </c>
      <c r="K79" s="178">
        <v>0</v>
      </c>
    </row>
    <row r="80" spans="1:11">
      <c r="A80" s="186">
        <v>46164</v>
      </c>
      <c r="B80" s="187">
        <v>21</v>
      </c>
      <c r="C80" s="188">
        <v>4</v>
      </c>
      <c r="D80" s="188">
        <v>119.5</v>
      </c>
      <c r="E80" s="178">
        <v>0.47102877414268829</v>
      </c>
      <c r="F80" s="188">
        <v>0</v>
      </c>
      <c r="G80" s="188">
        <v>59.47</v>
      </c>
      <c r="H80" s="178">
        <v>0.23441072132439891</v>
      </c>
      <c r="I80" s="188">
        <v>0</v>
      </c>
      <c r="J80" s="188">
        <v>0</v>
      </c>
      <c r="K80" s="178">
        <v>0</v>
      </c>
    </row>
    <row r="81" spans="1:11">
      <c r="A81" s="186">
        <v>46165</v>
      </c>
      <c r="B81" s="187">
        <v>21</v>
      </c>
      <c r="C81" s="188">
        <v>0</v>
      </c>
      <c r="D81" s="188">
        <v>119.5</v>
      </c>
      <c r="E81" s="178">
        <v>0.47102877414268829</v>
      </c>
      <c r="F81" s="188">
        <v>0</v>
      </c>
      <c r="G81" s="188">
        <v>59.47</v>
      </c>
      <c r="H81" s="178">
        <v>0.23441072132439891</v>
      </c>
      <c r="I81" s="188">
        <v>0</v>
      </c>
      <c r="J81" s="188">
        <v>0</v>
      </c>
      <c r="K81" s="178">
        <v>0</v>
      </c>
    </row>
    <row r="82" spans="1:11">
      <c r="A82" s="186">
        <v>46166</v>
      </c>
      <c r="B82" s="187">
        <v>22</v>
      </c>
      <c r="C82" s="188">
        <v>0</v>
      </c>
      <c r="D82" s="188">
        <v>119.5</v>
      </c>
      <c r="E82" s="178">
        <v>0.47102877414268829</v>
      </c>
      <c r="F82" s="188">
        <v>0</v>
      </c>
      <c r="G82" s="188">
        <v>59.47</v>
      </c>
      <c r="H82" s="178">
        <v>0.23441072132439891</v>
      </c>
      <c r="I82" s="188">
        <v>0</v>
      </c>
      <c r="J82" s="188">
        <v>0</v>
      </c>
      <c r="K82" s="178">
        <v>0</v>
      </c>
    </row>
    <row r="83" spans="1:11">
      <c r="A83" s="186">
        <v>46167</v>
      </c>
      <c r="B83" s="187">
        <v>22</v>
      </c>
      <c r="C83" s="188">
        <v>0</v>
      </c>
      <c r="D83" s="188">
        <v>119.5</v>
      </c>
      <c r="E83" s="178">
        <v>0.47102877414268829</v>
      </c>
      <c r="F83" s="188">
        <v>0</v>
      </c>
      <c r="G83" s="188">
        <v>59.47</v>
      </c>
      <c r="H83" s="178">
        <v>0.23441072132439891</v>
      </c>
      <c r="I83" s="188">
        <v>0</v>
      </c>
      <c r="J83" s="188">
        <v>0</v>
      </c>
      <c r="K83" s="178">
        <v>0</v>
      </c>
    </row>
    <row r="84" spans="1:11">
      <c r="A84" s="186">
        <v>46168</v>
      </c>
      <c r="B84" s="187">
        <v>22</v>
      </c>
      <c r="C84" s="188">
        <v>4</v>
      </c>
      <c r="D84" s="188">
        <v>123.5</v>
      </c>
      <c r="E84" s="178">
        <v>0.48679542767047701</v>
      </c>
      <c r="F84" s="188">
        <v>0</v>
      </c>
      <c r="G84" s="188">
        <v>59.47</v>
      </c>
      <c r="H84" s="178">
        <v>0.23441072132439891</v>
      </c>
      <c r="I84" s="188">
        <v>0</v>
      </c>
      <c r="J84" s="188">
        <v>0</v>
      </c>
      <c r="K84" s="178">
        <v>0</v>
      </c>
    </row>
    <row r="85" spans="1:11">
      <c r="A85" s="186">
        <v>46169</v>
      </c>
      <c r="B85" s="187">
        <v>22</v>
      </c>
      <c r="C85" s="188">
        <v>4</v>
      </c>
      <c r="D85" s="188">
        <v>127.5</v>
      </c>
      <c r="E85" s="178">
        <v>0.50256208119826573</v>
      </c>
      <c r="F85" s="188">
        <v>0</v>
      </c>
      <c r="G85" s="188">
        <v>59.47</v>
      </c>
      <c r="H85" s="178">
        <v>0.23441072132439891</v>
      </c>
      <c r="I85" s="188">
        <v>0</v>
      </c>
      <c r="J85" s="188">
        <v>0</v>
      </c>
      <c r="K85" s="178">
        <v>0</v>
      </c>
    </row>
    <row r="86" spans="1:11">
      <c r="A86" s="186">
        <v>46170</v>
      </c>
      <c r="B86" s="187">
        <v>22</v>
      </c>
      <c r="C86" s="188">
        <v>4</v>
      </c>
      <c r="D86" s="188">
        <v>131.5</v>
      </c>
      <c r="E86" s="178">
        <v>0.51832873472605445</v>
      </c>
      <c r="F86" s="188">
        <v>0</v>
      </c>
      <c r="G86" s="188">
        <v>59.47</v>
      </c>
      <c r="H86" s="178">
        <v>0.23441072132439891</v>
      </c>
      <c r="I86" s="188">
        <v>0</v>
      </c>
      <c r="J86" s="188">
        <v>0</v>
      </c>
      <c r="K86" s="178">
        <v>0</v>
      </c>
    </row>
    <row r="87" spans="1:11">
      <c r="A87" s="186">
        <v>46171</v>
      </c>
      <c r="B87" s="187">
        <v>22</v>
      </c>
      <c r="C87" s="188">
        <v>4</v>
      </c>
      <c r="D87" s="188">
        <v>135.5</v>
      </c>
      <c r="E87" s="178">
        <v>0.53409538825384317</v>
      </c>
      <c r="F87" s="188">
        <v>0</v>
      </c>
      <c r="G87" s="188">
        <v>59.47</v>
      </c>
      <c r="H87" s="178">
        <v>0.23441072132439891</v>
      </c>
      <c r="I87" s="188">
        <v>0</v>
      </c>
      <c r="J87" s="188">
        <v>0</v>
      </c>
      <c r="K87" s="178">
        <v>0</v>
      </c>
    </row>
    <row r="88" spans="1:11">
      <c r="A88" s="186">
        <v>46172</v>
      </c>
      <c r="B88" s="187">
        <v>22</v>
      </c>
      <c r="C88" s="188">
        <v>0</v>
      </c>
      <c r="D88" s="188">
        <v>135.5</v>
      </c>
      <c r="E88" s="178">
        <v>0.53409538825384317</v>
      </c>
      <c r="F88" s="188">
        <v>0</v>
      </c>
      <c r="G88" s="188">
        <v>59.47</v>
      </c>
      <c r="H88" s="178">
        <v>0.23441072132439891</v>
      </c>
      <c r="I88" s="188">
        <v>0</v>
      </c>
      <c r="J88" s="188">
        <v>0</v>
      </c>
      <c r="K88" s="178">
        <v>0</v>
      </c>
    </row>
    <row r="89" spans="1:11">
      <c r="A89" s="186">
        <v>46173</v>
      </c>
      <c r="B89" s="187">
        <v>23</v>
      </c>
      <c r="C89" s="188">
        <v>0</v>
      </c>
      <c r="D89" s="188">
        <v>135.5</v>
      </c>
      <c r="E89" s="178">
        <v>0.53409538825384317</v>
      </c>
      <c r="F89" s="188">
        <v>0</v>
      </c>
      <c r="G89" s="188">
        <v>59.47</v>
      </c>
      <c r="H89" s="178">
        <v>0.23441072132439891</v>
      </c>
      <c r="I89" s="188">
        <v>0</v>
      </c>
      <c r="J89" s="188">
        <v>0</v>
      </c>
      <c r="K89" s="178">
        <v>0</v>
      </c>
    </row>
    <row r="90" spans="1:11">
      <c r="A90" s="186">
        <v>46174</v>
      </c>
      <c r="B90" s="187">
        <v>23</v>
      </c>
      <c r="C90" s="188">
        <v>4</v>
      </c>
      <c r="D90" s="188">
        <v>139.5</v>
      </c>
      <c r="E90" s="178">
        <v>0.54986204178163189</v>
      </c>
      <c r="F90" s="188">
        <v>0</v>
      </c>
      <c r="G90" s="188">
        <v>59.47</v>
      </c>
      <c r="H90" s="178">
        <v>0.23441072132439891</v>
      </c>
      <c r="I90" s="188">
        <v>0</v>
      </c>
      <c r="J90" s="188">
        <v>0</v>
      </c>
      <c r="K90" s="178">
        <v>0</v>
      </c>
    </row>
    <row r="91" spans="1:11">
      <c r="A91" s="186">
        <v>46175</v>
      </c>
      <c r="B91" s="187">
        <v>23</v>
      </c>
      <c r="C91" s="188">
        <v>4</v>
      </c>
      <c r="D91" s="188">
        <v>143.5</v>
      </c>
      <c r="E91" s="178">
        <v>0.56562869530942061</v>
      </c>
      <c r="F91" s="188">
        <v>0</v>
      </c>
      <c r="G91" s="188">
        <v>59.47</v>
      </c>
      <c r="H91" s="178">
        <v>0.23441072132439891</v>
      </c>
      <c r="I91" s="188">
        <v>0</v>
      </c>
      <c r="J91" s="188">
        <v>0</v>
      </c>
      <c r="K91" s="178">
        <v>0</v>
      </c>
    </row>
    <row r="92" spans="1:11">
      <c r="A92" s="186">
        <v>46176</v>
      </c>
      <c r="B92" s="187">
        <v>23</v>
      </c>
      <c r="C92" s="188">
        <v>0</v>
      </c>
      <c r="D92" s="188">
        <v>143.5</v>
      </c>
      <c r="E92" s="178">
        <v>0.56562869530942061</v>
      </c>
      <c r="F92" s="188">
        <v>0</v>
      </c>
      <c r="G92" s="188">
        <v>59.47</v>
      </c>
      <c r="H92" s="178">
        <v>0.23441072132439891</v>
      </c>
      <c r="I92" s="188">
        <v>0</v>
      </c>
      <c r="J92" s="188">
        <v>0</v>
      </c>
      <c r="K92" s="178">
        <v>0</v>
      </c>
    </row>
    <row r="93" spans="1:11">
      <c r="A93" s="186">
        <v>46177</v>
      </c>
      <c r="B93" s="187">
        <v>23</v>
      </c>
      <c r="C93" s="188">
        <v>4.2</v>
      </c>
      <c r="D93" s="188">
        <v>147.69999999999999</v>
      </c>
      <c r="E93" s="178">
        <v>0.58218368151359867</v>
      </c>
      <c r="F93" s="188">
        <v>0</v>
      </c>
      <c r="G93" s="188">
        <v>59.47</v>
      </c>
      <c r="H93" s="178">
        <v>0.23441072132439891</v>
      </c>
      <c r="I93" s="188">
        <v>0</v>
      </c>
      <c r="J93" s="188">
        <v>0</v>
      </c>
      <c r="K93" s="178">
        <v>0</v>
      </c>
    </row>
    <row r="94" spans="1:11">
      <c r="A94" s="186">
        <v>46178</v>
      </c>
      <c r="B94" s="187">
        <v>23</v>
      </c>
      <c r="C94" s="188">
        <v>4</v>
      </c>
      <c r="D94" s="188">
        <v>151.69999999999999</v>
      </c>
      <c r="E94" s="178">
        <v>0.59795033504138739</v>
      </c>
      <c r="F94" s="188">
        <v>0</v>
      </c>
      <c r="G94" s="188">
        <v>59.47</v>
      </c>
      <c r="H94" s="178">
        <v>0.23441072132439891</v>
      </c>
      <c r="I94" s="188">
        <v>0</v>
      </c>
      <c r="J94" s="188">
        <v>0</v>
      </c>
      <c r="K94" s="178">
        <v>0</v>
      </c>
    </row>
    <row r="95" spans="1:11">
      <c r="A95" s="186">
        <v>46179</v>
      </c>
      <c r="B95" s="187">
        <v>23</v>
      </c>
      <c r="C95" s="188">
        <v>0</v>
      </c>
      <c r="D95" s="188">
        <v>151.69999999999999</v>
      </c>
      <c r="E95" s="178">
        <v>0.59795033504138739</v>
      </c>
      <c r="F95" s="188">
        <v>0</v>
      </c>
      <c r="G95" s="188">
        <v>59.47</v>
      </c>
      <c r="H95" s="178">
        <v>0.23441072132439891</v>
      </c>
      <c r="I95" s="188">
        <v>0</v>
      </c>
      <c r="J95" s="188">
        <v>0</v>
      </c>
      <c r="K95" s="178">
        <v>0</v>
      </c>
    </row>
    <row r="96" spans="1:11">
      <c r="A96" s="186">
        <v>46180</v>
      </c>
      <c r="B96" s="187">
        <v>24</v>
      </c>
      <c r="C96" s="188">
        <v>0</v>
      </c>
      <c r="D96" s="188">
        <v>151.69999999999999</v>
      </c>
      <c r="E96" s="178">
        <v>0.59795033504138739</v>
      </c>
      <c r="F96" s="188">
        <v>0</v>
      </c>
      <c r="G96" s="188">
        <v>59.47</v>
      </c>
      <c r="H96" s="178">
        <v>0.23441072132439891</v>
      </c>
      <c r="I96" s="188">
        <v>0</v>
      </c>
      <c r="J96" s="188">
        <v>0</v>
      </c>
      <c r="K96" s="178">
        <v>0</v>
      </c>
    </row>
    <row r="97" spans="1:11">
      <c r="A97" s="186">
        <v>46181</v>
      </c>
      <c r="B97" s="187">
        <v>24</v>
      </c>
      <c r="C97" s="188">
        <v>4</v>
      </c>
      <c r="D97" s="188">
        <v>155.69999999999999</v>
      </c>
      <c r="E97" s="178">
        <v>0.61371698856917622</v>
      </c>
      <c r="F97" s="188">
        <v>0</v>
      </c>
      <c r="G97" s="188">
        <v>59.47</v>
      </c>
      <c r="H97" s="178">
        <v>0.23441072132439891</v>
      </c>
      <c r="I97" s="188">
        <v>0</v>
      </c>
      <c r="J97" s="188">
        <v>0</v>
      </c>
      <c r="K97" s="178">
        <v>0</v>
      </c>
    </row>
    <row r="98" spans="1:11">
      <c r="A98" s="186">
        <v>46182</v>
      </c>
      <c r="B98" s="187">
        <v>24</v>
      </c>
      <c r="C98" s="188">
        <v>4</v>
      </c>
      <c r="D98" s="188">
        <v>159.69999999999999</v>
      </c>
      <c r="E98" s="178">
        <v>0.62948364209696495</v>
      </c>
      <c r="F98" s="188">
        <v>0</v>
      </c>
      <c r="G98" s="188">
        <v>59.47</v>
      </c>
      <c r="H98" s="178">
        <v>0.23441072132439891</v>
      </c>
      <c r="I98" s="188">
        <v>0</v>
      </c>
      <c r="J98" s="188">
        <v>0</v>
      </c>
      <c r="K98" s="178">
        <v>0</v>
      </c>
    </row>
    <row r="99" spans="1:11">
      <c r="A99" s="186">
        <v>46183</v>
      </c>
      <c r="B99" s="187">
        <v>24</v>
      </c>
      <c r="C99" s="188">
        <v>4</v>
      </c>
      <c r="D99" s="188">
        <v>163.69999999999999</v>
      </c>
      <c r="E99" s="178">
        <v>0.64525029562475367</v>
      </c>
      <c r="F99" s="188">
        <v>0</v>
      </c>
      <c r="G99" s="188">
        <v>59.47</v>
      </c>
      <c r="H99" s="178">
        <v>0.23441072132439891</v>
      </c>
      <c r="I99" s="188">
        <v>0</v>
      </c>
      <c r="J99" s="188">
        <v>0</v>
      </c>
      <c r="K99" s="178">
        <v>0</v>
      </c>
    </row>
    <row r="100" spans="1:11">
      <c r="A100" s="186">
        <v>46184</v>
      </c>
      <c r="B100" s="187">
        <v>24</v>
      </c>
      <c r="C100" s="188">
        <v>4</v>
      </c>
      <c r="D100" s="188">
        <v>167.7</v>
      </c>
      <c r="E100" s="178">
        <v>0.66101694915254239</v>
      </c>
      <c r="F100" s="188">
        <v>0</v>
      </c>
      <c r="G100" s="188">
        <v>59.47</v>
      </c>
      <c r="H100" s="178">
        <v>0.23441072132439891</v>
      </c>
      <c r="I100" s="188">
        <v>0</v>
      </c>
      <c r="J100" s="188">
        <v>0</v>
      </c>
      <c r="K100" s="178">
        <v>0</v>
      </c>
    </row>
    <row r="101" spans="1:11">
      <c r="A101" s="186">
        <v>46185</v>
      </c>
      <c r="B101" s="187">
        <v>24</v>
      </c>
      <c r="C101" s="188">
        <v>4</v>
      </c>
      <c r="D101" s="188">
        <v>171.7</v>
      </c>
      <c r="E101" s="178">
        <v>0.67678360268033111</v>
      </c>
      <c r="F101" s="188">
        <v>0</v>
      </c>
      <c r="G101" s="188">
        <v>59.47</v>
      </c>
      <c r="H101" s="178">
        <v>0.23441072132439891</v>
      </c>
      <c r="I101" s="188">
        <v>0</v>
      </c>
      <c r="J101" s="188">
        <v>0</v>
      </c>
      <c r="K101" s="178">
        <v>0</v>
      </c>
    </row>
    <row r="102" spans="1:11">
      <c r="A102" s="186">
        <v>46186</v>
      </c>
      <c r="B102" s="187">
        <v>24</v>
      </c>
      <c r="C102" s="188">
        <v>0</v>
      </c>
      <c r="D102" s="188">
        <v>171.7</v>
      </c>
      <c r="E102" s="178">
        <v>0.67678360268033111</v>
      </c>
      <c r="F102" s="188">
        <v>0</v>
      </c>
      <c r="G102" s="188">
        <v>59.47</v>
      </c>
      <c r="H102" s="178">
        <v>0.23441072132439891</v>
      </c>
      <c r="I102" s="188">
        <v>0</v>
      </c>
      <c r="J102" s="188">
        <v>0</v>
      </c>
      <c r="K102" s="178">
        <v>0</v>
      </c>
    </row>
    <row r="103" spans="1:11">
      <c r="A103" s="186">
        <v>46187</v>
      </c>
      <c r="B103" s="187">
        <v>25</v>
      </c>
      <c r="C103" s="188">
        <v>0</v>
      </c>
      <c r="D103" s="188">
        <v>171.7</v>
      </c>
      <c r="E103" s="178">
        <v>0.67678360268033111</v>
      </c>
      <c r="F103" s="188">
        <v>0</v>
      </c>
      <c r="G103" s="188">
        <v>59.47</v>
      </c>
      <c r="H103" s="178">
        <v>0.23441072132439891</v>
      </c>
      <c r="I103" s="188">
        <v>0</v>
      </c>
      <c r="J103" s="188">
        <v>0</v>
      </c>
      <c r="K103" s="178">
        <v>0</v>
      </c>
    </row>
    <row r="104" spans="1:11">
      <c r="A104" s="186">
        <v>46188</v>
      </c>
      <c r="B104" s="187">
        <v>25</v>
      </c>
      <c r="C104" s="188">
        <v>4</v>
      </c>
      <c r="D104" s="188">
        <v>175.7</v>
      </c>
      <c r="E104" s="178">
        <v>0.69255025620811983</v>
      </c>
      <c r="F104" s="188">
        <v>0</v>
      </c>
      <c r="G104" s="188">
        <v>59.47</v>
      </c>
      <c r="H104" s="178">
        <v>0.23441072132439891</v>
      </c>
      <c r="I104" s="188">
        <v>0</v>
      </c>
      <c r="J104" s="188">
        <v>0</v>
      </c>
      <c r="K104" s="178">
        <v>0</v>
      </c>
    </row>
    <row r="105" spans="1:11">
      <c r="A105" s="186">
        <v>46189</v>
      </c>
      <c r="B105" s="187">
        <v>25</v>
      </c>
      <c r="C105" s="188">
        <v>4</v>
      </c>
      <c r="D105" s="188">
        <v>179.7</v>
      </c>
      <c r="E105" s="178">
        <v>0.70831690973590855</v>
      </c>
      <c r="F105" s="188">
        <v>0</v>
      </c>
      <c r="G105" s="188">
        <v>59.47</v>
      </c>
      <c r="H105" s="178">
        <v>0.23441072132439891</v>
      </c>
      <c r="I105" s="188">
        <v>0</v>
      </c>
      <c r="J105" s="188">
        <v>0</v>
      </c>
      <c r="K105" s="178">
        <v>0</v>
      </c>
    </row>
    <row r="106" spans="1:11">
      <c r="A106" s="186">
        <v>46190</v>
      </c>
      <c r="B106" s="187">
        <v>25</v>
      </c>
      <c r="C106" s="188">
        <v>4</v>
      </c>
      <c r="D106" s="188">
        <v>183.7</v>
      </c>
      <c r="E106" s="178">
        <v>0.72408356326369727</v>
      </c>
      <c r="F106" s="188">
        <v>0</v>
      </c>
      <c r="G106" s="188">
        <v>59.47</v>
      </c>
      <c r="H106" s="178">
        <v>0.23441072132439891</v>
      </c>
      <c r="I106" s="188">
        <v>0</v>
      </c>
      <c r="J106" s="188">
        <v>0</v>
      </c>
      <c r="K106" s="178">
        <v>0</v>
      </c>
    </row>
    <row r="107" spans="1:11">
      <c r="A107" s="186">
        <v>46191</v>
      </c>
      <c r="B107" s="187">
        <v>25</v>
      </c>
      <c r="C107" s="188">
        <v>5</v>
      </c>
      <c r="D107" s="188">
        <v>188.7</v>
      </c>
      <c r="E107" s="178">
        <v>0.74379188017343323</v>
      </c>
      <c r="F107" s="188">
        <v>0</v>
      </c>
      <c r="G107" s="188">
        <v>59.47</v>
      </c>
      <c r="H107" s="178">
        <v>0.23441072132439891</v>
      </c>
      <c r="I107" s="188">
        <v>0</v>
      </c>
      <c r="J107" s="188">
        <v>0</v>
      </c>
      <c r="K107" s="178">
        <v>0</v>
      </c>
    </row>
    <row r="108" spans="1:11">
      <c r="A108" s="186">
        <v>46192</v>
      </c>
      <c r="B108" s="187">
        <v>25</v>
      </c>
      <c r="C108" s="188">
        <v>5</v>
      </c>
      <c r="D108" s="188">
        <v>193.7</v>
      </c>
      <c r="E108" s="178">
        <v>0.76350019708316907</v>
      </c>
      <c r="F108" s="188">
        <v>0</v>
      </c>
      <c r="G108" s="188">
        <v>59.47</v>
      </c>
      <c r="H108" s="178">
        <v>0.23441072132439891</v>
      </c>
      <c r="I108" s="188">
        <v>0</v>
      </c>
      <c r="J108" s="188">
        <v>0</v>
      </c>
      <c r="K108" s="178">
        <v>0</v>
      </c>
    </row>
    <row r="109" spans="1:11">
      <c r="A109" s="186">
        <v>46193</v>
      </c>
      <c r="B109" s="187">
        <v>25</v>
      </c>
      <c r="C109" s="188">
        <v>0</v>
      </c>
      <c r="D109" s="188">
        <v>193.7</v>
      </c>
      <c r="E109" s="178">
        <v>0.76350019708316907</v>
      </c>
      <c r="F109" s="188">
        <v>0</v>
      </c>
      <c r="G109" s="188">
        <v>59.47</v>
      </c>
      <c r="H109" s="178">
        <v>0.23441072132439891</v>
      </c>
      <c r="I109" s="188">
        <v>0</v>
      </c>
      <c r="J109" s="188">
        <v>0</v>
      </c>
      <c r="K109" s="178">
        <v>0</v>
      </c>
    </row>
    <row r="110" spans="1:11">
      <c r="A110" s="186">
        <v>46194</v>
      </c>
      <c r="B110" s="187">
        <v>26</v>
      </c>
      <c r="C110" s="188">
        <v>0</v>
      </c>
      <c r="D110" s="188">
        <v>193.7</v>
      </c>
      <c r="E110" s="178">
        <v>0.76350019708316907</v>
      </c>
      <c r="F110" s="188">
        <v>0</v>
      </c>
      <c r="G110" s="188">
        <v>59.47</v>
      </c>
      <c r="H110" s="178">
        <v>0.23441072132439891</v>
      </c>
      <c r="I110" s="188">
        <v>0</v>
      </c>
      <c r="J110" s="188">
        <v>0</v>
      </c>
      <c r="K110" s="178">
        <v>0</v>
      </c>
    </row>
    <row r="111" spans="1:11">
      <c r="A111" s="186">
        <v>46195</v>
      </c>
      <c r="B111" s="187">
        <v>26</v>
      </c>
      <c r="C111" s="188">
        <v>5</v>
      </c>
      <c r="D111" s="188">
        <v>198.7</v>
      </c>
      <c r="E111" s="178">
        <v>0.78320851399290503</v>
      </c>
      <c r="F111" s="188">
        <v>0</v>
      </c>
      <c r="G111" s="188">
        <v>59.47</v>
      </c>
      <c r="H111" s="178">
        <v>0.23441072132439891</v>
      </c>
      <c r="I111" s="188">
        <v>0</v>
      </c>
      <c r="J111" s="188">
        <v>0</v>
      </c>
      <c r="K111" s="178">
        <v>0</v>
      </c>
    </row>
    <row r="112" spans="1:11">
      <c r="A112" s="186">
        <v>46196</v>
      </c>
      <c r="B112" s="187">
        <v>26</v>
      </c>
      <c r="C112" s="188">
        <v>5</v>
      </c>
      <c r="D112" s="188">
        <v>203.7</v>
      </c>
      <c r="E112" s="178">
        <v>0.80291683090264088</v>
      </c>
      <c r="F112" s="188">
        <v>0</v>
      </c>
      <c r="G112" s="188">
        <v>59.47</v>
      </c>
      <c r="H112" s="178">
        <v>0.23441072132439891</v>
      </c>
      <c r="I112" s="188">
        <v>0</v>
      </c>
      <c r="J112" s="188">
        <v>0</v>
      </c>
      <c r="K112" s="178">
        <v>0</v>
      </c>
    </row>
    <row r="113" spans="1:11">
      <c r="A113" s="186">
        <v>46197</v>
      </c>
      <c r="B113" s="187">
        <v>26</v>
      </c>
      <c r="C113" s="188">
        <v>5</v>
      </c>
      <c r="D113" s="188">
        <v>208.7</v>
      </c>
      <c r="E113" s="178">
        <v>0.82262514781237683</v>
      </c>
      <c r="F113" s="188">
        <v>0</v>
      </c>
      <c r="G113" s="188">
        <v>59.47</v>
      </c>
      <c r="H113" s="178">
        <v>0.23441072132439891</v>
      </c>
      <c r="I113" s="188">
        <v>0</v>
      </c>
      <c r="J113" s="188">
        <v>0</v>
      </c>
      <c r="K113" s="178">
        <v>0</v>
      </c>
    </row>
    <row r="114" spans="1:11">
      <c r="A114" s="186">
        <v>46198</v>
      </c>
      <c r="B114" s="187">
        <v>26</v>
      </c>
      <c r="C114" s="188">
        <v>5</v>
      </c>
      <c r="D114" s="188">
        <v>213.7</v>
      </c>
      <c r="E114" s="178">
        <v>0.84233346472211268</v>
      </c>
      <c r="F114" s="188">
        <v>0</v>
      </c>
      <c r="G114" s="188">
        <v>59.47</v>
      </c>
      <c r="H114" s="178">
        <v>0.23441072132439891</v>
      </c>
      <c r="I114" s="188">
        <v>0</v>
      </c>
      <c r="J114" s="188">
        <v>0</v>
      </c>
      <c r="K114" s="178">
        <v>0</v>
      </c>
    </row>
    <row r="115" spans="1:11">
      <c r="A115" s="186">
        <v>46199</v>
      </c>
      <c r="B115" s="187">
        <v>26</v>
      </c>
      <c r="C115" s="188">
        <v>4</v>
      </c>
      <c r="D115" s="188">
        <v>217.7</v>
      </c>
      <c r="E115" s="178">
        <v>0.8581001182499014</v>
      </c>
      <c r="F115" s="188">
        <v>0</v>
      </c>
      <c r="G115" s="188">
        <v>59.47</v>
      </c>
      <c r="H115" s="178">
        <v>0.23441072132439891</v>
      </c>
      <c r="I115" s="188">
        <v>0</v>
      </c>
      <c r="J115" s="188">
        <v>0</v>
      </c>
      <c r="K115" s="178">
        <v>0</v>
      </c>
    </row>
    <row r="116" spans="1:11">
      <c r="A116" s="186">
        <v>46200</v>
      </c>
      <c r="B116" s="187">
        <v>26</v>
      </c>
      <c r="C116" s="188">
        <v>0</v>
      </c>
      <c r="D116" s="188">
        <v>217.7</v>
      </c>
      <c r="E116" s="178">
        <v>0.8581001182499014</v>
      </c>
      <c r="F116" s="188">
        <v>0</v>
      </c>
      <c r="G116" s="188">
        <v>59.47</v>
      </c>
      <c r="H116" s="178">
        <v>0.23441072132439891</v>
      </c>
      <c r="I116" s="188">
        <v>0</v>
      </c>
      <c r="J116" s="188">
        <v>0</v>
      </c>
      <c r="K116" s="178">
        <v>0</v>
      </c>
    </row>
    <row r="117" spans="1:11">
      <c r="A117" s="186">
        <v>46201</v>
      </c>
      <c r="B117" s="187">
        <v>27</v>
      </c>
      <c r="C117" s="188">
        <v>0</v>
      </c>
      <c r="D117" s="188">
        <v>217.7</v>
      </c>
      <c r="E117" s="178">
        <v>0.8581001182499014</v>
      </c>
      <c r="F117" s="188">
        <v>0</v>
      </c>
      <c r="G117" s="188">
        <v>59.47</v>
      </c>
      <c r="H117" s="178">
        <v>0.23441072132439891</v>
      </c>
      <c r="I117" s="188">
        <v>0</v>
      </c>
      <c r="J117" s="188">
        <v>0</v>
      </c>
      <c r="K117" s="178">
        <v>0</v>
      </c>
    </row>
    <row r="118" spans="1:11">
      <c r="A118" s="186">
        <v>46202</v>
      </c>
      <c r="B118" s="187">
        <v>27</v>
      </c>
      <c r="C118" s="188">
        <v>4</v>
      </c>
      <c r="D118" s="188">
        <v>221.7</v>
      </c>
      <c r="E118" s="178">
        <v>0.87386677177769023</v>
      </c>
      <c r="F118" s="188">
        <v>0</v>
      </c>
      <c r="G118" s="188">
        <v>59.47</v>
      </c>
      <c r="H118" s="178">
        <v>0.23441072132439891</v>
      </c>
      <c r="I118" s="188">
        <v>0</v>
      </c>
      <c r="J118" s="188">
        <v>0</v>
      </c>
      <c r="K118" s="178">
        <v>0</v>
      </c>
    </row>
    <row r="119" spans="1:11">
      <c r="A119" s="186">
        <v>46203</v>
      </c>
      <c r="B119" s="187">
        <v>27</v>
      </c>
      <c r="C119" s="188">
        <v>1</v>
      </c>
      <c r="D119" s="188">
        <v>222.7</v>
      </c>
      <c r="E119" s="178">
        <v>0.87780843515963736</v>
      </c>
      <c r="F119" s="188">
        <v>0</v>
      </c>
      <c r="G119" s="188">
        <v>59.47</v>
      </c>
      <c r="H119" s="178">
        <v>0.23441072132439891</v>
      </c>
      <c r="I119" s="188">
        <v>0</v>
      </c>
      <c r="J119" s="188">
        <v>0</v>
      </c>
      <c r="K119" s="178">
        <v>0</v>
      </c>
    </row>
    <row r="120" spans="1:11">
      <c r="A120" s="186">
        <v>46204</v>
      </c>
      <c r="B120" s="187">
        <v>27</v>
      </c>
      <c r="C120" s="188">
        <v>1</v>
      </c>
      <c r="D120" s="188">
        <v>223.7</v>
      </c>
      <c r="E120" s="178">
        <v>0.88175009854158459</v>
      </c>
      <c r="F120" s="188">
        <v>0</v>
      </c>
      <c r="G120" s="188">
        <v>59.47</v>
      </c>
      <c r="H120" s="178">
        <v>0.23441072132439891</v>
      </c>
      <c r="I120" s="188">
        <v>0</v>
      </c>
      <c r="J120" s="188">
        <v>0</v>
      </c>
      <c r="K120" s="178">
        <v>0</v>
      </c>
    </row>
    <row r="121" spans="1:11">
      <c r="A121" s="186">
        <v>46205</v>
      </c>
      <c r="B121" s="187">
        <v>27</v>
      </c>
      <c r="C121" s="188">
        <v>1</v>
      </c>
      <c r="D121" s="188">
        <v>224.7</v>
      </c>
      <c r="E121" s="178">
        <v>0.88569176192353172</v>
      </c>
      <c r="F121" s="188">
        <v>0</v>
      </c>
      <c r="G121" s="188">
        <v>59.47</v>
      </c>
      <c r="H121" s="178">
        <v>0.23441072132439891</v>
      </c>
      <c r="I121" s="188">
        <v>0</v>
      </c>
      <c r="J121" s="188">
        <v>0</v>
      </c>
      <c r="K121" s="178">
        <v>0</v>
      </c>
    </row>
    <row r="122" spans="1:11">
      <c r="A122" s="186">
        <v>46206</v>
      </c>
      <c r="B122" s="187">
        <v>27</v>
      </c>
      <c r="C122" s="188">
        <v>1</v>
      </c>
      <c r="D122" s="188">
        <v>225.7</v>
      </c>
      <c r="E122" s="178">
        <v>0.88963342530547895</v>
      </c>
      <c r="F122" s="188">
        <v>0</v>
      </c>
      <c r="G122" s="188">
        <v>59.47</v>
      </c>
      <c r="H122" s="178">
        <v>0.23441072132439891</v>
      </c>
      <c r="I122" s="188">
        <v>0</v>
      </c>
      <c r="J122" s="188">
        <v>0</v>
      </c>
      <c r="K122" s="178">
        <v>0</v>
      </c>
    </row>
    <row r="123" spans="1:11">
      <c r="A123" s="186">
        <v>46207</v>
      </c>
      <c r="B123" s="187">
        <v>27</v>
      </c>
      <c r="C123" s="188">
        <v>0</v>
      </c>
      <c r="D123" s="188">
        <v>225.7</v>
      </c>
      <c r="E123" s="178">
        <v>0.88963342530547895</v>
      </c>
      <c r="F123" s="188">
        <v>0</v>
      </c>
      <c r="G123" s="188">
        <v>59.47</v>
      </c>
      <c r="H123" s="178">
        <v>0.23441072132439891</v>
      </c>
      <c r="I123" s="188">
        <v>0</v>
      </c>
      <c r="J123" s="188">
        <v>0</v>
      </c>
      <c r="K123" s="178">
        <v>0</v>
      </c>
    </row>
    <row r="124" spans="1:11">
      <c r="A124" s="186">
        <v>46208</v>
      </c>
      <c r="B124" s="187">
        <v>28</v>
      </c>
      <c r="C124" s="188">
        <v>0</v>
      </c>
      <c r="D124" s="188">
        <v>225.7</v>
      </c>
      <c r="E124" s="178">
        <v>0.88963342530547895</v>
      </c>
      <c r="F124" s="188">
        <v>0</v>
      </c>
      <c r="G124" s="188">
        <v>59.47</v>
      </c>
      <c r="H124" s="178">
        <v>0.23441072132439891</v>
      </c>
      <c r="I124" s="188">
        <v>0</v>
      </c>
      <c r="J124" s="188">
        <v>0</v>
      </c>
      <c r="K124" s="178">
        <v>0</v>
      </c>
    </row>
    <row r="125" spans="1:11">
      <c r="A125" s="186">
        <v>46209</v>
      </c>
      <c r="B125" s="187">
        <v>28</v>
      </c>
      <c r="C125" s="188">
        <v>1</v>
      </c>
      <c r="D125" s="188">
        <v>226.7</v>
      </c>
      <c r="E125" s="178">
        <v>0.89357508868742608</v>
      </c>
      <c r="F125" s="188">
        <v>0</v>
      </c>
      <c r="G125" s="188">
        <v>59.47</v>
      </c>
      <c r="H125" s="178">
        <v>0.23441072132439891</v>
      </c>
      <c r="I125" s="188">
        <v>0</v>
      </c>
      <c r="J125" s="188">
        <v>0</v>
      </c>
      <c r="K125" s="178">
        <v>0</v>
      </c>
    </row>
    <row r="126" spans="1:11">
      <c r="A126" s="186">
        <v>46210</v>
      </c>
      <c r="B126" s="187">
        <v>28</v>
      </c>
      <c r="C126" s="188">
        <v>0</v>
      </c>
      <c r="D126" s="188">
        <v>226.7</v>
      </c>
      <c r="E126" s="178">
        <v>0.89357508868742608</v>
      </c>
      <c r="F126" s="188">
        <v>0</v>
      </c>
      <c r="G126" s="188">
        <v>59.47</v>
      </c>
      <c r="H126" s="178">
        <v>0.23441072132439891</v>
      </c>
      <c r="I126" s="188">
        <v>0</v>
      </c>
      <c r="J126" s="188">
        <v>0</v>
      </c>
      <c r="K126" s="178">
        <v>0</v>
      </c>
    </row>
    <row r="127" spans="1:11">
      <c r="A127" s="186">
        <v>46211</v>
      </c>
      <c r="B127" s="187">
        <v>28</v>
      </c>
      <c r="C127" s="188">
        <v>0</v>
      </c>
      <c r="D127" s="188">
        <v>226.7</v>
      </c>
      <c r="E127" s="178">
        <v>0.89357508868742608</v>
      </c>
      <c r="F127" s="188">
        <v>0</v>
      </c>
      <c r="G127" s="188">
        <v>59.47</v>
      </c>
      <c r="H127" s="178">
        <v>0.23441072132439891</v>
      </c>
      <c r="I127" s="188">
        <v>0</v>
      </c>
      <c r="J127" s="188">
        <v>0</v>
      </c>
      <c r="K127" s="178">
        <v>0</v>
      </c>
    </row>
    <row r="128" spans="1:11">
      <c r="A128" s="186">
        <v>46212</v>
      </c>
      <c r="B128" s="187">
        <v>28</v>
      </c>
      <c r="C128" s="188">
        <v>3</v>
      </c>
      <c r="D128" s="188">
        <v>229.7</v>
      </c>
      <c r="E128" s="178">
        <v>0.90540007883326767</v>
      </c>
      <c r="F128" s="188">
        <v>0</v>
      </c>
      <c r="G128" s="188">
        <v>59.47</v>
      </c>
      <c r="H128" s="178">
        <v>0.23441072132439891</v>
      </c>
      <c r="I128" s="188">
        <v>0</v>
      </c>
      <c r="J128" s="188">
        <v>0</v>
      </c>
      <c r="K128" s="178">
        <v>0</v>
      </c>
    </row>
    <row r="129" spans="1:11">
      <c r="A129" s="186">
        <v>46213</v>
      </c>
      <c r="B129" s="187">
        <v>28</v>
      </c>
      <c r="C129" s="188">
        <v>3</v>
      </c>
      <c r="D129" s="188">
        <v>232.7</v>
      </c>
      <c r="E129" s="178">
        <v>0.91722506897910916</v>
      </c>
      <c r="F129" s="188">
        <v>0</v>
      </c>
      <c r="G129" s="188">
        <v>59.47</v>
      </c>
      <c r="H129" s="178">
        <v>0.23441072132439891</v>
      </c>
      <c r="I129" s="188">
        <v>0</v>
      </c>
      <c r="J129" s="188">
        <v>0</v>
      </c>
      <c r="K129" s="178">
        <v>0</v>
      </c>
    </row>
    <row r="130" spans="1:11">
      <c r="A130" s="186">
        <v>46214</v>
      </c>
      <c r="B130" s="187">
        <v>28</v>
      </c>
      <c r="C130" s="188">
        <v>0</v>
      </c>
      <c r="D130" s="188">
        <v>232.7</v>
      </c>
      <c r="E130" s="178">
        <v>0.91722506897910916</v>
      </c>
      <c r="F130" s="188">
        <v>0</v>
      </c>
      <c r="G130" s="188">
        <v>59.47</v>
      </c>
      <c r="H130" s="178">
        <v>0.23441072132439891</v>
      </c>
      <c r="I130" s="188">
        <v>0</v>
      </c>
      <c r="J130" s="188">
        <v>0</v>
      </c>
      <c r="K130" s="178">
        <v>0</v>
      </c>
    </row>
    <row r="131" spans="1:11">
      <c r="A131" s="186">
        <v>46215</v>
      </c>
      <c r="B131" s="187">
        <v>29</v>
      </c>
      <c r="C131" s="188">
        <v>0</v>
      </c>
      <c r="D131" s="188">
        <v>232.7</v>
      </c>
      <c r="E131" s="178">
        <v>0.91722506897910916</v>
      </c>
      <c r="F131" s="188">
        <v>0</v>
      </c>
      <c r="G131" s="188">
        <v>59.47</v>
      </c>
      <c r="H131" s="178">
        <v>0.23441072132439891</v>
      </c>
      <c r="I131" s="188">
        <v>0</v>
      </c>
      <c r="J131" s="188">
        <v>0</v>
      </c>
      <c r="K131" s="178">
        <v>0</v>
      </c>
    </row>
    <row r="132" spans="1:11">
      <c r="A132" s="186">
        <v>46216</v>
      </c>
      <c r="B132" s="187">
        <v>29</v>
      </c>
      <c r="C132" s="188">
        <v>3</v>
      </c>
      <c r="D132" s="188">
        <v>235.7</v>
      </c>
      <c r="E132" s="178">
        <v>0.92905005912495076</v>
      </c>
      <c r="F132" s="188">
        <v>0</v>
      </c>
      <c r="G132" s="188">
        <v>59.47</v>
      </c>
      <c r="H132" s="178">
        <v>0.23441072132439891</v>
      </c>
      <c r="I132" s="188">
        <v>0</v>
      </c>
      <c r="J132" s="188">
        <v>0</v>
      </c>
      <c r="K132" s="178">
        <v>0</v>
      </c>
    </row>
    <row r="133" spans="1:11">
      <c r="A133" s="186">
        <v>46217</v>
      </c>
      <c r="B133" s="187">
        <v>29</v>
      </c>
      <c r="C133" s="188">
        <v>0</v>
      </c>
      <c r="D133" s="188">
        <v>235.7</v>
      </c>
      <c r="E133" s="178">
        <v>0.92905005912495076</v>
      </c>
      <c r="F133" s="188">
        <v>0</v>
      </c>
      <c r="G133" s="188">
        <v>59.47</v>
      </c>
      <c r="H133" s="178">
        <v>0.23441072132439891</v>
      </c>
      <c r="I133" s="188">
        <v>0</v>
      </c>
      <c r="J133" s="188">
        <v>0</v>
      </c>
      <c r="K133" s="178">
        <v>0</v>
      </c>
    </row>
    <row r="134" spans="1:11">
      <c r="A134" s="186">
        <v>46218</v>
      </c>
      <c r="B134" s="187">
        <v>29</v>
      </c>
      <c r="C134" s="188">
        <v>0</v>
      </c>
      <c r="D134" s="188">
        <v>235.7</v>
      </c>
      <c r="E134" s="178">
        <v>0.92905005912495076</v>
      </c>
      <c r="F134" s="188">
        <v>0</v>
      </c>
      <c r="G134" s="188">
        <v>59.47</v>
      </c>
      <c r="H134" s="178">
        <v>0.23441072132439891</v>
      </c>
      <c r="I134" s="188">
        <v>0</v>
      </c>
      <c r="J134" s="188">
        <v>0</v>
      </c>
      <c r="K134" s="178">
        <v>0</v>
      </c>
    </row>
    <row r="135" spans="1:11">
      <c r="A135" s="186">
        <v>46219</v>
      </c>
      <c r="B135" s="187">
        <v>29</v>
      </c>
      <c r="C135" s="188">
        <v>2</v>
      </c>
      <c r="D135" s="188">
        <v>237.7</v>
      </c>
      <c r="E135" s="178">
        <v>0.93693338588884512</v>
      </c>
      <c r="F135" s="188">
        <v>0</v>
      </c>
      <c r="G135" s="188">
        <v>59.47</v>
      </c>
      <c r="H135" s="178">
        <v>0.23441072132439891</v>
      </c>
      <c r="I135" s="188">
        <v>0</v>
      </c>
      <c r="J135" s="188">
        <v>0</v>
      </c>
      <c r="K135" s="178">
        <v>0</v>
      </c>
    </row>
    <row r="136" spans="1:11">
      <c r="A136" s="186">
        <v>46220</v>
      </c>
      <c r="B136" s="187">
        <v>29</v>
      </c>
      <c r="C136" s="188">
        <v>0</v>
      </c>
      <c r="D136" s="188">
        <v>237.7</v>
      </c>
      <c r="E136" s="178">
        <v>0.93693338588884512</v>
      </c>
      <c r="F136" s="188">
        <v>0</v>
      </c>
      <c r="G136" s="188">
        <v>59.47</v>
      </c>
      <c r="H136" s="178">
        <v>0.23441072132439891</v>
      </c>
      <c r="I136" s="188">
        <v>0</v>
      </c>
      <c r="J136" s="188">
        <v>0</v>
      </c>
      <c r="K136" s="178">
        <v>0</v>
      </c>
    </row>
    <row r="137" spans="1:11">
      <c r="A137" s="186">
        <v>46221</v>
      </c>
      <c r="B137" s="187">
        <v>29</v>
      </c>
      <c r="C137" s="188">
        <v>0</v>
      </c>
      <c r="D137" s="188">
        <v>237.7</v>
      </c>
      <c r="E137" s="178">
        <v>0.93693338588884512</v>
      </c>
      <c r="F137" s="188">
        <v>0</v>
      </c>
      <c r="G137" s="188">
        <v>59.47</v>
      </c>
      <c r="H137" s="178">
        <v>0.23441072132439891</v>
      </c>
      <c r="I137" s="188">
        <v>0</v>
      </c>
      <c r="J137" s="188">
        <v>0</v>
      </c>
      <c r="K137" s="178">
        <v>0</v>
      </c>
    </row>
    <row r="138" spans="1:11">
      <c r="A138" s="186">
        <v>46222</v>
      </c>
      <c r="B138" s="187">
        <v>30</v>
      </c>
      <c r="C138" s="188">
        <v>0</v>
      </c>
      <c r="D138" s="188">
        <v>237.7</v>
      </c>
      <c r="E138" s="178">
        <v>0.93693338588884512</v>
      </c>
      <c r="F138" s="188">
        <v>0</v>
      </c>
      <c r="G138" s="188">
        <v>59.47</v>
      </c>
      <c r="H138" s="178">
        <v>0.23441072132439891</v>
      </c>
      <c r="I138" s="188">
        <v>0</v>
      </c>
      <c r="J138" s="188">
        <v>0</v>
      </c>
      <c r="K138" s="178">
        <v>0</v>
      </c>
    </row>
    <row r="139" spans="1:11">
      <c r="A139" s="186">
        <v>46223</v>
      </c>
      <c r="B139" s="187">
        <v>30</v>
      </c>
      <c r="C139" s="188">
        <v>1</v>
      </c>
      <c r="D139" s="188">
        <v>238.7</v>
      </c>
      <c r="E139" s="178">
        <v>0.94087504927079224</v>
      </c>
      <c r="F139" s="188">
        <v>0</v>
      </c>
      <c r="G139" s="188">
        <v>59.47</v>
      </c>
      <c r="H139" s="178">
        <v>0.23441072132439891</v>
      </c>
      <c r="I139" s="188">
        <v>0</v>
      </c>
      <c r="J139" s="188">
        <v>0</v>
      </c>
      <c r="K139" s="178">
        <v>0</v>
      </c>
    </row>
    <row r="140" spans="1:11">
      <c r="A140" s="186">
        <v>46224</v>
      </c>
      <c r="B140" s="187">
        <v>30</v>
      </c>
      <c r="C140" s="188">
        <v>1</v>
      </c>
      <c r="D140" s="188">
        <v>239.7</v>
      </c>
      <c r="E140" s="178">
        <v>0.94481671265273948</v>
      </c>
      <c r="F140" s="188">
        <v>0</v>
      </c>
      <c r="G140" s="188">
        <v>59.47</v>
      </c>
      <c r="H140" s="178">
        <v>0.23441072132439891</v>
      </c>
      <c r="I140" s="188">
        <v>0</v>
      </c>
      <c r="J140" s="188">
        <v>0</v>
      </c>
      <c r="K140" s="178">
        <v>0</v>
      </c>
    </row>
    <row r="141" spans="1:11">
      <c r="A141" s="186">
        <v>46225</v>
      </c>
      <c r="B141" s="187">
        <v>30</v>
      </c>
      <c r="C141" s="188">
        <v>1</v>
      </c>
      <c r="D141" s="188">
        <v>240.7</v>
      </c>
      <c r="E141" s="178">
        <v>0.9487583760346866</v>
      </c>
      <c r="F141" s="188">
        <v>0</v>
      </c>
      <c r="G141" s="188">
        <v>59.47</v>
      </c>
      <c r="H141" s="178">
        <v>0.23441072132439891</v>
      </c>
      <c r="I141" s="188">
        <v>0</v>
      </c>
      <c r="J141" s="188">
        <v>0</v>
      </c>
      <c r="K141" s="178">
        <v>0</v>
      </c>
    </row>
    <row r="142" spans="1:11">
      <c r="A142" s="186">
        <v>46226</v>
      </c>
      <c r="B142" s="187">
        <v>30</v>
      </c>
      <c r="C142" s="188">
        <v>2</v>
      </c>
      <c r="D142" s="188">
        <v>242.7</v>
      </c>
      <c r="E142" s="178">
        <v>0.95664170279858096</v>
      </c>
      <c r="F142" s="188">
        <v>0</v>
      </c>
      <c r="G142" s="188">
        <v>59.47</v>
      </c>
      <c r="H142" s="178">
        <v>0.23441072132439891</v>
      </c>
      <c r="I142" s="188">
        <v>0</v>
      </c>
      <c r="J142" s="188">
        <v>0</v>
      </c>
      <c r="K142" s="178">
        <v>0</v>
      </c>
    </row>
    <row r="143" spans="1:11">
      <c r="A143" s="186">
        <v>46227</v>
      </c>
      <c r="B143" s="187">
        <v>30</v>
      </c>
      <c r="C143" s="188">
        <v>2</v>
      </c>
      <c r="D143" s="188">
        <v>244.7</v>
      </c>
      <c r="E143" s="178">
        <v>0.96452502956247532</v>
      </c>
      <c r="F143" s="188">
        <v>0</v>
      </c>
      <c r="G143" s="188">
        <v>59.47</v>
      </c>
      <c r="H143" s="178">
        <v>0.23441072132439891</v>
      </c>
      <c r="I143" s="188">
        <v>0</v>
      </c>
      <c r="J143" s="188">
        <v>0</v>
      </c>
      <c r="K143" s="178">
        <v>0</v>
      </c>
    </row>
    <row r="144" spans="1:11">
      <c r="A144" s="186">
        <v>46228</v>
      </c>
      <c r="B144" s="187">
        <v>30</v>
      </c>
      <c r="C144" s="188">
        <v>0</v>
      </c>
      <c r="D144" s="188">
        <v>244.7</v>
      </c>
      <c r="E144" s="178">
        <v>0.96452502956247532</v>
      </c>
      <c r="F144" s="188">
        <v>0</v>
      </c>
      <c r="G144" s="188">
        <v>59.47</v>
      </c>
      <c r="H144" s="178">
        <v>0.23441072132439891</v>
      </c>
      <c r="I144" s="188">
        <v>0</v>
      </c>
      <c r="J144" s="188">
        <v>0</v>
      </c>
      <c r="K144" s="178">
        <v>0</v>
      </c>
    </row>
    <row r="145" spans="1:11">
      <c r="A145" s="186">
        <v>46229</v>
      </c>
      <c r="B145" s="187">
        <v>31</v>
      </c>
      <c r="C145" s="188">
        <v>0</v>
      </c>
      <c r="D145" s="188">
        <v>244.7</v>
      </c>
      <c r="E145" s="178">
        <v>0.96452502956247532</v>
      </c>
      <c r="F145" s="188">
        <v>0</v>
      </c>
      <c r="G145" s="188">
        <v>59.47</v>
      </c>
      <c r="H145" s="178">
        <v>0.23441072132439891</v>
      </c>
      <c r="I145" s="188">
        <v>0</v>
      </c>
      <c r="J145" s="188">
        <v>0</v>
      </c>
      <c r="K145" s="178">
        <v>0</v>
      </c>
    </row>
    <row r="146" spans="1:11">
      <c r="A146" s="186">
        <v>46230</v>
      </c>
      <c r="B146" s="187">
        <v>31</v>
      </c>
      <c r="C146" s="188">
        <v>2</v>
      </c>
      <c r="D146" s="188">
        <v>246.7</v>
      </c>
      <c r="E146" s="178">
        <v>0.97240835632636968</v>
      </c>
      <c r="F146" s="188">
        <v>0</v>
      </c>
      <c r="G146" s="188">
        <v>59.47</v>
      </c>
      <c r="H146" s="178">
        <v>0.23441072132439891</v>
      </c>
      <c r="I146" s="188">
        <v>0</v>
      </c>
      <c r="J146" s="188">
        <v>0</v>
      </c>
      <c r="K146" s="178">
        <v>0</v>
      </c>
    </row>
    <row r="147" spans="1:11">
      <c r="A147" s="186">
        <v>46231</v>
      </c>
      <c r="B147" s="187">
        <v>31</v>
      </c>
      <c r="C147" s="188">
        <v>1</v>
      </c>
      <c r="D147" s="188">
        <v>247.7</v>
      </c>
      <c r="E147" s="178">
        <v>0.97635001970831692</v>
      </c>
      <c r="F147" s="188">
        <v>0</v>
      </c>
      <c r="G147" s="188">
        <v>59.47</v>
      </c>
      <c r="H147" s="178">
        <v>0.23441072132439891</v>
      </c>
      <c r="I147" s="188">
        <v>0</v>
      </c>
      <c r="J147" s="188">
        <v>0</v>
      </c>
      <c r="K147" s="178">
        <v>0</v>
      </c>
    </row>
    <row r="148" spans="1:11">
      <c r="A148" s="186">
        <v>46232</v>
      </c>
      <c r="B148" s="187">
        <v>31</v>
      </c>
      <c r="C148" s="188">
        <v>1</v>
      </c>
      <c r="D148" s="188">
        <v>248.7</v>
      </c>
      <c r="E148" s="178">
        <v>0.98029168309026404</v>
      </c>
      <c r="F148" s="188">
        <v>0</v>
      </c>
      <c r="G148" s="188">
        <v>59.47</v>
      </c>
      <c r="H148" s="178">
        <v>0.23441072132439891</v>
      </c>
      <c r="I148" s="188">
        <v>0</v>
      </c>
      <c r="J148" s="188">
        <v>0</v>
      </c>
      <c r="K148" s="178">
        <v>0</v>
      </c>
    </row>
    <row r="149" spans="1:11">
      <c r="A149" s="186">
        <v>46233</v>
      </c>
      <c r="B149" s="187">
        <v>31</v>
      </c>
      <c r="C149" s="188">
        <v>1</v>
      </c>
      <c r="D149" s="188">
        <v>249.7</v>
      </c>
      <c r="E149" s="178">
        <v>0.98423334647221128</v>
      </c>
      <c r="F149" s="188">
        <v>0</v>
      </c>
      <c r="G149" s="188">
        <v>59.47</v>
      </c>
      <c r="H149" s="178">
        <v>0.23441072132439891</v>
      </c>
      <c r="I149" s="188">
        <v>0</v>
      </c>
      <c r="J149" s="188">
        <v>0</v>
      </c>
      <c r="K149" s="178">
        <v>0</v>
      </c>
    </row>
    <row r="150" spans="1:11">
      <c r="A150" s="186">
        <v>46234</v>
      </c>
      <c r="B150" s="187">
        <v>31</v>
      </c>
      <c r="C150" s="188">
        <v>1</v>
      </c>
      <c r="D150" s="188">
        <v>250.7</v>
      </c>
      <c r="E150" s="178">
        <v>0.9881750098541584</v>
      </c>
      <c r="F150" s="188">
        <v>0</v>
      </c>
      <c r="G150" s="188">
        <v>59.47</v>
      </c>
      <c r="H150" s="178">
        <v>0.23441072132439891</v>
      </c>
      <c r="I150" s="188">
        <v>0</v>
      </c>
      <c r="J150" s="188">
        <v>0</v>
      </c>
      <c r="K150" s="178">
        <v>0</v>
      </c>
    </row>
    <row r="151" spans="1:11">
      <c r="A151" s="186">
        <v>46235</v>
      </c>
      <c r="B151" s="187">
        <v>31</v>
      </c>
      <c r="C151" s="188">
        <v>0</v>
      </c>
      <c r="D151" s="188">
        <v>250.7</v>
      </c>
      <c r="E151" s="178">
        <v>0.9881750098541584</v>
      </c>
      <c r="F151" s="188">
        <v>0</v>
      </c>
      <c r="G151" s="188">
        <v>59.47</v>
      </c>
      <c r="H151" s="178">
        <v>0.23441072132439891</v>
      </c>
      <c r="I151" s="188">
        <v>0</v>
      </c>
      <c r="J151" s="188">
        <v>0</v>
      </c>
      <c r="K151" s="178">
        <v>0</v>
      </c>
    </row>
    <row r="152" spans="1:11">
      <c r="A152" s="186">
        <v>46236</v>
      </c>
      <c r="B152" s="187">
        <v>32</v>
      </c>
      <c r="C152" s="188">
        <v>0</v>
      </c>
      <c r="D152" s="188">
        <v>250.7</v>
      </c>
      <c r="E152" s="178">
        <v>0.9881750098541584</v>
      </c>
      <c r="F152" s="188">
        <v>0</v>
      </c>
      <c r="G152" s="188">
        <v>59.47</v>
      </c>
      <c r="H152" s="178">
        <v>0.23441072132439891</v>
      </c>
      <c r="I152" s="188">
        <v>0</v>
      </c>
      <c r="J152" s="188">
        <v>0</v>
      </c>
      <c r="K152" s="178">
        <v>0</v>
      </c>
    </row>
    <row r="153" spans="1:11">
      <c r="A153" s="186">
        <v>46237</v>
      </c>
      <c r="B153" s="187">
        <v>32</v>
      </c>
      <c r="C153" s="188">
        <v>3</v>
      </c>
      <c r="D153" s="188">
        <v>253.7</v>
      </c>
      <c r="E153" s="178">
        <v>1</v>
      </c>
      <c r="F153" s="188">
        <v>0</v>
      </c>
      <c r="G153" s="188">
        <v>59.47</v>
      </c>
      <c r="H153" s="178">
        <v>0.23441072132439891</v>
      </c>
      <c r="I153" s="188">
        <v>0</v>
      </c>
      <c r="J153" s="188">
        <v>0</v>
      </c>
      <c r="K153" s="178">
        <v>0</v>
      </c>
    </row>
    <row r="154" spans="1:11">
      <c r="A154" s="186">
        <v>46238</v>
      </c>
      <c r="B154" s="187">
        <v>32</v>
      </c>
      <c r="C154" s="188">
        <v>0</v>
      </c>
      <c r="D154" s="188">
        <v>253.7</v>
      </c>
      <c r="E154" s="178">
        <v>1</v>
      </c>
      <c r="F154" s="188">
        <v>0</v>
      </c>
      <c r="G154" s="188">
        <v>59.47</v>
      </c>
      <c r="H154" s="178">
        <v>0.23441072132439891</v>
      </c>
      <c r="I154" s="188">
        <v>0</v>
      </c>
      <c r="J154" s="188">
        <v>0</v>
      </c>
      <c r="K154" s="178">
        <v>0</v>
      </c>
    </row>
    <row r="155" spans="1:11">
      <c r="A155" s="186">
        <v>46239</v>
      </c>
      <c r="B155" s="187">
        <v>32</v>
      </c>
      <c r="C155" s="188">
        <v>0</v>
      </c>
      <c r="D155" s="188">
        <v>253.7</v>
      </c>
      <c r="E155" s="178">
        <v>1</v>
      </c>
      <c r="F155" s="188">
        <v>0</v>
      </c>
      <c r="G155" s="188">
        <v>59.47</v>
      </c>
      <c r="H155" s="178">
        <v>0.23441072132439891</v>
      </c>
      <c r="I155" s="188">
        <v>0</v>
      </c>
      <c r="J155" s="188">
        <v>0</v>
      </c>
      <c r="K155" s="178">
        <v>0</v>
      </c>
    </row>
    <row r="156" spans="1:11">
      <c r="A156" s="186">
        <v>46240</v>
      </c>
      <c r="B156" s="187">
        <v>32</v>
      </c>
      <c r="C156" s="188">
        <v>0</v>
      </c>
      <c r="D156" s="188">
        <v>253.7</v>
      </c>
      <c r="E156" s="178">
        <v>1</v>
      </c>
      <c r="F156" s="188">
        <v>0</v>
      </c>
      <c r="G156" s="188">
        <v>59.47</v>
      </c>
      <c r="H156" s="178">
        <v>0.23441072132439891</v>
      </c>
      <c r="I156" s="188">
        <v>0</v>
      </c>
      <c r="J156" s="188">
        <v>0</v>
      </c>
      <c r="K156" s="178">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I288"/>
  <sheetViews>
    <sheetView showGridLines="0" zoomScale="85" zoomScaleNormal="85" workbookViewId="0">
      <pane ySplit="1" topLeftCell="A3" activePane="bottomLeft" state="frozenSplit"/>
      <selection pane="bottomLeft" activeCell="A33" sqref="A33"/>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125" style="62" customWidth="1"/>
    <col min="8" max="8" width="18.375" style="62" bestFit="1" customWidth="1"/>
    <col min="9" max="9" width="11.125" style="62" bestFit="1" customWidth="1"/>
    <col min="10" max="10" width="27.375" style="62" bestFit="1" customWidth="1"/>
    <col min="11" max="26" width="10" style="62" customWidth="1"/>
    <col min="27" max="27" width="0" style="62" hidden="1"/>
    <col min="28" max="28" width="10" style="62" customWidth="1"/>
    <col min="29" max="16384" width="10" style="62"/>
  </cols>
  <sheetData>
    <row r="1" spans="1:9" ht="36.950000000000003" customHeight="1">
      <c r="A1" s="1" t="s">
        <v>456</v>
      </c>
      <c r="B1" s="1"/>
      <c r="C1" s="1"/>
      <c r="D1" s="1"/>
      <c r="E1" s="1"/>
      <c r="F1" s="1"/>
      <c r="G1" s="1"/>
      <c r="H1" s="1"/>
    </row>
    <row r="2" spans="1:9" s="63" customFormat="1" ht="78.75" customHeight="1">
      <c r="A2" s="264" t="s">
        <v>457</v>
      </c>
      <c r="B2" s="265"/>
      <c r="C2" s="265"/>
      <c r="D2" s="265"/>
      <c r="E2" s="265"/>
      <c r="F2" s="265"/>
      <c r="G2" s="265"/>
      <c r="H2" s="265"/>
    </row>
    <row r="3" spans="1:9" s="63" customFormat="1" ht="24.75" customHeight="1">
      <c r="A3" s="262" t="s">
        <v>458</v>
      </c>
      <c r="B3" s="263"/>
      <c r="D3" s="262" t="s">
        <v>459</v>
      </c>
      <c r="E3" s="263"/>
      <c r="G3" s="262" t="s">
        <v>460</v>
      </c>
      <c r="H3" s="263"/>
    </row>
    <row r="4" spans="1:9" s="65" customFormat="1" ht="19.5" customHeight="1">
      <c r="A4" s="64" t="s">
        <v>461</v>
      </c>
      <c r="B4" s="64" t="s">
        <v>462</v>
      </c>
      <c r="D4" s="64" t="s">
        <v>461</v>
      </c>
      <c r="E4" s="64" t="s">
        <v>462</v>
      </c>
      <c r="G4" s="64" t="s">
        <v>461</v>
      </c>
      <c r="H4" s="64" t="s">
        <v>462</v>
      </c>
    </row>
    <row r="5" spans="1:9" s="73" customFormat="1" ht="17.100000000000001" customHeight="1">
      <c r="A5" s="71" t="s">
        <v>463</v>
      </c>
      <c r="B5" s="72">
        <v>46023</v>
      </c>
      <c r="C5" s="73" t="str">
        <f t="shared" ref="C5:C68" si="0">IF(B5&gt;0,TEXT(B5,"(aaa)"),"")</f>
        <v>(목)</v>
      </c>
      <c r="D5" s="71"/>
      <c r="E5" s="72"/>
      <c r="F5" s="73" t="str">
        <f t="shared" ref="F5:F68" si="1">IF(E5&gt;0,TEXT(E5,"(aaa)"),"")</f>
        <v/>
      </c>
      <c r="G5" s="71"/>
      <c r="H5" s="72"/>
      <c r="I5" s="73" t="str">
        <f t="shared" ref="I5:I68" si="2">IF(H5&gt;0,TEXT(H5,"(aaa)"),"")</f>
        <v/>
      </c>
    </row>
    <row r="6" spans="1:9" s="73" customFormat="1" ht="17.100000000000001" customHeight="1">
      <c r="A6" s="71" t="s">
        <v>464</v>
      </c>
      <c r="B6" s="72">
        <v>46069</v>
      </c>
      <c r="C6" s="73" t="str">
        <f t="shared" si="0"/>
        <v>(월)</v>
      </c>
      <c r="D6" s="71"/>
      <c r="E6" s="72"/>
      <c r="F6" s="73" t="str">
        <f t="shared" si="1"/>
        <v/>
      </c>
      <c r="G6" s="71"/>
      <c r="H6" s="72"/>
      <c r="I6" s="73" t="str">
        <f t="shared" si="2"/>
        <v/>
      </c>
    </row>
    <row r="7" spans="1:9" s="73" customFormat="1" ht="17.100000000000001" customHeight="1">
      <c r="A7" s="71" t="s">
        <v>465</v>
      </c>
      <c r="B7" s="72">
        <v>46070</v>
      </c>
      <c r="C7" s="73" t="str">
        <f t="shared" si="0"/>
        <v>(화)</v>
      </c>
      <c r="D7" s="71"/>
      <c r="E7" s="72"/>
      <c r="F7" s="73" t="str">
        <f t="shared" si="1"/>
        <v/>
      </c>
      <c r="G7" s="71"/>
      <c r="H7" s="72"/>
      <c r="I7" s="73" t="str">
        <f t="shared" si="2"/>
        <v/>
      </c>
    </row>
    <row r="8" spans="1:9" s="73" customFormat="1" ht="17.100000000000001" customHeight="1">
      <c r="A8" s="71" t="s">
        <v>464</v>
      </c>
      <c r="B8" s="72">
        <v>46071</v>
      </c>
      <c r="C8" s="73" t="str">
        <f t="shared" si="0"/>
        <v>(수)</v>
      </c>
      <c r="D8" s="71"/>
      <c r="E8" s="72"/>
      <c r="F8" s="73" t="str">
        <f t="shared" si="1"/>
        <v/>
      </c>
      <c r="G8" s="71"/>
      <c r="H8" s="72"/>
      <c r="I8" s="73" t="str">
        <f t="shared" si="2"/>
        <v/>
      </c>
    </row>
    <row r="9" spans="1:9" s="73" customFormat="1" ht="17.100000000000001" customHeight="1">
      <c r="A9" s="71" t="s">
        <v>466</v>
      </c>
      <c r="B9" s="72">
        <v>46083</v>
      </c>
      <c r="C9" s="73" t="str">
        <f t="shared" si="0"/>
        <v>(월)</v>
      </c>
      <c r="D9" s="71"/>
      <c r="E9" s="72"/>
      <c r="F9" s="73" t="str">
        <f t="shared" si="1"/>
        <v/>
      </c>
      <c r="G9" s="71"/>
      <c r="H9" s="72"/>
      <c r="I9" s="73" t="str">
        <f t="shared" si="2"/>
        <v/>
      </c>
    </row>
    <row r="10" spans="1:9" s="73" customFormat="1" ht="17.100000000000001" customHeight="1">
      <c r="A10" s="71" t="s">
        <v>467</v>
      </c>
      <c r="B10" s="72">
        <v>46147</v>
      </c>
      <c r="C10" s="73" t="str">
        <f t="shared" si="0"/>
        <v>(화)</v>
      </c>
      <c r="D10" s="71"/>
      <c r="E10" s="72"/>
      <c r="F10" s="73" t="str">
        <f t="shared" si="1"/>
        <v/>
      </c>
      <c r="G10" s="71"/>
      <c r="H10" s="72"/>
      <c r="I10" s="73" t="str">
        <f t="shared" si="2"/>
        <v/>
      </c>
    </row>
    <row r="11" spans="1:9" s="73" customFormat="1" ht="17.100000000000001" customHeight="1">
      <c r="A11" s="71" t="s">
        <v>468</v>
      </c>
      <c r="B11" s="72">
        <v>46167</v>
      </c>
      <c r="C11" s="73" t="str">
        <f t="shared" si="0"/>
        <v>(월)</v>
      </c>
      <c r="D11" s="71"/>
      <c r="E11" s="72"/>
      <c r="F11" s="73" t="str">
        <f t="shared" si="1"/>
        <v/>
      </c>
      <c r="G11" s="71"/>
      <c r="H11" s="72"/>
      <c r="I11" s="73" t="str">
        <f t="shared" si="2"/>
        <v/>
      </c>
    </row>
    <row r="12" spans="1:9" s="73" customFormat="1" ht="17.100000000000001" customHeight="1">
      <c r="A12" s="71" t="s">
        <v>469</v>
      </c>
      <c r="B12" s="72">
        <v>46176</v>
      </c>
      <c r="C12" s="73" t="str">
        <f t="shared" si="0"/>
        <v>(수)</v>
      </c>
      <c r="D12" s="71"/>
      <c r="E12" s="72"/>
      <c r="F12" s="73" t="str">
        <f t="shared" si="1"/>
        <v/>
      </c>
      <c r="G12" s="71"/>
      <c r="H12" s="72"/>
      <c r="I12" s="73" t="str">
        <f t="shared" si="2"/>
        <v/>
      </c>
    </row>
    <row r="13" spans="1:9" s="73" customFormat="1" ht="17.100000000000001" customHeight="1">
      <c r="A13" s="71" t="s">
        <v>470</v>
      </c>
      <c r="B13" s="72">
        <v>46220</v>
      </c>
      <c r="C13" s="73" t="str">
        <f t="shared" si="0"/>
        <v>(금)</v>
      </c>
      <c r="D13" s="71"/>
      <c r="E13" s="72"/>
      <c r="F13" s="73" t="str">
        <f t="shared" si="1"/>
        <v/>
      </c>
      <c r="G13" s="71"/>
      <c r="H13" s="72"/>
      <c r="I13" s="73" t="str">
        <f t="shared" si="2"/>
        <v/>
      </c>
    </row>
    <row r="14" spans="1:9" s="73" customFormat="1" ht="17.100000000000001" customHeight="1">
      <c r="A14" s="71" t="s">
        <v>471</v>
      </c>
      <c r="B14" s="72">
        <v>46251</v>
      </c>
      <c r="C14" s="73" t="str">
        <f t="shared" si="0"/>
        <v>(월)</v>
      </c>
      <c r="D14" s="71"/>
      <c r="E14" s="72"/>
      <c r="F14" s="73" t="str">
        <f t="shared" si="1"/>
        <v/>
      </c>
      <c r="G14" s="71"/>
      <c r="H14" s="72"/>
      <c r="I14" s="73" t="str">
        <f t="shared" si="2"/>
        <v/>
      </c>
    </row>
    <row r="15" spans="1:9" s="73" customFormat="1" ht="17.100000000000001" customHeight="1">
      <c r="A15" s="71" t="s">
        <v>472</v>
      </c>
      <c r="B15" s="72">
        <v>46289</v>
      </c>
      <c r="C15" s="73" t="str">
        <f t="shared" si="0"/>
        <v>(목)</v>
      </c>
      <c r="D15" s="71"/>
      <c r="E15" s="72"/>
      <c r="F15" s="73" t="str">
        <f t="shared" si="1"/>
        <v/>
      </c>
      <c r="G15" s="71"/>
      <c r="H15" s="72"/>
      <c r="I15" s="73" t="str">
        <f t="shared" si="2"/>
        <v/>
      </c>
    </row>
    <row r="16" spans="1:9" s="73" customFormat="1" ht="17.100000000000001" customHeight="1">
      <c r="A16" s="71" t="s">
        <v>473</v>
      </c>
      <c r="B16" s="72">
        <v>46290</v>
      </c>
      <c r="C16" s="73" t="str">
        <f t="shared" si="0"/>
        <v>(금)</v>
      </c>
      <c r="D16" s="71"/>
      <c r="E16" s="72"/>
      <c r="F16" s="73" t="str">
        <f t="shared" si="1"/>
        <v/>
      </c>
      <c r="G16" s="71"/>
      <c r="H16" s="72"/>
      <c r="I16" s="73" t="str">
        <f t="shared" si="2"/>
        <v/>
      </c>
    </row>
    <row r="17" spans="1:9" s="73" customFormat="1" ht="17.100000000000001" customHeight="1">
      <c r="A17" s="71" t="s">
        <v>474</v>
      </c>
      <c r="B17" s="72">
        <v>46300</v>
      </c>
      <c r="C17" s="73" t="str">
        <f t="shared" si="0"/>
        <v>(월)</v>
      </c>
      <c r="D17" s="71"/>
      <c r="E17" s="72"/>
      <c r="F17" s="73" t="str">
        <f t="shared" si="1"/>
        <v/>
      </c>
      <c r="G17" s="71"/>
      <c r="H17" s="72"/>
      <c r="I17" s="73" t="str">
        <f t="shared" si="2"/>
        <v/>
      </c>
    </row>
    <row r="18" spans="1:9" s="73" customFormat="1" ht="17.100000000000001" customHeight="1">
      <c r="A18" s="71" t="s">
        <v>475</v>
      </c>
      <c r="B18" s="72">
        <v>46304</v>
      </c>
      <c r="C18" s="73" t="str">
        <f t="shared" si="0"/>
        <v>(금)</v>
      </c>
      <c r="D18" s="71"/>
      <c r="E18" s="72"/>
      <c r="F18" s="73" t="str">
        <f t="shared" si="1"/>
        <v/>
      </c>
      <c r="G18" s="71"/>
      <c r="H18" s="72"/>
      <c r="I18" s="73" t="str">
        <f t="shared" si="2"/>
        <v/>
      </c>
    </row>
    <row r="19" spans="1:9" s="73" customFormat="1" ht="17.100000000000001" customHeight="1">
      <c r="A19" s="71" t="s">
        <v>476</v>
      </c>
      <c r="B19" s="72">
        <v>46381</v>
      </c>
      <c r="C19" s="73" t="str">
        <f t="shared" si="0"/>
        <v>(금)</v>
      </c>
      <c r="D19" s="71"/>
      <c r="E19" s="72"/>
      <c r="F19" s="73" t="str">
        <f t="shared" si="1"/>
        <v/>
      </c>
      <c r="G19" s="71"/>
      <c r="H19" s="72"/>
      <c r="I19" s="73" t="str">
        <f t="shared" si="2"/>
        <v/>
      </c>
    </row>
    <row r="20" spans="1:9" s="73" customFormat="1" ht="17.100000000000001" customHeight="1">
      <c r="A20" s="71" t="s">
        <v>477</v>
      </c>
      <c r="B20" s="72">
        <v>46388</v>
      </c>
      <c r="C20" s="73" t="str">
        <f t="shared" si="0"/>
        <v>(금)</v>
      </c>
      <c r="D20" s="71"/>
      <c r="E20" s="72"/>
      <c r="F20" s="73" t="str">
        <f t="shared" si="1"/>
        <v/>
      </c>
      <c r="G20" s="71"/>
      <c r="H20" s="72"/>
      <c r="I20" s="73" t="str">
        <f t="shared" si="2"/>
        <v/>
      </c>
    </row>
    <row r="21" spans="1:9" s="73" customFormat="1" ht="17.100000000000001" customHeight="1">
      <c r="A21" s="71" t="s">
        <v>478</v>
      </c>
      <c r="B21" s="72">
        <v>46426</v>
      </c>
      <c r="C21" s="73" t="str">
        <f t="shared" si="0"/>
        <v>(월)</v>
      </c>
      <c r="D21" s="71"/>
      <c r="E21" s="72"/>
      <c r="F21" s="73" t="str">
        <f t="shared" si="1"/>
        <v/>
      </c>
      <c r="G21" s="71"/>
      <c r="H21" s="72"/>
      <c r="I21" s="73" t="str">
        <f t="shared" si="2"/>
        <v/>
      </c>
    </row>
    <row r="22" spans="1:9" s="73" customFormat="1" ht="17.100000000000001" customHeight="1">
      <c r="A22" s="71" t="s">
        <v>479</v>
      </c>
      <c r="B22" s="72">
        <v>46427</v>
      </c>
      <c r="C22" s="73" t="str">
        <f t="shared" si="0"/>
        <v>(화)</v>
      </c>
      <c r="D22" s="71"/>
      <c r="E22" s="72"/>
      <c r="F22" s="73" t="str">
        <f t="shared" si="1"/>
        <v/>
      </c>
      <c r="G22" s="71"/>
      <c r="H22" s="72"/>
      <c r="I22" s="73" t="str">
        <f t="shared" si="2"/>
        <v/>
      </c>
    </row>
    <row r="23" spans="1:9" s="73" customFormat="1" ht="17.100000000000001" customHeight="1">
      <c r="A23" s="71" t="s">
        <v>480</v>
      </c>
      <c r="B23" s="72">
        <v>46447</v>
      </c>
      <c r="C23" s="73" t="str">
        <f t="shared" si="0"/>
        <v>(월)</v>
      </c>
      <c r="D23" s="71"/>
      <c r="E23" s="72"/>
      <c r="F23" s="73" t="str">
        <f t="shared" si="1"/>
        <v/>
      </c>
      <c r="G23" s="71"/>
      <c r="H23" s="72"/>
      <c r="I23" s="73" t="str">
        <f t="shared" si="2"/>
        <v/>
      </c>
    </row>
    <row r="24" spans="1:9" s="73" customFormat="1" ht="17.100000000000001" customHeight="1">
      <c r="A24" s="71" t="s">
        <v>481</v>
      </c>
      <c r="B24" s="72">
        <v>46512</v>
      </c>
      <c r="C24" s="73" t="str">
        <f t="shared" si="0"/>
        <v>(수)</v>
      </c>
      <c r="D24" s="71"/>
      <c r="E24" s="72"/>
      <c r="F24" s="73" t="str">
        <f t="shared" si="1"/>
        <v/>
      </c>
      <c r="G24" s="71"/>
      <c r="H24" s="72"/>
      <c r="I24" s="73" t="str">
        <f t="shared" si="2"/>
        <v/>
      </c>
    </row>
    <row r="25" spans="1:9" s="73" customFormat="1" ht="17.100000000000001" customHeight="1">
      <c r="A25" s="71" t="s">
        <v>482</v>
      </c>
      <c r="B25" s="72">
        <v>46520</v>
      </c>
      <c r="C25" s="73" t="str">
        <f t="shared" si="0"/>
        <v>(목)</v>
      </c>
      <c r="D25" s="71"/>
      <c r="E25" s="72"/>
      <c r="F25" s="73" t="str">
        <f t="shared" si="1"/>
        <v/>
      </c>
      <c r="G25" s="71"/>
      <c r="H25" s="72"/>
      <c r="I25" s="73" t="str">
        <f t="shared" si="2"/>
        <v/>
      </c>
    </row>
    <row r="26" spans="1:9" s="73" customFormat="1" ht="17.100000000000001" customHeight="1">
      <c r="A26" s="71" t="s">
        <v>483</v>
      </c>
      <c r="B26" s="72">
        <v>46615</v>
      </c>
      <c r="C26" s="73" t="str">
        <f t="shared" si="0"/>
        <v>(월)</v>
      </c>
      <c r="D26" s="71"/>
      <c r="E26" s="72"/>
      <c r="F26" s="73" t="str">
        <f t="shared" si="1"/>
        <v/>
      </c>
      <c r="G26" s="71"/>
      <c r="H26" s="72"/>
      <c r="I26" s="73" t="str">
        <f t="shared" si="2"/>
        <v/>
      </c>
    </row>
    <row r="27" spans="1:9" s="73" customFormat="1" ht="17.100000000000001" customHeight="1">
      <c r="A27" s="71" t="s">
        <v>484</v>
      </c>
      <c r="B27" s="72">
        <v>46644</v>
      </c>
      <c r="C27" s="73" t="str">
        <f t="shared" si="0"/>
        <v>(화)</v>
      </c>
      <c r="D27" s="71"/>
      <c r="E27" s="72"/>
      <c r="F27" s="73" t="str">
        <f t="shared" si="1"/>
        <v/>
      </c>
      <c r="G27" s="71"/>
      <c r="H27" s="72"/>
      <c r="I27" s="73" t="str">
        <f t="shared" si="2"/>
        <v/>
      </c>
    </row>
    <row r="28" spans="1:9" s="73" customFormat="1" ht="17.100000000000001" customHeight="1">
      <c r="A28" s="71" t="s">
        <v>485</v>
      </c>
      <c r="B28" s="72">
        <v>46645</v>
      </c>
      <c r="C28" s="73" t="str">
        <f t="shared" si="0"/>
        <v>(수)</v>
      </c>
      <c r="D28" s="71"/>
      <c r="E28" s="72"/>
      <c r="F28" s="73" t="str">
        <f t="shared" si="1"/>
        <v/>
      </c>
      <c r="G28" s="71"/>
      <c r="H28" s="72"/>
      <c r="I28" s="73" t="str">
        <f t="shared" si="2"/>
        <v/>
      </c>
    </row>
    <row r="29" spans="1:9" s="73" customFormat="1" ht="17.100000000000001" customHeight="1">
      <c r="A29" s="71" t="s">
        <v>484</v>
      </c>
      <c r="B29" s="72">
        <v>46646</v>
      </c>
      <c r="C29" s="73" t="str">
        <f t="shared" si="0"/>
        <v>(목)</v>
      </c>
      <c r="D29" s="71"/>
      <c r="E29" s="72"/>
      <c r="F29" s="73" t="str">
        <f t="shared" si="1"/>
        <v/>
      </c>
      <c r="G29" s="71"/>
      <c r="H29" s="72"/>
      <c r="I29" s="73" t="str">
        <f t="shared" si="2"/>
        <v/>
      </c>
    </row>
    <row r="30" spans="1:9" s="73" customFormat="1" ht="17.100000000000001" customHeight="1">
      <c r="A30" s="71" t="s">
        <v>486</v>
      </c>
      <c r="B30" s="73">
        <v>46664</v>
      </c>
      <c r="C30" s="73" t="str">
        <f t="shared" si="0"/>
        <v>(월)</v>
      </c>
      <c r="D30" s="71"/>
      <c r="E30" s="72"/>
      <c r="F30" s="73" t="str">
        <f t="shared" si="1"/>
        <v/>
      </c>
      <c r="G30" s="71"/>
      <c r="H30" s="72"/>
      <c r="I30" s="73" t="str">
        <f t="shared" si="2"/>
        <v/>
      </c>
    </row>
    <row r="31" spans="1:9" s="73" customFormat="1" ht="17.100000000000001" customHeight="1">
      <c r="A31" s="71" t="s">
        <v>487</v>
      </c>
      <c r="B31" s="72">
        <v>46671</v>
      </c>
      <c r="C31" s="73" t="str">
        <f t="shared" si="0"/>
        <v>(월)</v>
      </c>
      <c r="D31" s="71"/>
      <c r="E31" s="72"/>
      <c r="F31" s="73" t="str">
        <f t="shared" si="1"/>
        <v/>
      </c>
      <c r="G31" s="71"/>
      <c r="H31" s="72"/>
      <c r="I31" s="73" t="str">
        <f t="shared" si="2"/>
        <v/>
      </c>
    </row>
    <row r="32" spans="1:9" s="73" customFormat="1" ht="17.100000000000001" customHeight="1">
      <c r="A32" s="71" t="s">
        <v>488</v>
      </c>
      <c r="B32" s="72">
        <v>46748</v>
      </c>
      <c r="C32" s="73" t="str">
        <f t="shared" si="0"/>
        <v>(월)</v>
      </c>
      <c r="D32" s="71"/>
      <c r="E32" s="72"/>
      <c r="F32" s="73" t="str">
        <f t="shared" si="1"/>
        <v/>
      </c>
      <c r="G32" s="71"/>
      <c r="H32" s="72"/>
      <c r="I32" s="73" t="str">
        <f t="shared" si="2"/>
        <v/>
      </c>
    </row>
    <row r="33" spans="1:9" s="73" customFormat="1" ht="17.100000000000001" customHeight="1">
      <c r="A33" s="71"/>
      <c r="B33" s="72"/>
      <c r="C33" s="73" t="str">
        <f t="shared" si="0"/>
        <v/>
      </c>
      <c r="D33" s="71"/>
      <c r="E33" s="72"/>
      <c r="F33" s="73" t="str">
        <f t="shared" si="1"/>
        <v/>
      </c>
      <c r="G33" s="71"/>
      <c r="H33" s="72"/>
      <c r="I33" s="73" t="str">
        <f t="shared" si="2"/>
        <v/>
      </c>
    </row>
    <row r="34" spans="1:9" s="73" customFormat="1" ht="17.100000000000001" customHeight="1">
      <c r="A34" s="71"/>
      <c r="B34" s="72"/>
      <c r="C34" s="73" t="str">
        <f t="shared" si="0"/>
        <v/>
      </c>
      <c r="D34" s="71"/>
      <c r="E34" s="72"/>
      <c r="F34" s="73" t="str">
        <f t="shared" si="1"/>
        <v/>
      </c>
      <c r="G34" s="71"/>
      <c r="H34" s="72"/>
      <c r="I34" s="73" t="str">
        <f t="shared" si="2"/>
        <v/>
      </c>
    </row>
    <row r="35" spans="1:9" s="73" customFormat="1" ht="17.100000000000001" customHeight="1">
      <c r="A35" s="71"/>
      <c r="B35" s="72"/>
      <c r="C35" s="73" t="str">
        <f t="shared" si="0"/>
        <v/>
      </c>
      <c r="D35" s="71"/>
      <c r="E35" s="72"/>
      <c r="F35" s="73" t="str">
        <f t="shared" si="1"/>
        <v/>
      </c>
      <c r="G35" s="71"/>
      <c r="H35" s="72"/>
      <c r="I35" s="73" t="str">
        <f t="shared" si="2"/>
        <v/>
      </c>
    </row>
    <row r="36" spans="1:9" s="73" customFormat="1" ht="17.100000000000001" customHeight="1">
      <c r="A36" s="71"/>
      <c r="B36" s="72"/>
      <c r="C36" s="73" t="str">
        <f t="shared" si="0"/>
        <v/>
      </c>
      <c r="D36" s="71"/>
      <c r="E36" s="72"/>
      <c r="F36" s="73" t="str">
        <f t="shared" si="1"/>
        <v/>
      </c>
      <c r="G36" s="71"/>
      <c r="H36" s="72"/>
      <c r="I36" s="73" t="str">
        <f t="shared" si="2"/>
        <v/>
      </c>
    </row>
    <row r="37" spans="1:9" s="73" customFormat="1" ht="17.100000000000001" customHeight="1">
      <c r="A37" s="71"/>
      <c r="B37" s="72"/>
      <c r="C37" s="73" t="str">
        <f t="shared" si="0"/>
        <v/>
      </c>
      <c r="D37" s="71"/>
      <c r="E37" s="72"/>
      <c r="F37" s="73" t="str">
        <f t="shared" si="1"/>
        <v/>
      </c>
      <c r="G37" s="71"/>
      <c r="H37" s="72"/>
      <c r="I37" s="73" t="str">
        <f t="shared" si="2"/>
        <v/>
      </c>
    </row>
    <row r="38" spans="1:9" s="73" customFormat="1" ht="17.100000000000001" customHeight="1">
      <c r="A38" s="71"/>
      <c r="B38" s="72"/>
      <c r="C38" s="73" t="str">
        <f t="shared" si="0"/>
        <v/>
      </c>
      <c r="D38" s="71"/>
      <c r="E38" s="72"/>
      <c r="F38" s="73" t="str">
        <f t="shared" si="1"/>
        <v/>
      </c>
      <c r="G38" s="71"/>
      <c r="H38" s="72"/>
      <c r="I38" s="73" t="str">
        <f t="shared" si="2"/>
        <v/>
      </c>
    </row>
    <row r="39" spans="1:9" s="73" customFormat="1" ht="17.100000000000001" customHeight="1">
      <c r="A39" s="71"/>
      <c r="B39" s="72"/>
      <c r="C39" s="73" t="str">
        <f t="shared" si="0"/>
        <v/>
      </c>
      <c r="D39" s="71"/>
      <c r="E39" s="72"/>
      <c r="F39" s="73" t="str">
        <f t="shared" si="1"/>
        <v/>
      </c>
      <c r="G39" s="71"/>
      <c r="H39" s="72"/>
      <c r="I39" s="73" t="str">
        <f t="shared" si="2"/>
        <v/>
      </c>
    </row>
    <row r="40" spans="1:9" s="73" customFormat="1" ht="17.100000000000001" customHeight="1">
      <c r="A40" s="71"/>
      <c r="B40" s="72"/>
      <c r="C40" s="73" t="str">
        <f t="shared" si="0"/>
        <v/>
      </c>
      <c r="D40" s="71"/>
      <c r="E40" s="72"/>
      <c r="F40" s="73" t="str">
        <f t="shared" si="1"/>
        <v/>
      </c>
      <c r="G40" s="71"/>
      <c r="H40" s="72"/>
      <c r="I40" s="73" t="str">
        <f t="shared" si="2"/>
        <v/>
      </c>
    </row>
    <row r="41" spans="1:9" s="73" customFormat="1" ht="17.100000000000001" customHeight="1">
      <c r="A41" s="71"/>
      <c r="B41" s="72"/>
      <c r="C41" s="73" t="str">
        <f t="shared" si="0"/>
        <v/>
      </c>
      <c r="D41" s="71"/>
      <c r="E41" s="72"/>
      <c r="F41" s="73" t="str">
        <f t="shared" si="1"/>
        <v/>
      </c>
      <c r="G41" s="71"/>
      <c r="H41" s="72"/>
      <c r="I41" s="73" t="str">
        <f t="shared" si="2"/>
        <v/>
      </c>
    </row>
    <row r="42" spans="1:9" s="73" customFormat="1" ht="17.100000000000001" customHeight="1">
      <c r="A42" s="71"/>
      <c r="B42" s="72"/>
      <c r="C42" s="73" t="str">
        <f t="shared" si="0"/>
        <v/>
      </c>
      <c r="D42" s="71"/>
      <c r="E42" s="72"/>
      <c r="F42" s="73" t="str">
        <f t="shared" si="1"/>
        <v/>
      </c>
      <c r="G42" s="71"/>
      <c r="H42" s="72"/>
      <c r="I42" s="73" t="str">
        <f t="shared" si="2"/>
        <v/>
      </c>
    </row>
    <row r="43" spans="1:9" s="73" customFormat="1" ht="17.100000000000001" customHeight="1">
      <c r="A43" s="71"/>
      <c r="B43" s="72"/>
      <c r="C43" s="73" t="str">
        <f t="shared" si="0"/>
        <v/>
      </c>
      <c r="D43" s="71"/>
      <c r="E43" s="72"/>
      <c r="F43" s="73" t="str">
        <f t="shared" si="1"/>
        <v/>
      </c>
      <c r="G43" s="71"/>
      <c r="H43" s="72"/>
      <c r="I43" s="73" t="str">
        <f t="shared" si="2"/>
        <v/>
      </c>
    </row>
    <row r="44" spans="1:9" s="73" customFormat="1" ht="17.100000000000001" customHeight="1">
      <c r="A44" s="71"/>
      <c r="B44" s="72"/>
      <c r="C44" s="73" t="str">
        <f t="shared" si="0"/>
        <v/>
      </c>
      <c r="D44" s="71"/>
      <c r="E44" s="72"/>
      <c r="F44" s="73" t="str">
        <f t="shared" si="1"/>
        <v/>
      </c>
      <c r="G44" s="71"/>
      <c r="H44" s="72"/>
      <c r="I44" s="73" t="str">
        <f t="shared" si="2"/>
        <v/>
      </c>
    </row>
    <row r="45" spans="1:9" s="73" customFormat="1" ht="17.100000000000001" customHeight="1">
      <c r="A45" s="71"/>
      <c r="B45" s="72"/>
      <c r="C45" s="73" t="str">
        <f t="shared" si="0"/>
        <v/>
      </c>
      <c r="D45" s="71"/>
      <c r="E45" s="72"/>
      <c r="F45" s="73" t="str">
        <f t="shared" si="1"/>
        <v/>
      </c>
      <c r="G45" s="71"/>
      <c r="H45" s="72"/>
      <c r="I45" s="73" t="str">
        <f t="shared" si="2"/>
        <v/>
      </c>
    </row>
    <row r="46" spans="1:9" s="73" customFormat="1" ht="17.100000000000001" customHeight="1">
      <c r="A46" s="71"/>
      <c r="B46" s="72"/>
      <c r="C46" s="73" t="str">
        <f t="shared" si="0"/>
        <v/>
      </c>
      <c r="D46" s="71"/>
      <c r="E46" s="72"/>
      <c r="F46" s="73" t="str">
        <f t="shared" si="1"/>
        <v/>
      </c>
      <c r="G46" s="71"/>
      <c r="H46" s="72"/>
      <c r="I46" s="73" t="str">
        <f t="shared" si="2"/>
        <v/>
      </c>
    </row>
    <row r="47" spans="1:9" s="73" customFormat="1" ht="17.100000000000001" customHeight="1">
      <c r="A47" s="71"/>
      <c r="B47" s="72"/>
      <c r="C47" s="73" t="str">
        <f t="shared" si="0"/>
        <v/>
      </c>
      <c r="D47" s="71"/>
      <c r="E47" s="72"/>
      <c r="F47" s="73" t="str">
        <f t="shared" si="1"/>
        <v/>
      </c>
      <c r="G47" s="71"/>
      <c r="H47" s="72"/>
      <c r="I47" s="73" t="str">
        <f t="shared" si="2"/>
        <v/>
      </c>
    </row>
    <row r="48" spans="1:9" s="73" customFormat="1" ht="17.100000000000001" customHeight="1">
      <c r="A48" s="71"/>
      <c r="B48" s="72"/>
      <c r="C48" s="73" t="str">
        <f t="shared" si="0"/>
        <v/>
      </c>
      <c r="D48" s="71"/>
      <c r="E48" s="72"/>
      <c r="F48" s="73" t="str">
        <f t="shared" si="1"/>
        <v/>
      </c>
      <c r="G48" s="71"/>
      <c r="H48" s="72"/>
      <c r="I48" s="73" t="str">
        <f t="shared" si="2"/>
        <v/>
      </c>
    </row>
    <row r="49" spans="1:9" s="73" customFormat="1" ht="17.100000000000001" customHeight="1">
      <c r="A49" s="71"/>
      <c r="B49" s="72"/>
      <c r="C49" s="73" t="str">
        <f t="shared" si="0"/>
        <v/>
      </c>
      <c r="D49" s="71"/>
      <c r="E49" s="72"/>
      <c r="F49" s="73" t="str">
        <f t="shared" si="1"/>
        <v/>
      </c>
      <c r="G49" s="71"/>
      <c r="H49" s="72"/>
      <c r="I49" s="73" t="str">
        <f t="shared" si="2"/>
        <v/>
      </c>
    </row>
    <row r="50" spans="1:9" s="73" customFormat="1" ht="17.100000000000001" customHeight="1">
      <c r="A50" s="71"/>
      <c r="B50" s="72"/>
      <c r="C50" s="73" t="str">
        <f t="shared" si="0"/>
        <v/>
      </c>
      <c r="D50" s="71"/>
      <c r="E50" s="72"/>
      <c r="F50" s="73" t="str">
        <f t="shared" si="1"/>
        <v/>
      </c>
      <c r="G50" s="71"/>
      <c r="H50" s="72"/>
      <c r="I50" s="73" t="str">
        <f t="shared" si="2"/>
        <v/>
      </c>
    </row>
    <row r="51" spans="1:9" s="73" customFormat="1" ht="17.100000000000001" customHeight="1">
      <c r="A51" s="71"/>
      <c r="B51" s="72"/>
      <c r="C51" s="73" t="str">
        <f t="shared" si="0"/>
        <v/>
      </c>
      <c r="D51" s="71"/>
      <c r="E51" s="72"/>
      <c r="F51" s="73" t="str">
        <f t="shared" si="1"/>
        <v/>
      </c>
      <c r="G51" s="71"/>
      <c r="H51" s="72"/>
      <c r="I51" s="73" t="str">
        <f t="shared" si="2"/>
        <v/>
      </c>
    </row>
    <row r="52" spans="1:9" s="73" customFormat="1" ht="17.100000000000001" customHeight="1">
      <c r="A52" s="71"/>
      <c r="B52" s="72"/>
      <c r="C52" s="73" t="str">
        <f t="shared" si="0"/>
        <v/>
      </c>
      <c r="D52" s="71"/>
      <c r="E52" s="72"/>
      <c r="F52" s="73" t="str">
        <f t="shared" si="1"/>
        <v/>
      </c>
      <c r="G52" s="71"/>
      <c r="H52" s="72"/>
      <c r="I52" s="73" t="str">
        <f t="shared" si="2"/>
        <v/>
      </c>
    </row>
    <row r="53" spans="1:9" s="73" customFormat="1" ht="17.100000000000001" customHeight="1">
      <c r="A53" s="71"/>
      <c r="B53" s="72"/>
      <c r="C53" s="73" t="str">
        <f t="shared" si="0"/>
        <v/>
      </c>
      <c r="D53" s="71"/>
      <c r="E53" s="72"/>
      <c r="F53" s="73" t="str">
        <f t="shared" si="1"/>
        <v/>
      </c>
      <c r="G53" s="71"/>
      <c r="H53" s="72"/>
      <c r="I53" s="73" t="str">
        <f t="shared" si="2"/>
        <v/>
      </c>
    </row>
    <row r="54" spans="1:9" s="73" customFormat="1" ht="17.100000000000001" customHeight="1">
      <c r="A54" s="71"/>
      <c r="B54" s="72"/>
      <c r="C54" s="73" t="str">
        <f t="shared" si="0"/>
        <v/>
      </c>
      <c r="D54" s="71"/>
      <c r="E54" s="72"/>
      <c r="F54" s="73" t="str">
        <f t="shared" si="1"/>
        <v/>
      </c>
      <c r="G54" s="71"/>
      <c r="H54" s="72"/>
      <c r="I54" s="73" t="str">
        <f t="shared" si="2"/>
        <v/>
      </c>
    </row>
    <row r="55" spans="1:9" s="73" customFormat="1" ht="17.100000000000001" customHeight="1">
      <c r="A55" s="71"/>
      <c r="B55" s="72"/>
      <c r="C55" s="73" t="str">
        <f t="shared" si="0"/>
        <v/>
      </c>
      <c r="D55" s="71"/>
      <c r="E55" s="72"/>
      <c r="F55" s="73" t="str">
        <f t="shared" si="1"/>
        <v/>
      </c>
      <c r="G55" s="71"/>
      <c r="H55" s="72"/>
      <c r="I55" s="73" t="str">
        <f t="shared" si="2"/>
        <v/>
      </c>
    </row>
    <row r="56" spans="1:9" s="73" customFormat="1" ht="17.100000000000001" customHeight="1">
      <c r="A56" s="71"/>
      <c r="B56" s="72"/>
      <c r="C56" s="73" t="str">
        <f t="shared" si="0"/>
        <v/>
      </c>
      <c r="D56" s="71"/>
      <c r="E56" s="72"/>
      <c r="F56" s="73" t="str">
        <f t="shared" si="1"/>
        <v/>
      </c>
      <c r="G56" s="71"/>
      <c r="H56" s="72"/>
      <c r="I56" s="73" t="str">
        <f t="shared" si="2"/>
        <v/>
      </c>
    </row>
    <row r="57" spans="1:9" s="73" customFormat="1" ht="17.100000000000001" customHeight="1">
      <c r="A57" s="71"/>
      <c r="B57" s="72"/>
      <c r="C57" s="73" t="str">
        <f t="shared" si="0"/>
        <v/>
      </c>
      <c r="D57" s="71"/>
      <c r="E57" s="72"/>
      <c r="F57" s="73" t="str">
        <f t="shared" si="1"/>
        <v/>
      </c>
      <c r="G57" s="71"/>
      <c r="H57" s="72"/>
      <c r="I57" s="73" t="str">
        <f t="shared" si="2"/>
        <v/>
      </c>
    </row>
    <row r="58" spans="1:9" s="73" customFormat="1" ht="17.100000000000001" customHeight="1">
      <c r="A58" s="71"/>
      <c r="B58" s="72"/>
      <c r="C58" s="73" t="str">
        <f t="shared" si="0"/>
        <v/>
      </c>
      <c r="D58" s="71"/>
      <c r="E58" s="72"/>
      <c r="F58" s="73" t="str">
        <f t="shared" si="1"/>
        <v/>
      </c>
      <c r="G58" s="71"/>
      <c r="H58" s="72"/>
      <c r="I58" s="73" t="str">
        <f t="shared" si="2"/>
        <v/>
      </c>
    </row>
    <row r="59" spans="1:9" s="73" customFormat="1" ht="17.100000000000001" customHeight="1">
      <c r="A59" s="71"/>
      <c r="B59" s="72"/>
      <c r="C59" s="73" t="str">
        <f t="shared" si="0"/>
        <v/>
      </c>
      <c r="D59" s="71"/>
      <c r="E59" s="72"/>
      <c r="F59" s="73" t="str">
        <f t="shared" si="1"/>
        <v/>
      </c>
      <c r="G59" s="71"/>
      <c r="H59" s="72"/>
      <c r="I59" s="73" t="str">
        <f t="shared" si="2"/>
        <v/>
      </c>
    </row>
    <row r="60" spans="1:9" s="73" customFormat="1" ht="17.100000000000001" customHeight="1">
      <c r="A60" s="71"/>
      <c r="B60" s="72"/>
      <c r="C60" s="73" t="str">
        <f t="shared" si="0"/>
        <v/>
      </c>
      <c r="D60" s="71"/>
      <c r="E60" s="72"/>
      <c r="F60" s="73" t="str">
        <f t="shared" si="1"/>
        <v/>
      </c>
      <c r="G60" s="71"/>
      <c r="H60" s="72"/>
      <c r="I60" s="73" t="str">
        <f t="shared" si="2"/>
        <v/>
      </c>
    </row>
    <row r="61" spans="1:9" s="73" customFormat="1" ht="17.100000000000001" customHeight="1">
      <c r="A61" s="71"/>
      <c r="B61" s="72"/>
      <c r="C61" s="73" t="str">
        <f t="shared" si="0"/>
        <v/>
      </c>
      <c r="D61" s="71"/>
      <c r="E61" s="72"/>
      <c r="F61" s="73" t="str">
        <f t="shared" si="1"/>
        <v/>
      </c>
      <c r="G61" s="71"/>
      <c r="H61" s="72"/>
      <c r="I61" s="73" t="str">
        <f t="shared" si="2"/>
        <v/>
      </c>
    </row>
    <row r="62" spans="1:9" s="73" customFormat="1" ht="17.100000000000001" customHeight="1">
      <c r="A62" s="71"/>
      <c r="B62" s="72"/>
      <c r="C62" s="73" t="str">
        <f t="shared" si="0"/>
        <v/>
      </c>
      <c r="D62" s="71"/>
      <c r="E62" s="72"/>
      <c r="F62" s="73" t="str">
        <f t="shared" si="1"/>
        <v/>
      </c>
      <c r="G62" s="71"/>
      <c r="H62" s="72"/>
      <c r="I62" s="73" t="str">
        <f t="shared" si="2"/>
        <v/>
      </c>
    </row>
    <row r="63" spans="1:9" s="73" customFormat="1" ht="17.100000000000001" customHeight="1">
      <c r="A63" s="71"/>
      <c r="B63" s="72"/>
      <c r="C63" s="73" t="str">
        <f t="shared" si="0"/>
        <v/>
      </c>
      <c r="D63" s="71"/>
      <c r="E63" s="72"/>
      <c r="F63" s="73" t="str">
        <f t="shared" si="1"/>
        <v/>
      </c>
      <c r="G63" s="71"/>
      <c r="H63" s="72"/>
      <c r="I63" s="73" t="str">
        <f t="shared" si="2"/>
        <v/>
      </c>
    </row>
    <row r="64" spans="1:9" s="73" customFormat="1" ht="17.100000000000001" customHeight="1">
      <c r="A64" s="71"/>
      <c r="B64" s="72"/>
      <c r="C64" s="73" t="str">
        <f t="shared" si="0"/>
        <v/>
      </c>
      <c r="D64" s="71"/>
      <c r="E64" s="72"/>
      <c r="F64" s="73" t="str">
        <f t="shared" si="1"/>
        <v/>
      </c>
      <c r="G64" s="71"/>
      <c r="H64" s="72"/>
      <c r="I64" s="73" t="str">
        <f t="shared" si="2"/>
        <v/>
      </c>
    </row>
    <row r="65" spans="1:9" s="73" customFormat="1" ht="17.100000000000001" customHeight="1">
      <c r="A65" s="71"/>
      <c r="B65" s="72"/>
      <c r="C65" s="73" t="str">
        <f t="shared" si="0"/>
        <v/>
      </c>
      <c r="D65" s="71"/>
      <c r="E65" s="72"/>
      <c r="F65" s="73" t="str">
        <f t="shared" si="1"/>
        <v/>
      </c>
      <c r="G65" s="71"/>
      <c r="H65" s="72"/>
      <c r="I65" s="73" t="str">
        <f t="shared" si="2"/>
        <v/>
      </c>
    </row>
    <row r="66" spans="1:9" s="73" customFormat="1" ht="17.100000000000001" customHeight="1">
      <c r="A66" s="71"/>
      <c r="B66" s="72"/>
      <c r="C66" s="73" t="str">
        <f t="shared" si="0"/>
        <v/>
      </c>
      <c r="D66" s="71"/>
      <c r="E66" s="72"/>
      <c r="F66" s="73" t="str">
        <f t="shared" si="1"/>
        <v/>
      </c>
      <c r="G66" s="71"/>
      <c r="H66" s="72"/>
      <c r="I66" s="73" t="str">
        <f t="shared" si="2"/>
        <v/>
      </c>
    </row>
    <row r="67" spans="1:9" s="73" customFormat="1" ht="17.100000000000001" customHeight="1">
      <c r="A67" s="71"/>
      <c r="B67" s="72"/>
      <c r="C67" s="73" t="str">
        <f t="shared" si="0"/>
        <v/>
      </c>
      <c r="D67" s="71"/>
      <c r="E67" s="72"/>
      <c r="F67" s="73" t="str">
        <f t="shared" si="1"/>
        <v/>
      </c>
      <c r="G67" s="71"/>
      <c r="H67" s="72"/>
      <c r="I67" s="73" t="str">
        <f t="shared" si="2"/>
        <v/>
      </c>
    </row>
    <row r="68" spans="1:9" s="73" customFormat="1" ht="17.100000000000001" customHeight="1">
      <c r="A68" s="71"/>
      <c r="B68" s="72"/>
      <c r="C68" s="73" t="str">
        <f t="shared" si="0"/>
        <v/>
      </c>
      <c r="D68" s="71"/>
      <c r="E68" s="72"/>
      <c r="F68" s="73" t="str">
        <f t="shared" si="1"/>
        <v/>
      </c>
      <c r="G68" s="71"/>
      <c r="H68" s="72"/>
      <c r="I68" s="73" t="str">
        <f t="shared" si="2"/>
        <v/>
      </c>
    </row>
    <row r="69" spans="1:9" s="73" customFormat="1" ht="17.100000000000001" customHeight="1">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7.100000000000001" customHeight="1">
      <c r="A70" s="71"/>
      <c r="B70" s="72"/>
      <c r="C70" s="73" t="str">
        <f t="shared" si="3"/>
        <v/>
      </c>
      <c r="D70" s="71"/>
      <c r="E70" s="72"/>
      <c r="F70" s="73" t="str">
        <f t="shared" si="4"/>
        <v/>
      </c>
      <c r="G70" s="71"/>
      <c r="H70" s="72"/>
      <c r="I70" s="73" t="str">
        <f t="shared" si="5"/>
        <v/>
      </c>
    </row>
    <row r="71" spans="1:9" s="73" customFormat="1" ht="17.100000000000001" customHeight="1">
      <c r="A71" s="71"/>
      <c r="B71" s="72"/>
      <c r="C71" s="73" t="str">
        <f t="shared" si="3"/>
        <v/>
      </c>
      <c r="D71" s="71"/>
      <c r="E71" s="72"/>
      <c r="F71" s="73" t="str">
        <f t="shared" si="4"/>
        <v/>
      </c>
      <c r="G71" s="71"/>
      <c r="H71" s="72"/>
      <c r="I71" s="73" t="str">
        <f t="shared" si="5"/>
        <v/>
      </c>
    </row>
    <row r="72" spans="1:9" s="73" customFormat="1" ht="17.100000000000001" customHeight="1">
      <c r="A72" s="71"/>
      <c r="B72" s="72"/>
      <c r="C72" s="73" t="str">
        <f t="shared" si="3"/>
        <v/>
      </c>
      <c r="D72" s="71"/>
      <c r="E72" s="72"/>
      <c r="F72" s="73" t="str">
        <f t="shared" si="4"/>
        <v/>
      </c>
      <c r="G72" s="71"/>
      <c r="H72" s="72"/>
      <c r="I72" s="73" t="str">
        <f t="shared" si="5"/>
        <v/>
      </c>
    </row>
    <row r="73" spans="1:9" s="73" customFormat="1" ht="17.100000000000001" customHeight="1">
      <c r="A73" s="71"/>
      <c r="B73" s="72"/>
      <c r="C73" s="73" t="str">
        <f t="shared" si="3"/>
        <v/>
      </c>
      <c r="D73" s="71"/>
      <c r="E73" s="72"/>
      <c r="F73" s="73" t="str">
        <f t="shared" si="4"/>
        <v/>
      </c>
      <c r="G73" s="71"/>
      <c r="H73" s="72"/>
      <c r="I73" s="73" t="str">
        <f t="shared" si="5"/>
        <v/>
      </c>
    </row>
    <row r="74" spans="1:9" s="73" customFormat="1" ht="17.100000000000001" customHeight="1">
      <c r="A74" s="71"/>
      <c r="B74" s="72"/>
      <c r="C74" s="73" t="str">
        <f t="shared" si="3"/>
        <v/>
      </c>
      <c r="D74" s="71"/>
      <c r="E74" s="72"/>
      <c r="F74" s="73" t="str">
        <f t="shared" si="4"/>
        <v/>
      </c>
      <c r="G74" s="71"/>
      <c r="H74" s="72"/>
      <c r="I74" s="73" t="str">
        <f t="shared" si="5"/>
        <v/>
      </c>
    </row>
    <row r="75" spans="1:9" s="73" customFormat="1" ht="17.100000000000001" customHeight="1">
      <c r="A75" s="71"/>
      <c r="B75" s="72"/>
      <c r="C75" s="73" t="str">
        <f t="shared" si="3"/>
        <v/>
      </c>
      <c r="D75" s="71"/>
      <c r="E75" s="72"/>
      <c r="F75" s="73" t="str">
        <f t="shared" si="4"/>
        <v/>
      </c>
      <c r="G75" s="71"/>
      <c r="H75" s="72"/>
      <c r="I75" s="73" t="str">
        <f t="shared" si="5"/>
        <v/>
      </c>
    </row>
    <row r="76" spans="1:9" s="73" customFormat="1" ht="17.100000000000001" customHeight="1">
      <c r="A76" s="71"/>
      <c r="B76" s="72"/>
      <c r="C76" s="73" t="str">
        <f t="shared" si="3"/>
        <v/>
      </c>
      <c r="D76" s="71"/>
      <c r="E76" s="72"/>
      <c r="F76" s="73" t="str">
        <f t="shared" si="4"/>
        <v/>
      </c>
      <c r="G76" s="71"/>
      <c r="H76" s="72"/>
      <c r="I76" s="73" t="str">
        <f t="shared" si="5"/>
        <v/>
      </c>
    </row>
    <row r="77" spans="1:9" s="73" customFormat="1" ht="17.100000000000001" customHeight="1">
      <c r="A77" s="71"/>
      <c r="B77" s="72"/>
      <c r="C77" s="73" t="str">
        <f t="shared" si="3"/>
        <v/>
      </c>
      <c r="D77" s="71"/>
      <c r="E77" s="72"/>
      <c r="F77" s="73" t="str">
        <f t="shared" si="4"/>
        <v/>
      </c>
      <c r="G77" s="71"/>
      <c r="H77" s="72"/>
      <c r="I77" s="73" t="str">
        <f t="shared" si="5"/>
        <v/>
      </c>
    </row>
    <row r="78" spans="1:9" s="73" customFormat="1" ht="17.100000000000001" customHeight="1">
      <c r="A78" s="71"/>
      <c r="B78" s="72"/>
      <c r="C78" s="73" t="str">
        <f t="shared" si="3"/>
        <v/>
      </c>
      <c r="D78" s="71"/>
      <c r="E78" s="72"/>
      <c r="F78" s="73" t="str">
        <f t="shared" si="4"/>
        <v/>
      </c>
      <c r="G78" s="71"/>
      <c r="H78" s="72"/>
      <c r="I78" s="73" t="str">
        <f t="shared" si="5"/>
        <v/>
      </c>
    </row>
    <row r="79" spans="1:9" s="73" customFormat="1" ht="17.100000000000001" customHeight="1">
      <c r="A79" s="71"/>
      <c r="B79" s="72"/>
      <c r="C79" s="73" t="str">
        <f t="shared" si="3"/>
        <v/>
      </c>
      <c r="D79" s="71"/>
      <c r="E79" s="72"/>
      <c r="F79" s="73" t="str">
        <f t="shared" si="4"/>
        <v/>
      </c>
      <c r="G79" s="71"/>
      <c r="H79" s="72"/>
      <c r="I79" s="73" t="str">
        <f t="shared" si="5"/>
        <v/>
      </c>
    </row>
    <row r="80" spans="1:9" s="73" customFormat="1" ht="17.100000000000001" customHeight="1">
      <c r="A80" s="71"/>
      <c r="B80" s="72"/>
      <c r="C80" s="73" t="str">
        <f t="shared" si="3"/>
        <v/>
      </c>
      <c r="D80" s="71"/>
      <c r="E80" s="72"/>
      <c r="F80" s="73" t="str">
        <f t="shared" si="4"/>
        <v/>
      </c>
      <c r="G80" s="71"/>
      <c r="H80" s="72"/>
      <c r="I80" s="73" t="str">
        <f t="shared" si="5"/>
        <v/>
      </c>
    </row>
    <row r="81" spans="1:9" s="73" customFormat="1" ht="17.100000000000001" customHeight="1">
      <c r="A81" s="71"/>
      <c r="B81" s="72"/>
      <c r="C81" s="73" t="str">
        <f t="shared" si="3"/>
        <v/>
      </c>
      <c r="D81" s="71"/>
      <c r="E81" s="72"/>
      <c r="F81" s="73" t="str">
        <f t="shared" si="4"/>
        <v/>
      </c>
      <c r="G81" s="71"/>
      <c r="H81" s="72"/>
      <c r="I81" s="73" t="str">
        <f t="shared" si="5"/>
        <v/>
      </c>
    </row>
    <row r="82" spans="1:9" s="73" customFormat="1" ht="17.100000000000001" customHeight="1">
      <c r="A82" s="71"/>
      <c r="B82" s="72"/>
      <c r="C82" s="73" t="str">
        <f t="shared" si="3"/>
        <v/>
      </c>
      <c r="D82" s="71"/>
      <c r="E82" s="72"/>
      <c r="F82" s="73" t="str">
        <f t="shared" si="4"/>
        <v/>
      </c>
      <c r="G82" s="71"/>
      <c r="H82" s="72"/>
      <c r="I82" s="73" t="str">
        <f t="shared" si="5"/>
        <v/>
      </c>
    </row>
    <row r="83" spans="1:9" s="73" customFormat="1" ht="17.100000000000001" customHeight="1">
      <c r="A83" s="71"/>
      <c r="B83" s="72"/>
      <c r="C83" s="73" t="str">
        <f t="shared" si="3"/>
        <v/>
      </c>
      <c r="D83" s="71"/>
      <c r="E83" s="72"/>
      <c r="F83" s="73" t="str">
        <f t="shared" si="4"/>
        <v/>
      </c>
      <c r="G83" s="71"/>
      <c r="H83" s="72"/>
      <c r="I83" s="73" t="str">
        <f t="shared" si="5"/>
        <v/>
      </c>
    </row>
    <row r="84" spans="1:9" s="73" customFormat="1" ht="17.100000000000001" customHeight="1">
      <c r="A84" s="71"/>
      <c r="B84" s="72"/>
      <c r="C84" s="73" t="str">
        <f t="shared" si="3"/>
        <v/>
      </c>
      <c r="D84" s="71"/>
      <c r="E84" s="72"/>
      <c r="F84" s="73" t="str">
        <f t="shared" si="4"/>
        <v/>
      </c>
      <c r="G84" s="71"/>
      <c r="H84" s="72"/>
      <c r="I84" s="73" t="str">
        <f t="shared" si="5"/>
        <v/>
      </c>
    </row>
    <row r="85" spans="1:9" s="73" customFormat="1" ht="17.100000000000001" customHeight="1">
      <c r="A85" s="71"/>
      <c r="B85" s="72"/>
      <c r="C85" s="73" t="str">
        <f t="shared" si="3"/>
        <v/>
      </c>
      <c r="D85" s="71"/>
      <c r="E85" s="72"/>
      <c r="F85" s="73" t="str">
        <f t="shared" si="4"/>
        <v/>
      </c>
      <c r="G85" s="71"/>
      <c r="H85" s="72"/>
      <c r="I85" s="73" t="str">
        <f t="shared" si="5"/>
        <v/>
      </c>
    </row>
    <row r="86" spans="1:9" s="73" customFormat="1" ht="17.100000000000001" customHeight="1">
      <c r="A86" s="71"/>
      <c r="B86" s="72"/>
      <c r="C86" s="73" t="str">
        <f t="shared" si="3"/>
        <v/>
      </c>
      <c r="D86" s="71"/>
      <c r="E86" s="72"/>
      <c r="F86" s="73" t="str">
        <f t="shared" si="4"/>
        <v/>
      </c>
      <c r="G86" s="71"/>
      <c r="H86" s="72"/>
      <c r="I86" s="73" t="str">
        <f t="shared" si="5"/>
        <v/>
      </c>
    </row>
    <row r="87" spans="1:9" s="73" customFormat="1" ht="17.100000000000001" customHeight="1">
      <c r="A87" s="71"/>
      <c r="B87" s="72"/>
      <c r="C87" s="73" t="str">
        <f t="shared" si="3"/>
        <v/>
      </c>
      <c r="D87" s="71"/>
      <c r="E87" s="72"/>
      <c r="F87" s="73" t="str">
        <f t="shared" si="4"/>
        <v/>
      </c>
      <c r="G87" s="71"/>
      <c r="H87" s="72"/>
      <c r="I87" s="73" t="str">
        <f t="shared" si="5"/>
        <v/>
      </c>
    </row>
    <row r="88" spans="1:9" s="73" customFormat="1" ht="17.100000000000001" customHeight="1">
      <c r="A88" s="71"/>
      <c r="B88" s="72"/>
      <c r="C88" s="73" t="str">
        <f t="shared" si="3"/>
        <v/>
      </c>
      <c r="D88" s="71"/>
      <c r="E88" s="72"/>
      <c r="F88" s="73" t="str">
        <f t="shared" si="4"/>
        <v/>
      </c>
      <c r="G88" s="71"/>
      <c r="H88" s="72"/>
      <c r="I88" s="73" t="str">
        <f t="shared" si="5"/>
        <v/>
      </c>
    </row>
    <row r="89" spans="1:9" s="73" customFormat="1" ht="17.100000000000001" customHeight="1">
      <c r="A89" s="71"/>
      <c r="B89" s="72"/>
      <c r="C89" s="73" t="str">
        <f t="shared" si="3"/>
        <v/>
      </c>
      <c r="D89" s="71"/>
      <c r="E89" s="72"/>
      <c r="F89" s="73" t="str">
        <f t="shared" si="4"/>
        <v/>
      </c>
      <c r="G89" s="71"/>
      <c r="H89" s="72"/>
      <c r="I89" s="73" t="str">
        <f t="shared" si="5"/>
        <v/>
      </c>
    </row>
    <row r="90" spans="1:9" s="73" customFormat="1" ht="17.100000000000001" customHeight="1">
      <c r="A90" s="71"/>
      <c r="B90" s="72"/>
      <c r="C90" s="73" t="str">
        <f t="shared" si="3"/>
        <v/>
      </c>
      <c r="D90" s="71"/>
      <c r="E90" s="72"/>
      <c r="F90" s="73" t="str">
        <f t="shared" si="4"/>
        <v/>
      </c>
      <c r="G90" s="71"/>
      <c r="H90" s="72"/>
      <c r="I90" s="73" t="str">
        <f t="shared" si="5"/>
        <v/>
      </c>
    </row>
    <row r="91" spans="1:9" s="73" customFormat="1" ht="17.100000000000001" customHeight="1">
      <c r="A91" s="71"/>
      <c r="B91" s="72"/>
      <c r="C91" s="73" t="str">
        <f t="shared" si="3"/>
        <v/>
      </c>
      <c r="D91" s="71"/>
      <c r="E91" s="72"/>
      <c r="F91" s="73" t="str">
        <f t="shared" si="4"/>
        <v/>
      </c>
      <c r="G91" s="71"/>
      <c r="H91" s="72"/>
      <c r="I91" s="73" t="str">
        <f t="shared" si="5"/>
        <v/>
      </c>
    </row>
    <row r="92" spans="1:9" s="73" customFormat="1" ht="17.100000000000001" customHeight="1">
      <c r="A92" s="71"/>
      <c r="B92" s="72"/>
      <c r="C92" s="73" t="str">
        <f t="shared" si="3"/>
        <v/>
      </c>
      <c r="D92" s="71"/>
      <c r="E92" s="72"/>
      <c r="F92" s="73" t="str">
        <f t="shared" si="4"/>
        <v/>
      </c>
      <c r="G92" s="71"/>
      <c r="H92" s="72"/>
      <c r="I92" s="73" t="str">
        <f t="shared" si="5"/>
        <v/>
      </c>
    </row>
    <row r="93" spans="1:9" s="73" customFormat="1" ht="17.100000000000001" customHeight="1">
      <c r="A93" s="71"/>
      <c r="B93" s="72"/>
      <c r="C93" s="73" t="str">
        <f t="shared" si="3"/>
        <v/>
      </c>
      <c r="D93" s="71"/>
      <c r="E93" s="72"/>
      <c r="F93" s="73" t="str">
        <f t="shared" si="4"/>
        <v/>
      </c>
      <c r="G93" s="71"/>
      <c r="H93" s="72"/>
      <c r="I93" s="73" t="str">
        <f t="shared" si="5"/>
        <v/>
      </c>
    </row>
    <row r="94" spans="1:9" s="73" customFormat="1" ht="17.100000000000001" customHeight="1">
      <c r="A94" s="71"/>
      <c r="B94" s="72"/>
      <c r="C94" s="73" t="str">
        <f t="shared" si="3"/>
        <v/>
      </c>
      <c r="D94" s="71"/>
      <c r="E94" s="72"/>
      <c r="F94" s="73" t="str">
        <f t="shared" si="4"/>
        <v/>
      </c>
      <c r="G94" s="71"/>
      <c r="H94" s="72"/>
      <c r="I94" s="73" t="str">
        <f t="shared" si="5"/>
        <v/>
      </c>
    </row>
    <row r="95" spans="1:9" s="73" customFormat="1" ht="17.100000000000001" customHeight="1">
      <c r="A95" s="71"/>
      <c r="B95" s="72"/>
      <c r="C95" s="73" t="str">
        <f t="shared" si="3"/>
        <v/>
      </c>
      <c r="D95" s="71"/>
      <c r="E95" s="72"/>
      <c r="F95" s="73" t="str">
        <f t="shared" si="4"/>
        <v/>
      </c>
      <c r="G95" s="71"/>
      <c r="H95" s="72"/>
      <c r="I95" s="73" t="str">
        <f t="shared" si="5"/>
        <v/>
      </c>
    </row>
    <row r="96" spans="1:9" s="73" customFormat="1" ht="17.100000000000001" customHeight="1">
      <c r="A96" s="71"/>
      <c r="B96" s="72"/>
      <c r="C96" s="73" t="str">
        <f t="shared" si="3"/>
        <v/>
      </c>
      <c r="D96" s="71"/>
      <c r="E96" s="72"/>
      <c r="F96" s="73" t="str">
        <f t="shared" si="4"/>
        <v/>
      </c>
      <c r="G96" s="71"/>
      <c r="H96" s="72"/>
      <c r="I96" s="73" t="str">
        <f t="shared" si="5"/>
        <v/>
      </c>
    </row>
    <row r="97" spans="1:9" s="73" customFormat="1" ht="17.100000000000001" customHeight="1">
      <c r="A97" s="71"/>
      <c r="B97" s="72"/>
      <c r="C97" s="73" t="str">
        <f t="shared" si="3"/>
        <v/>
      </c>
      <c r="D97" s="71"/>
      <c r="E97" s="72"/>
      <c r="F97" s="73" t="str">
        <f t="shared" si="4"/>
        <v/>
      </c>
      <c r="G97" s="71"/>
      <c r="H97" s="72"/>
      <c r="I97" s="73" t="str">
        <f t="shared" si="5"/>
        <v/>
      </c>
    </row>
    <row r="98" spans="1:9" s="73" customFormat="1" ht="17.100000000000001" customHeight="1">
      <c r="A98" s="71"/>
      <c r="B98" s="72"/>
      <c r="C98" s="73" t="str">
        <f t="shared" si="3"/>
        <v/>
      </c>
      <c r="D98" s="71"/>
      <c r="E98" s="72"/>
      <c r="F98" s="73" t="str">
        <f t="shared" si="4"/>
        <v/>
      </c>
      <c r="G98" s="71"/>
      <c r="H98" s="72"/>
      <c r="I98" s="73" t="str">
        <f t="shared" si="5"/>
        <v/>
      </c>
    </row>
    <row r="99" spans="1:9" s="73" customFormat="1" ht="17.100000000000001" customHeight="1">
      <c r="A99" s="71"/>
      <c r="B99" s="72"/>
      <c r="C99" s="73" t="str">
        <f t="shared" si="3"/>
        <v/>
      </c>
      <c r="D99" s="71"/>
      <c r="E99" s="72"/>
      <c r="F99" s="73" t="str">
        <f t="shared" si="4"/>
        <v/>
      </c>
      <c r="G99" s="71"/>
      <c r="H99" s="72"/>
      <c r="I99" s="73" t="str">
        <f t="shared" si="5"/>
        <v/>
      </c>
    </row>
    <row r="100" spans="1:9" s="73" customFormat="1" ht="17.100000000000001" customHeight="1">
      <c r="A100" s="71"/>
      <c r="B100" s="72"/>
      <c r="C100" s="73" t="str">
        <f t="shared" si="3"/>
        <v/>
      </c>
      <c r="D100" s="71"/>
      <c r="E100" s="72"/>
      <c r="F100" s="73" t="str">
        <f t="shared" si="4"/>
        <v/>
      </c>
      <c r="G100" s="71"/>
      <c r="H100" s="72"/>
      <c r="I100" s="73" t="str">
        <f t="shared" si="5"/>
        <v/>
      </c>
    </row>
    <row r="101" spans="1:9" s="73" customFormat="1" ht="17.100000000000001" customHeight="1">
      <c r="A101" s="71"/>
      <c r="B101" s="72"/>
      <c r="C101" s="73" t="str">
        <f t="shared" si="3"/>
        <v/>
      </c>
      <c r="D101" s="71"/>
      <c r="E101" s="72"/>
      <c r="F101" s="73" t="str">
        <f t="shared" si="4"/>
        <v/>
      </c>
      <c r="G101" s="71"/>
      <c r="H101" s="72"/>
      <c r="I101" s="73" t="str">
        <f t="shared" si="5"/>
        <v/>
      </c>
    </row>
    <row r="102" spans="1:9" s="73" customFormat="1" ht="17.100000000000001" customHeight="1">
      <c r="A102" s="71"/>
      <c r="B102" s="72"/>
      <c r="C102" s="73" t="str">
        <f t="shared" si="3"/>
        <v/>
      </c>
      <c r="D102" s="71"/>
      <c r="E102" s="72"/>
      <c r="F102" s="73" t="str">
        <f t="shared" si="4"/>
        <v/>
      </c>
      <c r="G102" s="71"/>
      <c r="H102" s="72"/>
      <c r="I102" s="73" t="str">
        <f t="shared" si="5"/>
        <v/>
      </c>
    </row>
    <row r="103" spans="1:9" s="73" customFormat="1" ht="17.100000000000001" customHeight="1">
      <c r="A103" s="71"/>
      <c r="B103" s="72"/>
      <c r="C103" s="73" t="str">
        <f t="shared" si="3"/>
        <v/>
      </c>
      <c r="D103" s="71"/>
      <c r="E103" s="72"/>
      <c r="F103" s="73" t="str">
        <f t="shared" si="4"/>
        <v/>
      </c>
      <c r="G103" s="71"/>
      <c r="H103" s="72"/>
      <c r="I103" s="73" t="str">
        <f t="shared" si="5"/>
        <v/>
      </c>
    </row>
    <row r="104" spans="1:9" s="73" customFormat="1" ht="17.100000000000001" customHeight="1">
      <c r="A104" s="71"/>
      <c r="B104" s="72"/>
      <c r="C104" s="73" t="str">
        <f t="shared" si="3"/>
        <v/>
      </c>
      <c r="D104" s="71"/>
      <c r="E104" s="72"/>
      <c r="F104" s="73" t="str">
        <f t="shared" si="4"/>
        <v/>
      </c>
      <c r="G104" s="71"/>
      <c r="H104" s="72"/>
      <c r="I104" s="73" t="str">
        <f t="shared" si="5"/>
        <v/>
      </c>
    </row>
    <row r="105" spans="1:9" s="73" customFormat="1" ht="17.100000000000001" customHeight="1">
      <c r="A105" s="71"/>
      <c r="B105" s="72"/>
      <c r="C105" s="73" t="str">
        <f t="shared" si="3"/>
        <v/>
      </c>
      <c r="D105" s="71"/>
      <c r="E105" s="72"/>
      <c r="F105" s="73" t="str">
        <f t="shared" si="4"/>
        <v/>
      </c>
      <c r="G105" s="71"/>
      <c r="H105" s="72"/>
      <c r="I105" s="73" t="str">
        <f t="shared" si="5"/>
        <v/>
      </c>
    </row>
    <row r="106" spans="1:9" s="73" customFormat="1" ht="17.100000000000001" customHeight="1">
      <c r="A106" s="71"/>
      <c r="B106" s="72"/>
      <c r="C106" s="73" t="str">
        <f t="shared" si="3"/>
        <v/>
      </c>
      <c r="D106" s="71"/>
      <c r="E106" s="72"/>
      <c r="F106" s="73" t="str">
        <f t="shared" si="4"/>
        <v/>
      </c>
      <c r="G106" s="71"/>
      <c r="H106" s="72"/>
      <c r="I106" s="73" t="str">
        <f t="shared" si="5"/>
        <v/>
      </c>
    </row>
    <row r="107" spans="1:9" s="73" customFormat="1" ht="17.100000000000001" customHeight="1">
      <c r="A107" s="71"/>
      <c r="B107" s="72"/>
      <c r="C107" s="73" t="str">
        <f t="shared" si="3"/>
        <v/>
      </c>
      <c r="D107" s="71"/>
      <c r="E107" s="72"/>
      <c r="F107" s="73" t="str">
        <f t="shared" si="4"/>
        <v/>
      </c>
      <c r="G107" s="71"/>
      <c r="H107" s="72"/>
      <c r="I107" s="73" t="str">
        <f t="shared" si="5"/>
        <v/>
      </c>
    </row>
    <row r="108" spans="1:9" s="73" customFormat="1" ht="17.100000000000001" customHeight="1">
      <c r="A108" s="71"/>
      <c r="B108" s="72"/>
      <c r="C108" s="73" t="str">
        <f t="shared" si="3"/>
        <v/>
      </c>
      <c r="D108" s="71"/>
      <c r="E108" s="72"/>
      <c r="F108" s="73" t="str">
        <f t="shared" si="4"/>
        <v/>
      </c>
      <c r="G108" s="71"/>
      <c r="H108" s="72"/>
      <c r="I108" s="73" t="str">
        <f t="shared" si="5"/>
        <v/>
      </c>
    </row>
    <row r="109" spans="1:9" s="73" customFormat="1" ht="17.100000000000001" customHeight="1">
      <c r="A109" s="71"/>
      <c r="B109" s="72"/>
      <c r="C109" s="73" t="str">
        <f t="shared" si="3"/>
        <v/>
      </c>
      <c r="D109" s="71"/>
      <c r="E109" s="72"/>
      <c r="F109" s="73" t="str">
        <f t="shared" si="4"/>
        <v/>
      </c>
      <c r="G109" s="71"/>
      <c r="H109" s="72"/>
      <c r="I109" s="73" t="str">
        <f t="shared" si="5"/>
        <v/>
      </c>
    </row>
    <row r="110" spans="1:9" s="73" customFormat="1" ht="17.100000000000001" customHeight="1">
      <c r="A110" s="71"/>
      <c r="B110" s="72"/>
      <c r="C110" s="73" t="str">
        <f t="shared" si="3"/>
        <v/>
      </c>
      <c r="D110" s="71"/>
      <c r="E110" s="72"/>
      <c r="F110" s="73" t="str">
        <f t="shared" si="4"/>
        <v/>
      </c>
      <c r="G110" s="71"/>
      <c r="H110" s="72"/>
      <c r="I110" s="73" t="str">
        <f t="shared" si="5"/>
        <v/>
      </c>
    </row>
    <row r="111" spans="1:9" s="73" customFormat="1" ht="17.100000000000001" customHeight="1">
      <c r="A111" s="71"/>
      <c r="B111" s="72"/>
      <c r="C111" s="73" t="str">
        <f t="shared" si="3"/>
        <v/>
      </c>
      <c r="D111" s="71"/>
      <c r="E111" s="72"/>
      <c r="F111" s="73" t="str">
        <f t="shared" si="4"/>
        <v/>
      </c>
      <c r="G111" s="71"/>
      <c r="H111" s="72"/>
      <c r="I111" s="73" t="str">
        <f t="shared" si="5"/>
        <v/>
      </c>
    </row>
    <row r="112" spans="1:9" s="73" customFormat="1" ht="17.100000000000001" customHeight="1">
      <c r="A112" s="71"/>
      <c r="B112" s="72"/>
      <c r="C112" s="73" t="str">
        <f t="shared" si="3"/>
        <v/>
      </c>
      <c r="D112" s="71"/>
      <c r="E112" s="72"/>
      <c r="F112" s="73" t="str">
        <f t="shared" si="4"/>
        <v/>
      </c>
      <c r="G112" s="71"/>
      <c r="H112" s="72"/>
      <c r="I112" s="73" t="str">
        <f t="shared" si="5"/>
        <v/>
      </c>
    </row>
    <row r="113" spans="1:9" s="73" customFormat="1" ht="17.100000000000001" customHeight="1">
      <c r="A113" s="71"/>
      <c r="B113" s="72"/>
      <c r="C113" s="73" t="str">
        <f t="shared" si="3"/>
        <v/>
      </c>
      <c r="D113" s="71"/>
      <c r="E113" s="72"/>
      <c r="F113" s="73" t="str">
        <f t="shared" si="4"/>
        <v/>
      </c>
      <c r="G113" s="71"/>
      <c r="H113" s="72"/>
      <c r="I113" s="73" t="str">
        <f t="shared" si="5"/>
        <v/>
      </c>
    </row>
    <row r="114" spans="1:9" s="73" customFormat="1" ht="17.100000000000001" customHeight="1">
      <c r="A114" s="71"/>
      <c r="B114" s="72"/>
      <c r="C114" s="73" t="str">
        <f t="shared" si="3"/>
        <v/>
      </c>
      <c r="D114" s="71"/>
      <c r="E114" s="72"/>
      <c r="F114" s="73" t="str">
        <f t="shared" si="4"/>
        <v/>
      </c>
      <c r="G114" s="71"/>
      <c r="H114" s="72"/>
      <c r="I114" s="73" t="str">
        <f t="shared" si="5"/>
        <v/>
      </c>
    </row>
    <row r="115" spans="1:9" s="73" customFormat="1" ht="17.100000000000001" customHeight="1">
      <c r="A115" s="71"/>
      <c r="B115" s="72"/>
      <c r="C115" s="73" t="str">
        <f t="shared" si="3"/>
        <v/>
      </c>
      <c r="D115" s="71"/>
      <c r="E115" s="72"/>
      <c r="F115" s="73" t="str">
        <f t="shared" si="4"/>
        <v/>
      </c>
      <c r="G115" s="71"/>
      <c r="H115" s="72"/>
      <c r="I115" s="73" t="str">
        <f t="shared" si="5"/>
        <v/>
      </c>
    </row>
    <row r="116" spans="1:9" s="73" customFormat="1" ht="17.100000000000001" customHeight="1">
      <c r="A116" s="71"/>
      <c r="B116" s="72"/>
      <c r="C116" s="73" t="str">
        <f t="shared" si="3"/>
        <v/>
      </c>
      <c r="D116" s="71"/>
      <c r="E116" s="72"/>
      <c r="F116" s="73" t="str">
        <f t="shared" si="4"/>
        <v/>
      </c>
      <c r="G116" s="71"/>
      <c r="H116" s="72"/>
      <c r="I116" s="73" t="str">
        <f t="shared" si="5"/>
        <v/>
      </c>
    </row>
    <row r="117" spans="1:9" s="73" customFormat="1" ht="17.100000000000001" customHeight="1">
      <c r="A117" s="71"/>
      <c r="B117" s="72"/>
      <c r="C117" s="73" t="str">
        <f t="shared" si="3"/>
        <v/>
      </c>
      <c r="D117" s="71"/>
      <c r="E117" s="72"/>
      <c r="F117" s="73" t="str">
        <f t="shared" si="4"/>
        <v/>
      </c>
      <c r="G117" s="71"/>
      <c r="H117" s="72"/>
      <c r="I117" s="73" t="str">
        <f t="shared" si="5"/>
        <v/>
      </c>
    </row>
    <row r="118" spans="1:9" s="73" customFormat="1" ht="17.100000000000001" customHeight="1">
      <c r="A118" s="71"/>
      <c r="B118" s="72"/>
      <c r="C118" s="73" t="str">
        <f t="shared" si="3"/>
        <v/>
      </c>
      <c r="D118" s="71"/>
      <c r="E118" s="72"/>
      <c r="F118" s="73" t="str">
        <f t="shared" si="4"/>
        <v/>
      </c>
      <c r="G118" s="71"/>
      <c r="H118" s="72"/>
      <c r="I118" s="73" t="str">
        <f t="shared" si="5"/>
        <v/>
      </c>
    </row>
    <row r="119" spans="1:9" s="73" customFormat="1" ht="17.100000000000001" customHeight="1">
      <c r="A119" s="71"/>
      <c r="B119" s="72"/>
      <c r="C119" s="73" t="str">
        <f t="shared" si="3"/>
        <v/>
      </c>
      <c r="D119" s="71"/>
      <c r="E119" s="72"/>
      <c r="F119" s="73" t="str">
        <f t="shared" si="4"/>
        <v/>
      </c>
      <c r="G119" s="71"/>
      <c r="H119" s="72"/>
      <c r="I119" s="73" t="str">
        <f t="shared" si="5"/>
        <v/>
      </c>
    </row>
    <row r="120" spans="1:9" s="73" customFormat="1" ht="17.100000000000001" customHeight="1">
      <c r="A120" s="71"/>
      <c r="B120" s="72"/>
      <c r="C120" s="73" t="str">
        <f t="shared" si="3"/>
        <v/>
      </c>
      <c r="D120" s="71"/>
      <c r="E120" s="72"/>
      <c r="F120" s="73" t="str">
        <f t="shared" si="4"/>
        <v/>
      </c>
      <c r="G120" s="71"/>
      <c r="H120" s="72"/>
      <c r="I120" s="73" t="str">
        <f t="shared" si="5"/>
        <v/>
      </c>
    </row>
    <row r="121" spans="1:9" s="73" customFormat="1" ht="17.100000000000001" customHeight="1">
      <c r="A121" s="71"/>
      <c r="B121" s="72"/>
      <c r="C121" s="73" t="str">
        <f t="shared" si="3"/>
        <v/>
      </c>
      <c r="D121" s="71"/>
      <c r="E121" s="72"/>
      <c r="F121" s="73" t="str">
        <f t="shared" si="4"/>
        <v/>
      </c>
      <c r="G121" s="71"/>
      <c r="H121" s="72"/>
      <c r="I121" s="73" t="str">
        <f t="shared" si="5"/>
        <v/>
      </c>
    </row>
    <row r="122" spans="1:9" s="73" customFormat="1" ht="17.100000000000001" customHeight="1">
      <c r="A122" s="71"/>
      <c r="B122" s="72"/>
      <c r="C122" s="73" t="str">
        <f t="shared" si="3"/>
        <v/>
      </c>
      <c r="D122" s="71"/>
      <c r="E122" s="72"/>
      <c r="F122" s="73" t="str">
        <f t="shared" si="4"/>
        <v/>
      </c>
      <c r="G122" s="71"/>
      <c r="H122" s="72"/>
      <c r="I122" s="73" t="str">
        <f t="shared" si="5"/>
        <v/>
      </c>
    </row>
    <row r="123" spans="1:9" s="73" customFormat="1" ht="17.100000000000001" customHeight="1">
      <c r="A123" s="71"/>
      <c r="B123" s="72"/>
      <c r="C123" s="73" t="str">
        <f t="shared" si="3"/>
        <v/>
      </c>
      <c r="D123" s="71"/>
      <c r="E123" s="72"/>
      <c r="F123" s="73" t="str">
        <f t="shared" si="4"/>
        <v/>
      </c>
      <c r="G123" s="71"/>
      <c r="H123" s="72"/>
      <c r="I123" s="73" t="str">
        <f t="shared" si="5"/>
        <v/>
      </c>
    </row>
    <row r="124" spans="1:9" s="73" customFormat="1" ht="17.100000000000001" customHeight="1">
      <c r="A124" s="71"/>
      <c r="B124" s="72"/>
      <c r="C124" s="73" t="str">
        <f t="shared" si="3"/>
        <v/>
      </c>
      <c r="D124" s="71"/>
      <c r="E124" s="72"/>
      <c r="F124" s="73" t="str">
        <f t="shared" si="4"/>
        <v/>
      </c>
      <c r="G124" s="71"/>
      <c r="H124" s="72"/>
      <c r="I124" s="73" t="str">
        <f t="shared" si="5"/>
        <v/>
      </c>
    </row>
    <row r="125" spans="1:9" s="73" customFormat="1" ht="17.100000000000001" customHeight="1">
      <c r="A125" s="71"/>
      <c r="B125" s="72"/>
      <c r="C125" s="73" t="str">
        <f t="shared" si="3"/>
        <v/>
      </c>
      <c r="D125" s="71"/>
      <c r="E125" s="72"/>
      <c r="F125" s="73" t="str">
        <f t="shared" si="4"/>
        <v/>
      </c>
      <c r="G125" s="71"/>
      <c r="H125" s="72"/>
      <c r="I125" s="73" t="str">
        <f t="shared" si="5"/>
        <v/>
      </c>
    </row>
    <row r="126" spans="1:9" s="73" customFormat="1" ht="17.100000000000001" customHeight="1">
      <c r="A126" s="71"/>
      <c r="B126" s="72"/>
      <c r="C126" s="73" t="str">
        <f t="shared" si="3"/>
        <v/>
      </c>
      <c r="D126" s="71"/>
      <c r="E126" s="72"/>
      <c r="F126" s="73" t="str">
        <f t="shared" si="4"/>
        <v/>
      </c>
      <c r="G126" s="71"/>
      <c r="H126" s="72"/>
      <c r="I126" s="73" t="str">
        <f t="shared" si="5"/>
        <v/>
      </c>
    </row>
    <row r="127" spans="1:9" s="73" customFormat="1" ht="17.100000000000001" customHeight="1">
      <c r="A127" s="71"/>
      <c r="B127" s="72"/>
      <c r="C127" s="73" t="str">
        <f t="shared" si="3"/>
        <v/>
      </c>
      <c r="D127" s="71"/>
      <c r="E127" s="72"/>
      <c r="F127" s="73" t="str">
        <f t="shared" si="4"/>
        <v/>
      </c>
      <c r="G127" s="71"/>
      <c r="H127" s="72"/>
      <c r="I127" s="73" t="str">
        <f t="shared" si="5"/>
        <v/>
      </c>
    </row>
    <row r="128" spans="1:9" s="73" customFormat="1" ht="17.100000000000001" customHeight="1">
      <c r="A128" s="71"/>
      <c r="B128" s="72"/>
      <c r="C128" s="73" t="str">
        <f t="shared" si="3"/>
        <v/>
      </c>
      <c r="D128" s="71"/>
      <c r="E128" s="72"/>
      <c r="F128" s="73" t="str">
        <f t="shared" si="4"/>
        <v/>
      </c>
      <c r="G128" s="71"/>
      <c r="H128" s="72"/>
      <c r="I128" s="73" t="str">
        <f t="shared" si="5"/>
        <v/>
      </c>
    </row>
    <row r="129" spans="1:9" s="73" customFormat="1" ht="17.100000000000001" customHeight="1">
      <c r="A129" s="71"/>
      <c r="B129" s="72"/>
      <c r="C129" s="73" t="str">
        <f t="shared" si="3"/>
        <v/>
      </c>
      <c r="D129" s="71"/>
      <c r="E129" s="72"/>
      <c r="F129" s="73" t="str">
        <f t="shared" si="4"/>
        <v/>
      </c>
      <c r="G129" s="71"/>
      <c r="H129" s="72"/>
      <c r="I129" s="73" t="str">
        <f t="shared" si="5"/>
        <v/>
      </c>
    </row>
    <row r="130" spans="1:9" s="73" customFormat="1" ht="17.100000000000001" customHeight="1">
      <c r="A130" s="71"/>
      <c r="B130" s="72"/>
      <c r="C130" s="73" t="str">
        <f t="shared" si="3"/>
        <v/>
      </c>
      <c r="D130" s="71"/>
      <c r="E130" s="72"/>
      <c r="F130" s="73" t="str">
        <f t="shared" si="4"/>
        <v/>
      </c>
      <c r="G130" s="71"/>
      <c r="H130" s="72"/>
      <c r="I130" s="73" t="str">
        <f t="shared" si="5"/>
        <v/>
      </c>
    </row>
    <row r="131" spans="1:9" s="73" customFormat="1" ht="17.100000000000001" customHeight="1">
      <c r="A131" s="71"/>
      <c r="B131" s="72"/>
      <c r="C131" s="73" t="str">
        <f t="shared" si="3"/>
        <v/>
      </c>
      <c r="D131" s="71"/>
      <c r="E131" s="72"/>
      <c r="F131" s="73" t="str">
        <f t="shared" si="4"/>
        <v/>
      </c>
      <c r="G131" s="71"/>
      <c r="H131" s="72"/>
      <c r="I131" s="73" t="str">
        <f t="shared" si="5"/>
        <v/>
      </c>
    </row>
    <row r="132" spans="1:9" s="73" customFormat="1" ht="17.100000000000001" customHeight="1">
      <c r="A132" s="71"/>
      <c r="B132" s="72"/>
      <c r="C132" s="73" t="str">
        <f t="shared" si="3"/>
        <v/>
      </c>
      <c r="D132" s="71"/>
      <c r="E132" s="72"/>
      <c r="F132" s="73" t="str">
        <f t="shared" si="4"/>
        <v/>
      </c>
      <c r="G132" s="71"/>
      <c r="H132" s="72"/>
      <c r="I132" s="73" t="str">
        <f t="shared" si="5"/>
        <v/>
      </c>
    </row>
    <row r="133" spans="1:9" s="73" customFormat="1" ht="17.100000000000001" customHeight="1">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7.100000000000001" customHeight="1">
      <c r="A134" s="71"/>
      <c r="B134" s="72"/>
      <c r="C134" s="73" t="str">
        <f t="shared" si="6"/>
        <v/>
      </c>
      <c r="D134" s="71"/>
      <c r="E134" s="72"/>
      <c r="F134" s="73" t="str">
        <f t="shared" si="7"/>
        <v/>
      </c>
      <c r="G134" s="71"/>
      <c r="H134" s="72"/>
      <c r="I134" s="73" t="str">
        <f t="shared" si="8"/>
        <v/>
      </c>
    </row>
    <row r="135" spans="1:9" s="73" customFormat="1" ht="17.100000000000001" customHeight="1">
      <c r="A135" s="71"/>
      <c r="B135" s="72"/>
      <c r="C135" s="73" t="str">
        <f t="shared" si="6"/>
        <v/>
      </c>
      <c r="D135" s="71"/>
      <c r="E135" s="72"/>
      <c r="F135" s="73" t="str">
        <f t="shared" si="7"/>
        <v/>
      </c>
      <c r="G135" s="71"/>
      <c r="H135" s="72"/>
      <c r="I135" s="73" t="str">
        <f t="shared" si="8"/>
        <v/>
      </c>
    </row>
    <row r="136" spans="1:9" s="73" customFormat="1" ht="17.100000000000001" customHeight="1">
      <c r="A136" s="71"/>
      <c r="B136" s="72"/>
      <c r="C136" s="73" t="str">
        <f t="shared" si="6"/>
        <v/>
      </c>
      <c r="D136" s="71"/>
      <c r="E136" s="72"/>
      <c r="F136" s="73" t="str">
        <f t="shared" si="7"/>
        <v/>
      </c>
      <c r="G136" s="71"/>
      <c r="H136" s="72"/>
      <c r="I136" s="73" t="str">
        <f t="shared" si="8"/>
        <v/>
      </c>
    </row>
    <row r="137" spans="1:9" s="73" customFormat="1" ht="17.100000000000001" customHeight="1">
      <c r="A137" s="71"/>
      <c r="B137" s="72"/>
      <c r="C137" s="73" t="str">
        <f t="shared" si="6"/>
        <v/>
      </c>
      <c r="D137" s="71"/>
      <c r="E137" s="72"/>
      <c r="F137" s="73" t="str">
        <f t="shared" si="7"/>
        <v/>
      </c>
      <c r="G137" s="71"/>
      <c r="H137" s="72"/>
      <c r="I137" s="73" t="str">
        <f t="shared" si="8"/>
        <v/>
      </c>
    </row>
    <row r="138" spans="1:9" s="73" customFormat="1" ht="17.100000000000001" customHeight="1">
      <c r="A138" s="71"/>
      <c r="B138" s="72"/>
      <c r="C138" s="73" t="str">
        <f t="shared" si="6"/>
        <v/>
      </c>
      <c r="D138" s="71"/>
      <c r="E138" s="72"/>
      <c r="F138" s="73" t="str">
        <f t="shared" si="7"/>
        <v/>
      </c>
      <c r="G138" s="71"/>
      <c r="H138" s="72"/>
      <c r="I138" s="73" t="str">
        <f t="shared" si="8"/>
        <v/>
      </c>
    </row>
    <row r="139" spans="1:9" s="73" customFormat="1" ht="17.100000000000001" customHeight="1">
      <c r="A139" s="71"/>
      <c r="B139" s="72"/>
      <c r="C139" s="73" t="str">
        <f t="shared" si="6"/>
        <v/>
      </c>
      <c r="D139" s="71"/>
      <c r="E139" s="72"/>
      <c r="F139" s="73" t="str">
        <f t="shared" si="7"/>
        <v/>
      </c>
      <c r="G139" s="71"/>
      <c r="H139" s="72"/>
      <c r="I139" s="73" t="str">
        <f t="shared" si="8"/>
        <v/>
      </c>
    </row>
    <row r="140" spans="1:9" s="73" customFormat="1" ht="17.100000000000001" customHeight="1">
      <c r="A140" s="71"/>
      <c r="B140" s="72"/>
      <c r="C140" s="73" t="str">
        <f t="shared" si="6"/>
        <v/>
      </c>
      <c r="D140" s="71"/>
      <c r="E140" s="72"/>
      <c r="F140" s="73" t="str">
        <f t="shared" si="7"/>
        <v/>
      </c>
      <c r="G140" s="71"/>
      <c r="H140" s="72"/>
      <c r="I140" s="73" t="str">
        <f t="shared" si="8"/>
        <v/>
      </c>
    </row>
    <row r="141" spans="1:9" s="73" customFormat="1" ht="17.100000000000001" customHeight="1">
      <c r="A141" s="71"/>
      <c r="B141" s="72"/>
      <c r="C141" s="73" t="str">
        <f t="shared" si="6"/>
        <v/>
      </c>
      <c r="D141" s="71"/>
      <c r="E141" s="72"/>
      <c r="F141" s="73" t="str">
        <f t="shared" si="7"/>
        <v/>
      </c>
      <c r="G141" s="71"/>
      <c r="H141" s="72"/>
      <c r="I141" s="73" t="str">
        <f t="shared" si="8"/>
        <v/>
      </c>
    </row>
    <row r="142" spans="1:9" s="73" customFormat="1" ht="17.100000000000001" customHeight="1">
      <c r="A142" s="71"/>
      <c r="B142" s="72"/>
      <c r="C142" s="73" t="str">
        <f t="shared" si="6"/>
        <v/>
      </c>
      <c r="D142" s="71"/>
      <c r="E142" s="72"/>
      <c r="F142" s="73" t="str">
        <f t="shared" si="7"/>
        <v/>
      </c>
      <c r="G142" s="71"/>
      <c r="H142" s="72"/>
      <c r="I142" s="73" t="str">
        <f t="shared" si="8"/>
        <v/>
      </c>
    </row>
    <row r="143" spans="1:9" s="73" customFormat="1" ht="17.100000000000001" customHeight="1">
      <c r="A143" s="71"/>
      <c r="B143" s="72"/>
      <c r="C143" s="73" t="str">
        <f t="shared" si="6"/>
        <v/>
      </c>
      <c r="D143" s="71"/>
      <c r="E143" s="72"/>
      <c r="F143" s="73" t="str">
        <f t="shared" si="7"/>
        <v/>
      </c>
      <c r="G143" s="71"/>
      <c r="H143" s="72"/>
      <c r="I143" s="73" t="str">
        <f t="shared" si="8"/>
        <v/>
      </c>
    </row>
    <row r="144" spans="1:9" s="73" customFormat="1" ht="17.100000000000001" customHeight="1">
      <c r="A144" s="71"/>
      <c r="B144" s="72"/>
      <c r="C144" s="73" t="str">
        <f t="shared" si="6"/>
        <v/>
      </c>
      <c r="D144" s="71"/>
      <c r="E144" s="72"/>
      <c r="F144" s="73" t="str">
        <f t="shared" si="7"/>
        <v/>
      </c>
      <c r="G144" s="71"/>
      <c r="H144" s="72"/>
      <c r="I144" s="73" t="str">
        <f t="shared" si="8"/>
        <v/>
      </c>
    </row>
    <row r="145" spans="1:9" s="73" customFormat="1" ht="17.100000000000001" customHeight="1">
      <c r="A145" s="71"/>
      <c r="B145" s="72"/>
      <c r="C145" s="73" t="str">
        <f t="shared" si="6"/>
        <v/>
      </c>
      <c r="D145" s="71"/>
      <c r="E145" s="72"/>
      <c r="F145" s="73" t="str">
        <f t="shared" si="7"/>
        <v/>
      </c>
      <c r="G145" s="71"/>
      <c r="H145" s="72"/>
      <c r="I145" s="73" t="str">
        <f t="shared" si="8"/>
        <v/>
      </c>
    </row>
    <row r="146" spans="1:9" s="73" customFormat="1" ht="17.100000000000001" customHeight="1">
      <c r="A146" s="71"/>
      <c r="B146" s="72"/>
      <c r="C146" s="73" t="str">
        <f t="shared" si="6"/>
        <v/>
      </c>
      <c r="D146" s="71"/>
      <c r="E146" s="72"/>
      <c r="F146" s="73" t="str">
        <f t="shared" si="7"/>
        <v/>
      </c>
      <c r="G146" s="71"/>
      <c r="H146" s="72"/>
      <c r="I146" s="73" t="str">
        <f t="shared" si="8"/>
        <v/>
      </c>
    </row>
    <row r="147" spans="1:9" s="73" customFormat="1" ht="17.100000000000001" customHeight="1">
      <c r="A147" s="71"/>
      <c r="B147" s="72"/>
      <c r="C147" s="73" t="str">
        <f t="shared" si="6"/>
        <v/>
      </c>
      <c r="D147" s="71"/>
      <c r="E147" s="72"/>
      <c r="F147" s="73" t="str">
        <f t="shared" si="7"/>
        <v/>
      </c>
      <c r="G147" s="71"/>
      <c r="H147" s="72"/>
      <c r="I147" s="73" t="str">
        <f t="shared" si="8"/>
        <v/>
      </c>
    </row>
    <row r="148" spans="1:9" s="73" customFormat="1" ht="17.100000000000001" customHeight="1">
      <c r="A148" s="71"/>
      <c r="B148" s="72"/>
      <c r="C148" s="73" t="str">
        <f t="shared" si="6"/>
        <v/>
      </c>
      <c r="D148" s="71"/>
      <c r="E148" s="72"/>
      <c r="F148" s="73" t="str">
        <f t="shared" si="7"/>
        <v/>
      </c>
      <c r="G148" s="71"/>
      <c r="H148" s="72"/>
      <c r="I148" s="73" t="str">
        <f t="shared" si="8"/>
        <v/>
      </c>
    </row>
    <row r="149" spans="1:9" s="73" customFormat="1" ht="17.100000000000001" customHeight="1">
      <c r="A149" s="71"/>
      <c r="B149" s="72"/>
      <c r="C149" s="73" t="str">
        <f t="shared" si="6"/>
        <v/>
      </c>
      <c r="D149" s="71"/>
      <c r="E149" s="72"/>
      <c r="F149" s="73" t="str">
        <f t="shared" si="7"/>
        <v/>
      </c>
      <c r="G149" s="71"/>
      <c r="H149" s="72"/>
      <c r="I149" s="73" t="str">
        <f t="shared" si="8"/>
        <v/>
      </c>
    </row>
    <row r="150" spans="1:9" s="73" customFormat="1" ht="17.100000000000001" customHeight="1">
      <c r="A150" s="71"/>
      <c r="B150" s="72"/>
      <c r="C150" s="73" t="str">
        <f t="shared" si="6"/>
        <v/>
      </c>
      <c r="D150" s="71"/>
      <c r="E150" s="72"/>
      <c r="F150" s="73" t="str">
        <f t="shared" si="7"/>
        <v/>
      </c>
      <c r="G150" s="71"/>
      <c r="H150" s="72"/>
      <c r="I150" s="73" t="str">
        <f t="shared" si="8"/>
        <v/>
      </c>
    </row>
    <row r="151" spans="1:9" s="73" customFormat="1" ht="17.100000000000001" customHeight="1">
      <c r="A151" s="71"/>
      <c r="B151" s="72"/>
      <c r="C151" s="73" t="str">
        <f t="shared" si="6"/>
        <v/>
      </c>
      <c r="D151" s="71"/>
      <c r="E151" s="72"/>
      <c r="F151" s="73" t="str">
        <f t="shared" si="7"/>
        <v/>
      </c>
      <c r="G151" s="71"/>
      <c r="H151" s="72"/>
      <c r="I151" s="73" t="str">
        <f t="shared" si="8"/>
        <v/>
      </c>
    </row>
    <row r="152" spans="1:9" s="73" customFormat="1" ht="17.100000000000001" customHeight="1">
      <c r="A152" s="71"/>
      <c r="B152" s="72"/>
      <c r="C152" s="73" t="str">
        <f t="shared" si="6"/>
        <v/>
      </c>
      <c r="D152" s="71"/>
      <c r="E152" s="72"/>
      <c r="F152" s="73" t="str">
        <f t="shared" si="7"/>
        <v/>
      </c>
      <c r="G152" s="71"/>
      <c r="H152" s="72"/>
      <c r="I152" s="73" t="str">
        <f t="shared" si="8"/>
        <v/>
      </c>
    </row>
    <row r="153" spans="1:9" s="73" customFormat="1" ht="17.100000000000001" customHeight="1">
      <c r="A153" s="71"/>
      <c r="B153" s="72"/>
      <c r="C153" s="73" t="str">
        <f t="shared" si="6"/>
        <v/>
      </c>
      <c r="D153" s="71"/>
      <c r="E153" s="72"/>
      <c r="F153" s="73" t="str">
        <f t="shared" si="7"/>
        <v/>
      </c>
      <c r="G153" s="71"/>
      <c r="H153" s="72"/>
      <c r="I153" s="73" t="str">
        <f t="shared" si="8"/>
        <v/>
      </c>
    </row>
    <row r="154" spans="1:9" s="73" customFormat="1" ht="17.100000000000001" customHeight="1">
      <c r="A154" s="71"/>
      <c r="B154" s="72"/>
      <c r="C154" s="73" t="str">
        <f t="shared" si="6"/>
        <v/>
      </c>
      <c r="D154" s="71"/>
      <c r="E154" s="72"/>
      <c r="F154" s="73" t="str">
        <f t="shared" si="7"/>
        <v/>
      </c>
      <c r="G154" s="71"/>
      <c r="H154" s="72"/>
      <c r="I154" s="73" t="str">
        <f t="shared" si="8"/>
        <v/>
      </c>
    </row>
    <row r="155" spans="1:9" s="73" customFormat="1" ht="17.100000000000001" customHeight="1">
      <c r="A155" s="71"/>
      <c r="B155" s="72"/>
      <c r="C155" s="73" t="str">
        <f t="shared" si="6"/>
        <v/>
      </c>
      <c r="D155" s="71"/>
      <c r="E155" s="72"/>
      <c r="F155" s="73" t="str">
        <f t="shared" si="7"/>
        <v/>
      </c>
      <c r="G155" s="71"/>
      <c r="H155" s="72"/>
      <c r="I155" s="73" t="str">
        <f t="shared" si="8"/>
        <v/>
      </c>
    </row>
    <row r="156" spans="1:9" s="73" customFormat="1" ht="17.100000000000001" customHeight="1">
      <c r="A156" s="71"/>
      <c r="B156" s="72"/>
      <c r="C156" s="73" t="str">
        <f t="shared" si="6"/>
        <v/>
      </c>
      <c r="D156" s="71"/>
      <c r="E156" s="72"/>
      <c r="F156" s="73" t="str">
        <f t="shared" si="7"/>
        <v/>
      </c>
      <c r="G156" s="71"/>
      <c r="H156" s="72"/>
      <c r="I156" s="73" t="str">
        <f t="shared" si="8"/>
        <v/>
      </c>
    </row>
    <row r="157" spans="1:9" s="73" customFormat="1" ht="17.100000000000001" customHeight="1">
      <c r="A157" s="71"/>
      <c r="B157" s="72"/>
      <c r="C157" s="73" t="str">
        <f t="shared" si="6"/>
        <v/>
      </c>
      <c r="D157" s="71"/>
      <c r="E157" s="72"/>
      <c r="F157" s="73" t="str">
        <f t="shared" si="7"/>
        <v/>
      </c>
      <c r="G157" s="71"/>
      <c r="H157" s="72"/>
      <c r="I157" s="73" t="str">
        <f t="shared" si="8"/>
        <v/>
      </c>
    </row>
    <row r="158" spans="1:9" s="73" customFormat="1" ht="17.100000000000001" customHeight="1">
      <c r="A158" s="71"/>
      <c r="B158" s="72"/>
      <c r="C158" s="73" t="str">
        <f t="shared" si="6"/>
        <v/>
      </c>
      <c r="D158" s="71"/>
      <c r="E158" s="72"/>
      <c r="F158" s="73" t="str">
        <f t="shared" si="7"/>
        <v/>
      </c>
      <c r="G158" s="71"/>
      <c r="H158" s="72"/>
      <c r="I158" s="73" t="str">
        <f t="shared" si="8"/>
        <v/>
      </c>
    </row>
    <row r="159" spans="1:9" s="73" customFormat="1" ht="17.100000000000001" customHeight="1">
      <c r="A159" s="71"/>
      <c r="B159" s="72"/>
      <c r="C159" s="73" t="str">
        <f t="shared" si="6"/>
        <v/>
      </c>
      <c r="D159" s="71"/>
      <c r="E159" s="72"/>
      <c r="F159" s="73" t="str">
        <f t="shared" si="7"/>
        <v/>
      </c>
      <c r="G159" s="71"/>
      <c r="H159" s="72"/>
      <c r="I159" s="73" t="str">
        <f t="shared" si="8"/>
        <v/>
      </c>
    </row>
    <row r="160" spans="1:9" s="73" customFormat="1" ht="17.100000000000001" customHeight="1">
      <c r="A160" s="71"/>
      <c r="B160" s="72"/>
      <c r="C160" s="73" t="str">
        <f t="shared" si="6"/>
        <v/>
      </c>
      <c r="D160" s="71"/>
      <c r="E160" s="72"/>
      <c r="F160" s="73" t="str">
        <f t="shared" si="7"/>
        <v/>
      </c>
      <c r="G160" s="71"/>
      <c r="H160" s="72"/>
      <c r="I160" s="73" t="str">
        <f t="shared" si="8"/>
        <v/>
      </c>
    </row>
    <row r="161" spans="1:9" s="73" customFormat="1" ht="17.100000000000001" customHeight="1">
      <c r="A161" s="71"/>
      <c r="B161" s="72"/>
      <c r="C161" s="73" t="str">
        <f t="shared" si="6"/>
        <v/>
      </c>
      <c r="D161" s="71"/>
      <c r="E161" s="72"/>
      <c r="F161" s="73" t="str">
        <f t="shared" si="7"/>
        <v/>
      </c>
      <c r="G161" s="71"/>
      <c r="H161" s="72"/>
      <c r="I161" s="73" t="str">
        <f t="shared" si="8"/>
        <v/>
      </c>
    </row>
    <row r="162" spans="1:9" s="73" customFormat="1" ht="17.100000000000001" customHeight="1">
      <c r="A162" s="71"/>
      <c r="B162" s="72"/>
      <c r="C162" s="73" t="str">
        <f t="shared" si="6"/>
        <v/>
      </c>
      <c r="D162" s="71"/>
      <c r="E162" s="72"/>
      <c r="F162" s="73" t="str">
        <f t="shared" si="7"/>
        <v/>
      </c>
      <c r="G162" s="71"/>
      <c r="H162" s="72"/>
      <c r="I162" s="73" t="str">
        <f t="shared" si="8"/>
        <v/>
      </c>
    </row>
    <row r="163" spans="1:9" s="73" customFormat="1" ht="17.100000000000001" customHeight="1">
      <c r="A163" s="71"/>
      <c r="B163" s="72"/>
      <c r="C163" s="73" t="str">
        <f t="shared" si="6"/>
        <v/>
      </c>
      <c r="D163" s="71"/>
      <c r="E163" s="72"/>
      <c r="F163" s="73" t="str">
        <f t="shared" si="7"/>
        <v/>
      </c>
      <c r="G163" s="71"/>
      <c r="H163" s="72"/>
      <c r="I163" s="73" t="str">
        <f t="shared" si="8"/>
        <v/>
      </c>
    </row>
    <row r="164" spans="1:9" s="73" customFormat="1" ht="17.100000000000001" customHeight="1">
      <c r="A164" s="71"/>
      <c r="B164" s="72"/>
      <c r="C164" s="73" t="str">
        <f t="shared" si="6"/>
        <v/>
      </c>
      <c r="D164" s="71"/>
      <c r="E164" s="72"/>
      <c r="F164" s="73" t="str">
        <f t="shared" si="7"/>
        <v/>
      </c>
      <c r="G164" s="71"/>
      <c r="H164" s="72"/>
      <c r="I164" s="73" t="str">
        <f t="shared" si="8"/>
        <v/>
      </c>
    </row>
    <row r="165" spans="1:9" s="73" customFormat="1" ht="17.100000000000001" customHeight="1">
      <c r="A165" s="71"/>
      <c r="B165" s="72"/>
      <c r="C165" s="73" t="str">
        <f t="shared" si="6"/>
        <v/>
      </c>
      <c r="D165" s="71"/>
      <c r="E165" s="72"/>
      <c r="F165" s="73" t="str">
        <f t="shared" si="7"/>
        <v/>
      </c>
      <c r="G165" s="71"/>
      <c r="H165" s="72"/>
      <c r="I165" s="73" t="str">
        <f t="shared" si="8"/>
        <v/>
      </c>
    </row>
    <row r="166" spans="1:9" s="73" customFormat="1" ht="17.100000000000001" customHeight="1">
      <c r="A166" s="71"/>
      <c r="B166" s="72"/>
      <c r="C166" s="73" t="str">
        <f t="shared" si="6"/>
        <v/>
      </c>
      <c r="D166" s="71"/>
      <c r="E166" s="72"/>
      <c r="F166" s="73" t="str">
        <f t="shared" si="7"/>
        <v/>
      </c>
      <c r="G166" s="71"/>
      <c r="H166" s="72"/>
      <c r="I166" s="73" t="str">
        <f t="shared" si="8"/>
        <v/>
      </c>
    </row>
    <row r="167" spans="1:9" s="73" customFormat="1" ht="17.100000000000001" customHeight="1">
      <c r="A167" s="71"/>
      <c r="B167" s="72"/>
      <c r="C167" s="73" t="str">
        <f t="shared" si="6"/>
        <v/>
      </c>
      <c r="D167" s="71"/>
      <c r="E167" s="72"/>
      <c r="F167" s="73" t="str">
        <f t="shared" si="7"/>
        <v/>
      </c>
      <c r="G167" s="71"/>
      <c r="H167" s="72"/>
      <c r="I167" s="73" t="str">
        <f t="shared" si="8"/>
        <v/>
      </c>
    </row>
    <row r="168" spans="1:9" s="73" customFormat="1" ht="17.100000000000001" customHeight="1">
      <c r="A168" s="71"/>
      <c r="B168" s="72"/>
      <c r="C168" s="73" t="str">
        <f t="shared" si="6"/>
        <v/>
      </c>
      <c r="D168" s="71"/>
      <c r="E168" s="72"/>
      <c r="F168" s="73" t="str">
        <f t="shared" si="7"/>
        <v/>
      </c>
      <c r="G168" s="71"/>
      <c r="H168" s="72"/>
      <c r="I168" s="73" t="str">
        <f t="shared" si="8"/>
        <v/>
      </c>
    </row>
    <row r="169" spans="1:9" s="73" customFormat="1" ht="17.100000000000001" customHeight="1">
      <c r="A169" s="71"/>
      <c r="B169" s="72"/>
      <c r="C169" s="73" t="str">
        <f t="shared" si="6"/>
        <v/>
      </c>
      <c r="D169" s="71"/>
      <c r="E169" s="72"/>
      <c r="F169" s="73" t="str">
        <f t="shared" si="7"/>
        <v/>
      </c>
      <c r="G169" s="71"/>
      <c r="H169" s="72"/>
      <c r="I169" s="73" t="str">
        <f t="shared" si="8"/>
        <v/>
      </c>
    </row>
    <row r="170" spans="1:9" s="73" customFormat="1" ht="17.100000000000001" customHeight="1">
      <c r="A170" s="71"/>
      <c r="B170" s="72"/>
      <c r="C170" s="73" t="str">
        <f t="shared" si="6"/>
        <v/>
      </c>
      <c r="D170" s="71"/>
      <c r="E170" s="72"/>
      <c r="F170" s="73" t="str">
        <f t="shared" si="7"/>
        <v/>
      </c>
      <c r="G170" s="71"/>
      <c r="H170" s="72"/>
      <c r="I170" s="73" t="str">
        <f t="shared" si="8"/>
        <v/>
      </c>
    </row>
    <row r="171" spans="1:9" s="73" customFormat="1" ht="17.100000000000001" customHeight="1">
      <c r="A171" s="71"/>
      <c r="B171" s="72"/>
      <c r="C171" s="73" t="str">
        <f t="shared" si="6"/>
        <v/>
      </c>
      <c r="D171" s="71"/>
      <c r="E171" s="72"/>
      <c r="F171" s="73" t="str">
        <f t="shared" si="7"/>
        <v/>
      </c>
      <c r="G171" s="71"/>
      <c r="H171" s="72"/>
      <c r="I171" s="73" t="str">
        <f t="shared" si="8"/>
        <v/>
      </c>
    </row>
    <row r="172" spans="1:9" s="73" customFormat="1" ht="17.100000000000001" customHeight="1">
      <c r="A172" s="71"/>
      <c r="B172" s="72"/>
      <c r="C172" s="73" t="str">
        <f t="shared" si="6"/>
        <v/>
      </c>
      <c r="D172" s="71"/>
      <c r="E172" s="72"/>
      <c r="F172" s="73" t="str">
        <f t="shared" si="7"/>
        <v/>
      </c>
      <c r="G172" s="71"/>
      <c r="H172" s="72"/>
      <c r="I172" s="73" t="str">
        <f t="shared" si="8"/>
        <v/>
      </c>
    </row>
    <row r="173" spans="1:9" s="73" customFormat="1" ht="17.100000000000001" customHeight="1">
      <c r="A173" s="71"/>
      <c r="B173" s="72"/>
      <c r="C173" s="73" t="str">
        <f t="shared" si="6"/>
        <v/>
      </c>
      <c r="D173" s="71"/>
      <c r="E173" s="72"/>
      <c r="F173" s="73" t="str">
        <f t="shared" si="7"/>
        <v/>
      </c>
      <c r="G173" s="71"/>
      <c r="H173" s="72"/>
      <c r="I173" s="73" t="str">
        <f t="shared" si="8"/>
        <v/>
      </c>
    </row>
    <row r="174" spans="1:9" s="73" customFormat="1" ht="17.100000000000001" customHeight="1">
      <c r="A174" s="71"/>
      <c r="B174" s="72"/>
      <c r="C174" s="73" t="str">
        <f t="shared" si="6"/>
        <v/>
      </c>
      <c r="D174" s="71"/>
      <c r="E174" s="72"/>
      <c r="F174" s="73" t="str">
        <f t="shared" si="7"/>
        <v/>
      </c>
      <c r="G174" s="71"/>
      <c r="H174" s="72"/>
      <c r="I174" s="73" t="str">
        <f t="shared" si="8"/>
        <v/>
      </c>
    </row>
    <row r="175" spans="1:9" s="73" customFormat="1" ht="17.100000000000001" customHeight="1">
      <c r="A175" s="71"/>
      <c r="B175" s="72"/>
      <c r="C175" s="73" t="str">
        <f t="shared" si="6"/>
        <v/>
      </c>
      <c r="D175" s="71"/>
      <c r="E175" s="72"/>
      <c r="F175" s="73" t="str">
        <f t="shared" si="7"/>
        <v/>
      </c>
      <c r="G175" s="71"/>
      <c r="H175" s="72"/>
      <c r="I175" s="73" t="str">
        <f t="shared" si="8"/>
        <v/>
      </c>
    </row>
    <row r="176" spans="1:9" s="73" customFormat="1" ht="17.100000000000001" customHeight="1">
      <c r="A176" s="71"/>
      <c r="B176" s="72"/>
      <c r="C176" s="73" t="str">
        <f t="shared" si="6"/>
        <v/>
      </c>
      <c r="D176" s="71"/>
      <c r="E176" s="72"/>
      <c r="F176" s="73" t="str">
        <f t="shared" si="7"/>
        <v/>
      </c>
      <c r="G176" s="71"/>
      <c r="H176" s="72"/>
      <c r="I176" s="73" t="str">
        <f t="shared" si="8"/>
        <v/>
      </c>
    </row>
    <row r="177" spans="1:9" s="73" customFormat="1" ht="17.100000000000001" customHeight="1">
      <c r="A177" s="71"/>
      <c r="B177" s="72"/>
      <c r="C177" s="73" t="str">
        <f t="shared" si="6"/>
        <v/>
      </c>
      <c r="D177" s="71"/>
      <c r="E177" s="72"/>
      <c r="F177" s="73" t="str">
        <f t="shared" si="7"/>
        <v/>
      </c>
      <c r="G177" s="71"/>
      <c r="H177" s="72"/>
      <c r="I177" s="73" t="str">
        <f t="shared" si="8"/>
        <v/>
      </c>
    </row>
    <row r="178" spans="1:9" s="73" customFormat="1" ht="17.100000000000001" customHeight="1">
      <c r="A178" s="71"/>
      <c r="B178" s="72"/>
      <c r="C178" s="73" t="str">
        <f t="shared" si="6"/>
        <v/>
      </c>
      <c r="D178" s="71"/>
      <c r="E178" s="72"/>
      <c r="F178" s="73" t="str">
        <f t="shared" si="7"/>
        <v/>
      </c>
      <c r="G178" s="71"/>
      <c r="H178" s="72"/>
      <c r="I178" s="73" t="str">
        <f t="shared" si="8"/>
        <v/>
      </c>
    </row>
    <row r="179" spans="1:9" s="73" customFormat="1" ht="17.100000000000001" customHeight="1">
      <c r="A179" s="71"/>
      <c r="B179" s="72"/>
      <c r="C179" s="73" t="str">
        <f t="shared" si="6"/>
        <v/>
      </c>
      <c r="D179" s="71"/>
      <c r="E179" s="72"/>
      <c r="F179" s="73" t="str">
        <f t="shared" si="7"/>
        <v/>
      </c>
      <c r="G179" s="71"/>
      <c r="H179" s="72"/>
      <c r="I179" s="73" t="str">
        <f t="shared" si="8"/>
        <v/>
      </c>
    </row>
    <row r="180" spans="1:9" s="73" customFormat="1" ht="17.100000000000001" customHeight="1">
      <c r="A180" s="71"/>
      <c r="B180" s="72"/>
      <c r="C180" s="73" t="str">
        <f t="shared" si="6"/>
        <v/>
      </c>
      <c r="D180" s="71"/>
      <c r="E180" s="72"/>
      <c r="F180" s="73" t="str">
        <f t="shared" si="7"/>
        <v/>
      </c>
      <c r="G180" s="71"/>
      <c r="H180" s="72"/>
      <c r="I180" s="73" t="str">
        <f t="shared" si="8"/>
        <v/>
      </c>
    </row>
    <row r="181" spans="1:9" s="73" customFormat="1" ht="17.100000000000001" customHeight="1">
      <c r="A181" s="71"/>
      <c r="B181" s="72"/>
      <c r="C181" s="73" t="str">
        <f t="shared" si="6"/>
        <v/>
      </c>
      <c r="D181" s="71"/>
      <c r="E181" s="72"/>
      <c r="F181" s="73" t="str">
        <f t="shared" si="7"/>
        <v/>
      </c>
      <c r="G181" s="71"/>
      <c r="H181" s="72"/>
      <c r="I181" s="73" t="str">
        <f t="shared" si="8"/>
        <v/>
      </c>
    </row>
    <row r="182" spans="1:9" s="73" customFormat="1" ht="17.100000000000001" customHeight="1">
      <c r="A182" s="71"/>
      <c r="B182" s="72"/>
      <c r="C182" s="73" t="str">
        <f t="shared" si="6"/>
        <v/>
      </c>
      <c r="D182" s="71"/>
      <c r="E182" s="72"/>
      <c r="F182" s="73" t="str">
        <f t="shared" si="7"/>
        <v/>
      </c>
      <c r="G182" s="71"/>
      <c r="H182" s="72"/>
      <c r="I182" s="73" t="str">
        <f t="shared" si="8"/>
        <v/>
      </c>
    </row>
    <row r="183" spans="1:9" s="73" customFormat="1" ht="17.100000000000001" customHeight="1">
      <c r="A183" s="71"/>
      <c r="B183" s="72"/>
      <c r="C183" s="73" t="str">
        <f t="shared" si="6"/>
        <v/>
      </c>
      <c r="D183" s="71"/>
      <c r="E183" s="72"/>
      <c r="F183" s="73" t="str">
        <f t="shared" si="7"/>
        <v/>
      </c>
      <c r="G183" s="71"/>
      <c r="H183" s="72"/>
      <c r="I183" s="73" t="str">
        <f t="shared" si="8"/>
        <v/>
      </c>
    </row>
    <row r="184" spans="1:9" s="73" customFormat="1" ht="17.100000000000001" customHeight="1">
      <c r="A184" s="71"/>
      <c r="B184" s="72"/>
      <c r="C184" s="73" t="str">
        <f t="shared" si="6"/>
        <v/>
      </c>
      <c r="D184" s="71"/>
      <c r="E184" s="72"/>
      <c r="F184" s="73" t="str">
        <f t="shared" si="7"/>
        <v/>
      </c>
      <c r="G184" s="71"/>
      <c r="H184" s="72"/>
      <c r="I184" s="73" t="str">
        <f t="shared" si="8"/>
        <v/>
      </c>
    </row>
    <row r="185" spans="1:9" s="73" customFormat="1" ht="17.100000000000001" customHeight="1">
      <c r="A185" s="71"/>
      <c r="B185" s="72"/>
      <c r="C185" s="73" t="str">
        <f t="shared" si="6"/>
        <v/>
      </c>
      <c r="D185" s="71"/>
      <c r="E185" s="72"/>
      <c r="F185" s="73" t="str">
        <f t="shared" si="7"/>
        <v/>
      </c>
      <c r="G185" s="71"/>
      <c r="H185" s="72"/>
      <c r="I185" s="73" t="str">
        <f t="shared" si="8"/>
        <v/>
      </c>
    </row>
    <row r="186" spans="1:9" s="73" customFormat="1" ht="17.100000000000001" customHeight="1">
      <c r="A186" s="71"/>
      <c r="B186" s="72"/>
      <c r="C186" s="73" t="str">
        <f t="shared" si="6"/>
        <v/>
      </c>
      <c r="D186" s="71"/>
      <c r="E186" s="72"/>
      <c r="F186" s="73" t="str">
        <f t="shared" si="7"/>
        <v/>
      </c>
      <c r="G186" s="71"/>
      <c r="H186" s="72"/>
      <c r="I186" s="73" t="str">
        <f t="shared" si="8"/>
        <v/>
      </c>
    </row>
    <row r="187" spans="1:9" s="73" customFormat="1" ht="17.100000000000001" customHeight="1">
      <c r="A187" s="71"/>
      <c r="B187" s="72"/>
      <c r="C187" s="73" t="str">
        <f t="shared" si="6"/>
        <v/>
      </c>
      <c r="D187" s="71"/>
      <c r="E187" s="72"/>
      <c r="F187" s="73" t="str">
        <f t="shared" si="7"/>
        <v/>
      </c>
      <c r="G187" s="71"/>
      <c r="H187" s="72"/>
      <c r="I187" s="73" t="str">
        <f t="shared" si="8"/>
        <v/>
      </c>
    </row>
    <row r="188" spans="1:9" s="73" customFormat="1" ht="17.100000000000001" customHeight="1">
      <c r="A188" s="71"/>
      <c r="B188" s="72"/>
      <c r="C188" s="73" t="str">
        <f t="shared" si="6"/>
        <v/>
      </c>
      <c r="D188" s="71"/>
      <c r="E188" s="72"/>
      <c r="F188" s="73" t="str">
        <f t="shared" si="7"/>
        <v/>
      </c>
      <c r="G188" s="71"/>
      <c r="H188" s="72"/>
      <c r="I188" s="73" t="str">
        <f t="shared" si="8"/>
        <v/>
      </c>
    </row>
    <row r="189" spans="1:9" s="73" customFormat="1" ht="17.100000000000001" customHeight="1">
      <c r="A189" s="71"/>
      <c r="B189" s="72"/>
      <c r="C189" s="73" t="str">
        <f t="shared" si="6"/>
        <v/>
      </c>
      <c r="D189" s="71"/>
      <c r="E189" s="72"/>
      <c r="F189" s="73" t="str">
        <f t="shared" si="7"/>
        <v/>
      </c>
      <c r="G189" s="71"/>
      <c r="H189" s="72"/>
      <c r="I189" s="73" t="str">
        <f t="shared" si="8"/>
        <v/>
      </c>
    </row>
    <row r="190" spans="1:9" s="73" customFormat="1" ht="17.100000000000001" customHeight="1">
      <c r="A190" s="71"/>
      <c r="B190" s="72"/>
      <c r="C190" s="73" t="str">
        <f t="shared" si="6"/>
        <v/>
      </c>
      <c r="D190" s="71"/>
      <c r="E190" s="72"/>
      <c r="F190" s="73" t="str">
        <f t="shared" si="7"/>
        <v/>
      </c>
      <c r="G190" s="71"/>
      <c r="H190" s="72"/>
      <c r="I190" s="73" t="str">
        <f t="shared" si="8"/>
        <v/>
      </c>
    </row>
    <row r="191" spans="1:9" s="73" customFormat="1" ht="17.100000000000001" customHeight="1">
      <c r="A191" s="71"/>
      <c r="B191" s="72"/>
      <c r="C191" s="73" t="str">
        <f t="shared" si="6"/>
        <v/>
      </c>
      <c r="D191" s="71"/>
      <c r="E191" s="72"/>
      <c r="F191" s="73" t="str">
        <f t="shared" si="7"/>
        <v/>
      </c>
      <c r="G191" s="71"/>
      <c r="H191" s="72"/>
      <c r="I191" s="73" t="str">
        <f t="shared" si="8"/>
        <v/>
      </c>
    </row>
    <row r="192" spans="1:9" s="73" customFormat="1" ht="17.100000000000001" customHeight="1">
      <c r="A192" s="71"/>
      <c r="B192" s="72"/>
      <c r="C192" s="73" t="str">
        <f t="shared" si="6"/>
        <v/>
      </c>
      <c r="D192" s="71"/>
      <c r="E192" s="72"/>
      <c r="F192" s="73" t="str">
        <f t="shared" si="7"/>
        <v/>
      </c>
      <c r="G192" s="71"/>
      <c r="H192" s="72"/>
      <c r="I192" s="73" t="str">
        <f t="shared" si="8"/>
        <v/>
      </c>
    </row>
    <row r="193" spans="1:9" s="73" customFormat="1" ht="17.100000000000001" customHeight="1">
      <c r="A193" s="71"/>
      <c r="B193" s="72"/>
      <c r="C193" s="73" t="str">
        <f t="shared" si="6"/>
        <v/>
      </c>
      <c r="D193" s="71"/>
      <c r="E193" s="72"/>
      <c r="F193" s="73" t="str">
        <f t="shared" si="7"/>
        <v/>
      </c>
      <c r="G193" s="71"/>
      <c r="H193" s="72"/>
      <c r="I193" s="73" t="str">
        <f t="shared" si="8"/>
        <v/>
      </c>
    </row>
    <row r="194" spans="1:9" s="73" customFormat="1" ht="17.100000000000001" customHeight="1">
      <c r="A194" s="71"/>
      <c r="B194" s="72"/>
      <c r="C194" s="73" t="str">
        <f t="shared" si="6"/>
        <v/>
      </c>
      <c r="D194" s="71"/>
      <c r="E194" s="72"/>
      <c r="F194" s="73" t="str">
        <f t="shared" si="7"/>
        <v/>
      </c>
      <c r="G194" s="71"/>
      <c r="H194" s="72"/>
      <c r="I194" s="73" t="str">
        <f t="shared" si="8"/>
        <v/>
      </c>
    </row>
    <row r="195" spans="1:9" s="73" customFormat="1" ht="17.100000000000001" customHeight="1">
      <c r="A195" s="71"/>
      <c r="B195" s="72"/>
      <c r="C195" s="73" t="str">
        <f t="shared" si="6"/>
        <v/>
      </c>
      <c r="D195" s="71"/>
      <c r="E195" s="72"/>
      <c r="F195" s="73" t="str">
        <f t="shared" si="7"/>
        <v/>
      </c>
      <c r="G195" s="71"/>
      <c r="H195" s="72"/>
      <c r="I195" s="73" t="str">
        <f t="shared" si="8"/>
        <v/>
      </c>
    </row>
    <row r="196" spans="1:9" s="73" customFormat="1" ht="17.100000000000001" customHeight="1">
      <c r="A196" s="71"/>
      <c r="B196" s="72"/>
      <c r="C196" s="73" t="str">
        <f t="shared" si="6"/>
        <v/>
      </c>
      <c r="D196" s="71"/>
      <c r="E196" s="72"/>
      <c r="F196" s="73" t="str">
        <f t="shared" si="7"/>
        <v/>
      </c>
      <c r="G196" s="71"/>
      <c r="H196" s="72"/>
      <c r="I196" s="73" t="str">
        <f t="shared" si="8"/>
        <v/>
      </c>
    </row>
    <row r="197" spans="1:9" s="73" customFormat="1" ht="17.100000000000001" customHeight="1">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7.100000000000001" customHeight="1">
      <c r="A198" s="71"/>
      <c r="B198" s="72"/>
      <c r="C198" s="73" t="str">
        <f t="shared" si="9"/>
        <v/>
      </c>
      <c r="D198" s="71"/>
      <c r="E198" s="72"/>
      <c r="F198" s="73" t="str">
        <f t="shared" si="10"/>
        <v/>
      </c>
      <c r="G198" s="71"/>
      <c r="H198" s="72"/>
      <c r="I198" s="73" t="str">
        <f t="shared" si="11"/>
        <v/>
      </c>
    </row>
    <row r="199" spans="1:9" s="73" customFormat="1" ht="17.100000000000001" customHeight="1">
      <c r="A199" s="71"/>
      <c r="B199" s="72"/>
      <c r="C199" s="73" t="str">
        <f t="shared" si="9"/>
        <v/>
      </c>
      <c r="D199" s="71"/>
      <c r="E199" s="72"/>
      <c r="F199" s="73" t="str">
        <f t="shared" si="10"/>
        <v/>
      </c>
      <c r="G199" s="71"/>
      <c r="H199" s="72"/>
      <c r="I199" s="73" t="str">
        <f t="shared" si="11"/>
        <v/>
      </c>
    </row>
    <row r="200" spans="1:9" s="73" customFormat="1" ht="17.100000000000001" customHeight="1">
      <c r="A200" s="71"/>
      <c r="B200" s="72"/>
      <c r="C200" s="73" t="str">
        <f t="shared" si="9"/>
        <v/>
      </c>
      <c r="D200" s="71"/>
      <c r="E200" s="72"/>
      <c r="F200" s="73" t="str">
        <f t="shared" si="10"/>
        <v/>
      </c>
      <c r="G200" s="71"/>
      <c r="H200" s="72"/>
      <c r="I200" s="73" t="str">
        <f t="shared" si="11"/>
        <v/>
      </c>
    </row>
    <row r="201" spans="1:9" s="73" customFormat="1" ht="17.100000000000001" customHeight="1">
      <c r="A201" s="71"/>
      <c r="B201" s="72"/>
      <c r="C201" s="73" t="str">
        <f t="shared" si="9"/>
        <v/>
      </c>
      <c r="D201" s="71"/>
      <c r="E201" s="72"/>
      <c r="F201" s="73" t="str">
        <f t="shared" si="10"/>
        <v/>
      </c>
      <c r="G201" s="71"/>
      <c r="H201" s="72"/>
      <c r="I201" s="73" t="str">
        <f t="shared" si="11"/>
        <v/>
      </c>
    </row>
    <row r="202" spans="1:9" s="73" customFormat="1" ht="17.100000000000001" customHeight="1">
      <c r="A202" s="71"/>
      <c r="B202" s="72"/>
      <c r="C202" s="73" t="str">
        <f t="shared" si="9"/>
        <v/>
      </c>
      <c r="D202" s="71"/>
      <c r="E202" s="72"/>
      <c r="F202" s="73" t="str">
        <f t="shared" si="10"/>
        <v/>
      </c>
      <c r="G202" s="71"/>
      <c r="H202" s="72"/>
      <c r="I202" s="73" t="str">
        <f t="shared" si="11"/>
        <v/>
      </c>
    </row>
    <row r="203" spans="1:9" s="73" customFormat="1" ht="17.100000000000001" customHeight="1">
      <c r="A203" s="71"/>
      <c r="B203" s="72"/>
      <c r="C203" s="73" t="str">
        <f t="shared" si="9"/>
        <v/>
      </c>
      <c r="D203" s="71"/>
      <c r="E203" s="72"/>
      <c r="F203" s="73" t="str">
        <f t="shared" si="10"/>
        <v/>
      </c>
      <c r="G203" s="71"/>
      <c r="H203" s="72"/>
      <c r="I203" s="73" t="str">
        <f t="shared" si="11"/>
        <v/>
      </c>
    </row>
    <row r="204" spans="1:9" s="73" customFormat="1" ht="17.100000000000001" customHeight="1">
      <c r="A204" s="71"/>
      <c r="B204" s="72"/>
      <c r="C204" s="73" t="str">
        <f t="shared" si="9"/>
        <v/>
      </c>
      <c r="D204" s="71"/>
      <c r="E204" s="72"/>
      <c r="F204" s="73" t="str">
        <f t="shared" si="10"/>
        <v/>
      </c>
      <c r="G204" s="71"/>
      <c r="H204" s="72"/>
      <c r="I204" s="73" t="str">
        <f t="shared" si="11"/>
        <v/>
      </c>
    </row>
    <row r="205" spans="1:9" s="73" customFormat="1" ht="17.100000000000001" customHeight="1">
      <c r="A205" s="71"/>
      <c r="B205" s="72"/>
      <c r="C205" s="73" t="str">
        <f t="shared" si="9"/>
        <v/>
      </c>
      <c r="D205" s="71"/>
      <c r="E205" s="72"/>
      <c r="F205" s="73" t="str">
        <f t="shared" si="10"/>
        <v/>
      </c>
      <c r="G205" s="71"/>
      <c r="H205" s="72"/>
      <c r="I205" s="73" t="str">
        <f t="shared" si="11"/>
        <v/>
      </c>
    </row>
    <row r="206" spans="1:9" s="73" customFormat="1" ht="17.100000000000001" customHeight="1">
      <c r="A206" s="71"/>
      <c r="B206" s="72"/>
      <c r="C206" s="73" t="str">
        <f t="shared" si="9"/>
        <v/>
      </c>
      <c r="D206" s="71"/>
      <c r="E206" s="72"/>
      <c r="F206" s="73" t="str">
        <f t="shared" si="10"/>
        <v/>
      </c>
      <c r="G206" s="71"/>
      <c r="H206" s="72"/>
      <c r="I206" s="73" t="str">
        <f t="shared" si="11"/>
        <v/>
      </c>
    </row>
    <row r="207" spans="1:9" s="73" customFormat="1" ht="17.100000000000001" customHeight="1">
      <c r="A207" s="71"/>
      <c r="B207" s="72"/>
      <c r="C207" s="73" t="str">
        <f t="shared" si="9"/>
        <v/>
      </c>
      <c r="D207" s="71"/>
      <c r="E207" s="72"/>
      <c r="F207" s="73" t="str">
        <f t="shared" si="10"/>
        <v/>
      </c>
      <c r="G207" s="71"/>
      <c r="H207" s="72"/>
      <c r="I207" s="73" t="str">
        <f t="shared" si="11"/>
        <v/>
      </c>
    </row>
    <row r="208" spans="1:9" s="73" customFormat="1" ht="17.100000000000001" customHeight="1">
      <c r="A208" s="71"/>
      <c r="B208" s="72"/>
      <c r="C208" s="73" t="str">
        <f t="shared" si="9"/>
        <v/>
      </c>
      <c r="D208" s="71"/>
      <c r="E208" s="72"/>
      <c r="F208" s="73" t="str">
        <f t="shared" si="10"/>
        <v/>
      </c>
      <c r="G208" s="71"/>
      <c r="H208" s="72"/>
      <c r="I208" s="73" t="str">
        <f t="shared" si="11"/>
        <v/>
      </c>
    </row>
    <row r="209" spans="1:9" s="73" customFormat="1" ht="17.100000000000001" customHeight="1">
      <c r="A209" s="71"/>
      <c r="B209" s="72"/>
      <c r="C209" s="73" t="str">
        <f t="shared" si="9"/>
        <v/>
      </c>
      <c r="D209" s="71"/>
      <c r="E209" s="72"/>
      <c r="F209" s="73" t="str">
        <f t="shared" si="10"/>
        <v/>
      </c>
      <c r="G209" s="71"/>
      <c r="H209" s="72"/>
      <c r="I209" s="73" t="str">
        <f t="shared" si="11"/>
        <v/>
      </c>
    </row>
    <row r="210" spans="1:9" s="73" customFormat="1" ht="17.100000000000001" customHeight="1">
      <c r="A210" s="71"/>
      <c r="B210" s="72"/>
      <c r="C210" s="73" t="str">
        <f t="shared" si="9"/>
        <v/>
      </c>
      <c r="D210" s="71"/>
      <c r="E210" s="72"/>
      <c r="F210" s="73" t="str">
        <f t="shared" si="10"/>
        <v/>
      </c>
      <c r="G210" s="71"/>
      <c r="H210" s="72"/>
      <c r="I210" s="73" t="str">
        <f t="shared" si="11"/>
        <v/>
      </c>
    </row>
    <row r="211" spans="1:9" s="73" customFormat="1" ht="17.100000000000001" customHeight="1">
      <c r="A211" s="71"/>
      <c r="B211" s="72"/>
      <c r="C211" s="73" t="str">
        <f t="shared" si="9"/>
        <v/>
      </c>
      <c r="D211" s="71"/>
      <c r="E211" s="72"/>
      <c r="F211" s="73" t="str">
        <f t="shared" si="10"/>
        <v/>
      </c>
      <c r="G211" s="71"/>
      <c r="H211" s="72"/>
      <c r="I211" s="73" t="str">
        <f t="shared" si="11"/>
        <v/>
      </c>
    </row>
    <row r="212" spans="1:9" s="73" customFormat="1" ht="17.100000000000001" customHeight="1">
      <c r="A212" s="71"/>
      <c r="B212" s="72"/>
      <c r="C212" s="73" t="str">
        <f t="shared" si="9"/>
        <v/>
      </c>
      <c r="D212" s="71"/>
      <c r="E212" s="72"/>
      <c r="F212" s="73" t="str">
        <f t="shared" si="10"/>
        <v/>
      </c>
      <c r="G212" s="71"/>
      <c r="H212" s="72"/>
      <c r="I212" s="73" t="str">
        <f t="shared" si="11"/>
        <v/>
      </c>
    </row>
    <row r="213" spans="1:9" s="73" customFormat="1" ht="17.100000000000001" customHeight="1">
      <c r="A213" s="71"/>
      <c r="B213" s="72"/>
      <c r="C213" s="73" t="str">
        <f t="shared" si="9"/>
        <v/>
      </c>
      <c r="D213" s="71"/>
      <c r="E213" s="72"/>
      <c r="F213" s="73" t="str">
        <f t="shared" si="10"/>
        <v/>
      </c>
      <c r="G213" s="71"/>
      <c r="H213" s="72"/>
      <c r="I213" s="73" t="str">
        <f t="shared" si="11"/>
        <v/>
      </c>
    </row>
    <row r="214" spans="1:9" s="73" customFormat="1" ht="17.100000000000001" customHeight="1">
      <c r="A214" s="71"/>
      <c r="B214" s="72"/>
      <c r="C214" s="73" t="str">
        <f t="shared" si="9"/>
        <v/>
      </c>
      <c r="D214" s="71"/>
      <c r="E214" s="72"/>
      <c r="F214" s="73" t="str">
        <f t="shared" si="10"/>
        <v/>
      </c>
      <c r="G214" s="71"/>
      <c r="H214" s="72"/>
      <c r="I214" s="73" t="str">
        <f t="shared" si="11"/>
        <v/>
      </c>
    </row>
    <row r="215" spans="1:9" s="73" customFormat="1" ht="17.100000000000001" customHeight="1">
      <c r="A215" s="71"/>
      <c r="B215" s="72"/>
      <c r="C215" s="73" t="str">
        <f t="shared" si="9"/>
        <v/>
      </c>
      <c r="D215" s="71"/>
      <c r="E215" s="72"/>
      <c r="F215" s="73" t="str">
        <f t="shared" si="10"/>
        <v/>
      </c>
      <c r="G215" s="71"/>
      <c r="H215" s="72"/>
      <c r="I215" s="73" t="str">
        <f t="shared" si="11"/>
        <v/>
      </c>
    </row>
    <row r="216" spans="1:9" s="73" customFormat="1" ht="17.100000000000001" customHeight="1">
      <c r="A216" s="71"/>
      <c r="B216" s="72"/>
      <c r="C216" s="73" t="str">
        <f t="shared" si="9"/>
        <v/>
      </c>
      <c r="D216" s="71"/>
      <c r="E216" s="72"/>
      <c r="F216" s="73" t="str">
        <f t="shared" si="10"/>
        <v/>
      </c>
      <c r="G216" s="71"/>
      <c r="H216" s="72"/>
      <c r="I216" s="73" t="str">
        <f t="shared" si="11"/>
        <v/>
      </c>
    </row>
    <row r="217" spans="1:9" s="73" customFormat="1" ht="17.100000000000001" customHeight="1">
      <c r="A217" s="71"/>
      <c r="B217" s="72"/>
      <c r="C217" s="73" t="str">
        <f t="shared" si="9"/>
        <v/>
      </c>
      <c r="D217" s="71"/>
      <c r="E217" s="72"/>
      <c r="F217" s="73" t="str">
        <f t="shared" si="10"/>
        <v/>
      </c>
      <c r="G217" s="71"/>
      <c r="H217" s="72"/>
      <c r="I217" s="73" t="str">
        <f t="shared" si="11"/>
        <v/>
      </c>
    </row>
    <row r="218" spans="1:9" s="73" customFormat="1" ht="17.100000000000001" customHeight="1">
      <c r="A218" s="71"/>
      <c r="B218" s="72"/>
      <c r="C218" s="73" t="str">
        <f t="shared" si="9"/>
        <v/>
      </c>
      <c r="D218" s="71"/>
      <c r="E218" s="72"/>
      <c r="F218" s="73" t="str">
        <f t="shared" si="10"/>
        <v/>
      </c>
      <c r="G218" s="71"/>
      <c r="H218" s="72"/>
      <c r="I218" s="73" t="str">
        <f t="shared" si="11"/>
        <v/>
      </c>
    </row>
    <row r="219" spans="1:9" s="73" customFormat="1" ht="17.100000000000001" customHeight="1">
      <c r="A219" s="71"/>
      <c r="B219" s="72"/>
      <c r="C219" s="73" t="str">
        <f t="shared" si="9"/>
        <v/>
      </c>
      <c r="D219" s="71"/>
      <c r="E219" s="72"/>
      <c r="F219" s="73" t="str">
        <f t="shared" si="10"/>
        <v/>
      </c>
      <c r="G219" s="71"/>
      <c r="H219" s="72"/>
      <c r="I219" s="73" t="str">
        <f t="shared" si="11"/>
        <v/>
      </c>
    </row>
    <row r="220" spans="1:9" s="73" customFormat="1" ht="17.100000000000001" customHeight="1">
      <c r="A220" s="71"/>
      <c r="B220" s="72"/>
      <c r="C220" s="73" t="str">
        <f t="shared" si="9"/>
        <v/>
      </c>
      <c r="D220" s="71"/>
      <c r="E220" s="72"/>
      <c r="F220" s="73" t="str">
        <f t="shared" si="10"/>
        <v/>
      </c>
      <c r="G220" s="71"/>
      <c r="H220" s="72"/>
      <c r="I220" s="73" t="str">
        <f t="shared" si="11"/>
        <v/>
      </c>
    </row>
    <row r="221" spans="1:9" s="73" customFormat="1" ht="17.100000000000001" customHeight="1">
      <c r="A221" s="71"/>
      <c r="B221" s="72"/>
      <c r="C221" s="73" t="str">
        <f t="shared" si="9"/>
        <v/>
      </c>
      <c r="D221" s="71"/>
      <c r="E221" s="72"/>
      <c r="F221" s="73" t="str">
        <f t="shared" si="10"/>
        <v/>
      </c>
      <c r="G221" s="71"/>
      <c r="H221" s="72"/>
      <c r="I221" s="73" t="str">
        <f t="shared" si="11"/>
        <v/>
      </c>
    </row>
    <row r="222" spans="1:9" s="73" customFormat="1" ht="17.100000000000001" customHeight="1">
      <c r="A222" s="71"/>
      <c r="B222" s="72"/>
      <c r="C222" s="73" t="str">
        <f t="shared" si="9"/>
        <v/>
      </c>
      <c r="D222" s="71"/>
      <c r="E222" s="72"/>
      <c r="F222" s="73" t="str">
        <f t="shared" si="10"/>
        <v/>
      </c>
      <c r="G222" s="71"/>
      <c r="H222" s="72"/>
      <c r="I222" s="73" t="str">
        <f t="shared" si="11"/>
        <v/>
      </c>
    </row>
    <row r="223" spans="1:9" s="73" customFormat="1" ht="17.100000000000001" customHeight="1">
      <c r="A223" s="71"/>
      <c r="B223" s="72"/>
      <c r="C223" s="73" t="str">
        <f t="shared" si="9"/>
        <v/>
      </c>
      <c r="D223" s="71"/>
      <c r="E223" s="72"/>
      <c r="F223" s="73" t="str">
        <f t="shared" si="10"/>
        <v/>
      </c>
      <c r="G223" s="71"/>
      <c r="H223" s="72"/>
      <c r="I223" s="73" t="str">
        <f t="shared" si="11"/>
        <v/>
      </c>
    </row>
    <row r="224" spans="1:9" s="73" customFormat="1" ht="17.100000000000001" customHeight="1">
      <c r="A224" s="71"/>
      <c r="B224" s="72"/>
      <c r="C224" s="73" t="str">
        <f t="shared" si="9"/>
        <v/>
      </c>
      <c r="D224" s="71"/>
      <c r="E224" s="72"/>
      <c r="F224" s="73" t="str">
        <f t="shared" si="10"/>
        <v/>
      </c>
      <c r="G224" s="71"/>
      <c r="H224" s="72"/>
      <c r="I224" s="73" t="str">
        <f t="shared" si="11"/>
        <v/>
      </c>
    </row>
    <row r="225" spans="1:9" s="73" customFormat="1" ht="17.100000000000001" customHeight="1">
      <c r="A225" s="71"/>
      <c r="B225" s="72"/>
      <c r="C225" s="73" t="str">
        <f t="shared" si="9"/>
        <v/>
      </c>
      <c r="D225" s="71"/>
      <c r="E225" s="72"/>
      <c r="F225" s="73" t="str">
        <f t="shared" si="10"/>
        <v/>
      </c>
      <c r="G225" s="71"/>
      <c r="H225" s="72"/>
      <c r="I225" s="73" t="str">
        <f t="shared" si="11"/>
        <v/>
      </c>
    </row>
    <row r="226" spans="1:9" s="73" customFormat="1" ht="17.100000000000001" customHeight="1">
      <c r="A226" s="71"/>
      <c r="B226" s="72"/>
      <c r="C226" s="73" t="str">
        <f t="shared" si="9"/>
        <v/>
      </c>
      <c r="D226" s="71"/>
      <c r="E226" s="72"/>
      <c r="F226" s="73" t="str">
        <f t="shared" si="10"/>
        <v/>
      </c>
      <c r="G226" s="71"/>
      <c r="H226" s="72"/>
      <c r="I226" s="73" t="str">
        <f t="shared" si="11"/>
        <v/>
      </c>
    </row>
    <row r="227" spans="1:9" s="73" customFormat="1" ht="17.100000000000001" customHeight="1">
      <c r="A227" s="71"/>
      <c r="B227" s="72"/>
      <c r="C227" s="73" t="str">
        <f t="shared" si="9"/>
        <v/>
      </c>
      <c r="D227" s="71"/>
      <c r="E227" s="72"/>
      <c r="F227" s="73" t="str">
        <f t="shared" si="10"/>
        <v/>
      </c>
      <c r="G227" s="71"/>
      <c r="H227" s="72"/>
      <c r="I227" s="73" t="str">
        <f t="shared" si="11"/>
        <v/>
      </c>
    </row>
    <row r="228" spans="1:9" s="73" customFormat="1" ht="17.100000000000001" customHeight="1">
      <c r="A228" s="71"/>
      <c r="B228" s="72"/>
      <c r="C228" s="73" t="str">
        <f t="shared" si="9"/>
        <v/>
      </c>
      <c r="D228" s="71"/>
      <c r="E228" s="72"/>
      <c r="F228" s="73" t="str">
        <f t="shared" si="10"/>
        <v/>
      </c>
      <c r="G228" s="71"/>
      <c r="H228" s="72"/>
      <c r="I228" s="73" t="str">
        <f t="shared" si="11"/>
        <v/>
      </c>
    </row>
    <row r="229" spans="1:9" s="73" customFormat="1" ht="17.100000000000001" customHeight="1">
      <c r="A229" s="71"/>
      <c r="B229" s="72"/>
      <c r="C229" s="73" t="str">
        <f t="shared" si="9"/>
        <v/>
      </c>
      <c r="D229" s="71"/>
      <c r="E229" s="72"/>
      <c r="F229" s="73" t="str">
        <f t="shared" si="10"/>
        <v/>
      </c>
      <c r="G229" s="71"/>
      <c r="H229" s="72"/>
      <c r="I229" s="73" t="str">
        <f t="shared" si="11"/>
        <v/>
      </c>
    </row>
    <row r="230" spans="1:9" s="73" customFormat="1" ht="17.100000000000001" customHeight="1">
      <c r="A230" s="71"/>
      <c r="B230" s="72"/>
      <c r="C230" s="73" t="str">
        <f t="shared" si="9"/>
        <v/>
      </c>
      <c r="D230" s="71"/>
      <c r="E230" s="72"/>
      <c r="F230" s="73" t="str">
        <f t="shared" si="10"/>
        <v/>
      </c>
      <c r="G230" s="71"/>
      <c r="H230" s="72"/>
      <c r="I230" s="73" t="str">
        <f t="shared" si="11"/>
        <v/>
      </c>
    </row>
    <row r="231" spans="1:9" s="73" customFormat="1" ht="17.100000000000001" customHeight="1">
      <c r="A231" s="71"/>
      <c r="B231" s="72"/>
      <c r="C231" s="73" t="str">
        <f t="shared" si="9"/>
        <v/>
      </c>
      <c r="D231" s="71"/>
      <c r="E231" s="72"/>
      <c r="F231" s="73" t="str">
        <f t="shared" si="10"/>
        <v/>
      </c>
      <c r="G231" s="71"/>
      <c r="H231" s="72"/>
      <c r="I231" s="73" t="str">
        <f t="shared" si="11"/>
        <v/>
      </c>
    </row>
    <row r="232" spans="1:9" s="73" customFormat="1" ht="17.100000000000001" customHeight="1">
      <c r="A232" s="71"/>
      <c r="B232" s="72"/>
      <c r="C232" s="73" t="str">
        <f t="shared" si="9"/>
        <v/>
      </c>
      <c r="D232" s="71"/>
      <c r="E232" s="72"/>
      <c r="F232" s="73" t="str">
        <f t="shared" si="10"/>
        <v/>
      </c>
      <c r="G232" s="71"/>
      <c r="H232" s="72"/>
      <c r="I232" s="73" t="str">
        <f t="shared" si="11"/>
        <v/>
      </c>
    </row>
    <row r="233" spans="1:9" s="73" customFormat="1" ht="17.100000000000001" customHeight="1">
      <c r="A233" s="71"/>
      <c r="B233" s="72"/>
      <c r="C233" s="73" t="str">
        <f t="shared" si="9"/>
        <v/>
      </c>
      <c r="D233" s="71"/>
      <c r="E233" s="72"/>
      <c r="F233" s="73" t="str">
        <f t="shared" si="10"/>
        <v/>
      </c>
      <c r="G233" s="71"/>
      <c r="H233" s="72"/>
      <c r="I233" s="73" t="str">
        <f t="shared" si="11"/>
        <v/>
      </c>
    </row>
    <row r="234" spans="1:9" s="73" customFormat="1" ht="17.100000000000001" customHeight="1">
      <c r="A234" s="71"/>
      <c r="B234" s="72"/>
      <c r="C234" s="73" t="str">
        <f t="shared" si="9"/>
        <v/>
      </c>
      <c r="D234" s="71"/>
      <c r="E234" s="72"/>
      <c r="F234" s="73" t="str">
        <f t="shared" si="10"/>
        <v/>
      </c>
      <c r="G234" s="71"/>
      <c r="H234" s="72"/>
      <c r="I234" s="73" t="str">
        <f t="shared" si="11"/>
        <v/>
      </c>
    </row>
    <row r="235" spans="1:9" s="73" customFormat="1" ht="17.100000000000001" customHeight="1">
      <c r="A235" s="71"/>
      <c r="B235" s="72"/>
      <c r="C235" s="73" t="str">
        <f t="shared" si="9"/>
        <v/>
      </c>
      <c r="D235" s="71"/>
      <c r="E235" s="72"/>
      <c r="F235" s="73" t="str">
        <f t="shared" si="10"/>
        <v/>
      </c>
      <c r="G235" s="71"/>
      <c r="H235" s="72"/>
      <c r="I235" s="73" t="str">
        <f t="shared" si="11"/>
        <v/>
      </c>
    </row>
    <row r="236" spans="1:9" s="73" customFormat="1" ht="17.100000000000001" customHeight="1">
      <c r="A236" s="71"/>
      <c r="B236" s="72"/>
      <c r="C236" s="73" t="str">
        <f t="shared" si="9"/>
        <v/>
      </c>
      <c r="D236" s="71"/>
      <c r="E236" s="72"/>
      <c r="F236" s="73" t="str">
        <f t="shared" si="10"/>
        <v/>
      </c>
      <c r="G236" s="71"/>
      <c r="H236" s="72"/>
      <c r="I236" s="73" t="str">
        <f t="shared" si="11"/>
        <v/>
      </c>
    </row>
    <row r="237" spans="1:9" s="73" customFormat="1" ht="17.100000000000001" customHeight="1">
      <c r="A237" s="71"/>
      <c r="B237" s="72"/>
      <c r="C237" s="73" t="str">
        <f t="shared" si="9"/>
        <v/>
      </c>
      <c r="D237" s="71"/>
      <c r="E237" s="72"/>
      <c r="F237" s="73" t="str">
        <f t="shared" si="10"/>
        <v/>
      </c>
      <c r="G237" s="71"/>
      <c r="H237" s="72"/>
      <c r="I237" s="73" t="str">
        <f t="shared" si="11"/>
        <v/>
      </c>
    </row>
    <row r="238" spans="1:9" s="73" customFormat="1" ht="17.100000000000001" customHeight="1">
      <c r="A238" s="71"/>
      <c r="B238" s="72"/>
      <c r="C238" s="73" t="str">
        <f t="shared" si="9"/>
        <v/>
      </c>
      <c r="D238" s="71"/>
      <c r="E238" s="72"/>
      <c r="F238" s="73" t="str">
        <f t="shared" si="10"/>
        <v/>
      </c>
      <c r="G238" s="71"/>
      <c r="H238" s="72"/>
      <c r="I238" s="73" t="str">
        <f t="shared" si="11"/>
        <v/>
      </c>
    </row>
    <row r="239" spans="1:9" s="73" customFormat="1" ht="17.100000000000001" customHeight="1">
      <c r="A239" s="71"/>
      <c r="B239" s="72"/>
      <c r="C239" s="73" t="str">
        <f t="shared" si="9"/>
        <v/>
      </c>
      <c r="D239" s="71"/>
      <c r="E239" s="72"/>
      <c r="F239" s="73" t="str">
        <f t="shared" si="10"/>
        <v/>
      </c>
      <c r="G239" s="71"/>
      <c r="H239" s="72"/>
      <c r="I239" s="73" t="str">
        <f t="shared" si="11"/>
        <v/>
      </c>
    </row>
    <row r="240" spans="1:9" s="73" customFormat="1" ht="17.100000000000001" customHeight="1">
      <c r="A240" s="71"/>
      <c r="B240" s="72"/>
      <c r="C240" s="73" t="str">
        <f t="shared" si="9"/>
        <v/>
      </c>
      <c r="D240" s="71"/>
      <c r="E240" s="72"/>
      <c r="F240" s="73" t="str">
        <f t="shared" si="10"/>
        <v/>
      </c>
      <c r="G240" s="71"/>
      <c r="H240" s="72"/>
      <c r="I240" s="73" t="str">
        <f t="shared" si="11"/>
        <v/>
      </c>
    </row>
    <row r="241" spans="1:9" s="73" customFormat="1" ht="17.100000000000001" customHeight="1">
      <c r="A241" s="71"/>
      <c r="B241" s="72"/>
      <c r="C241" s="73" t="str">
        <f t="shared" si="9"/>
        <v/>
      </c>
      <c r="D241" s="71"/>
      <c r="E241" s="72"/>
      <c r="F241" s="73" t="str">
        <f t="shared" si="10"/>
        <v/>
      </c>
      <c r="G241" s="71"/>
      <c r="H241" s="72"/>
      <c r="I241" s="73" t="str">
        <f t="shared" si="11"/>
        <v/>
      </c>
    </row>
    <row r="242" spans="1:9" s="73" customFormat="1" ht="17.100000000000001" customHeight="1">
      <c r="A242" s="71"/>
      <c r="B242" s="72"/>
      <c r="C242" s="73" t="str">
        <f t="shared" si="9"/>
        <v/>
      </c>
      <c r="D242" s="71"/>
      <c r="E242" s="72"/>
      <c r="F242" s="73" t="str">
        <f t="shared" si="10"/>
        <v/>
      </c>
      <c r="G242" s="71"/>
      <c r="H242" s="72"/>
      <c r="I242" s="73" t="str">
        <f t="shared" si="11"/>
        <v/>
      </c>
    </row>
    <row r="243" spans="1:9" s="73" customFormat="1" ht="17.100000000000001" customHeight="1">
      <c r="A243" s="71"/>
      <c r="B243" s="72"/>
      <c r="C243" s="73" t="str">
        <f t="shared" si="9"/>
        <v/>
      </c>
      <c r="D243" s="71"/>
      <c r="E243" s="72"/>
      <c r="F243" s="73" t="str">
        <f t="shared" si="10"/>
        <v/>
      </c>
      <c r="G243" s="71"/>
      <c r="H243" s="72"/>
      <c r="I243" s="73" t="str">
        <f t="shared" si="11"/>
        <v/>
      </c>
    </row>
    <row r="244" spans="1:9" s="73" customFormat="1" ht="17.100000000000001" customHeight="1">
      <c r="A244" s="71"/>
      <c r="B244" s="72"/>
      <c r="C244" s="73" t="str">
        <f t="shared" si="9"/>
        <v/>
      </c>
      <c r="D244" s="71"/>
      <c r="E244" s="72"/>
      <c r="F244" s="73" t="str">
        <f t="shared" si="10"/>
        <v/>
      </c>
      <c r="G244" s="71"/>
      <c r="H244" s="72"/>
      <c r="I244" s="73" t="str">
        <f t="shared" si="11"/>
        <v/>
      </c>
    </row>
    <row r="245" spans="1:9" s="73" customFormat="1" ht="17.100000000000001" customHeight="1">
      <c r="A245" s="71"/>
      <c r="B245" s="72"/>
      <c r="C245" s="73" t="str">
        <f t="shared" si="9"/>
        <v/>
      </c>
      <c r="D245" s="71"/>
      <c r="E245" s="72"/>
      <c r="F245" s="73" t="str">
        <f t="shared" si="10"/>
        <v/>
      </c>
      <c r="G245" s="71"/>
      <c r="H245" s="72"/>
      <c r="I245" s="73" t="str">
        <f t="shared" si="11"/>
        <v/>
      </c>
    </row>
    <row r="246" spans="1:9" s="73" customFormat="1" ht="17.100000000000001" customHeight="1">
      <c r="A246" s="71"/>
      <c r="B246" s="72"/>
      <c r="C246" s="73" t="str">
        <f t="shared" si="9"/>
        <v/>
      </c>
      <c r="D246" s="71"/>
      <c r="E246" s="72"/>
      <c r="F246" s="73" t="str">
        <f t="shared" si="10"/>
        <v/>
      </c>
      <c r="G246" s="71"/>
      <c r="H246" s="72"/>
      <c r="I246" s="73" t="str">
        <f t="shared" si="11"/>
        <v/>
      </c>
    </row>
    <row r="247" spans="1:9" s="73" customFormat="1" ht="17.100000000000001" customHeight="1">
      <c r="A247" s="71"/>
      <c r="B247" s="72"/>
      <c r="C247" s="73" t="str">
        <f t="shared" si="9"/>
        <v/>
      </c>
      <c r="D247" s="71"/>
      <c r="E247" s="72"/>
      <c r="F247" s="73" t="str">
        <f t="shared" si="10"/>
        <v/>
      </c>
      <c r="G247" s="71"/>
      <c r="H247" s="72"/>
      <c r="I247" s="73" t="str">
        <f t="shared" si="11"/>
        <v/>
      </c>
    </row>
    <row r="248" spans="1:9" s="73" customFormat="1" ht="17.100000000000001" customHeight="1">
      <c r="A248" s="71"/>
      <c r="B248" s="72"/>
      <c r="C248" s="73" t="str">
        <f t="shared" si="9"/>
        <v/>
      </c>
      <c r="D248" s="71"/>
      <c r="E248" s="72"/>
      <c r="F248" s="73" t="str">
        <f t="shared" si="10"/>
        <v/>
      </c>
      <c r="G248" s="71"/>
      <c r="H248" s="72"/>
      <c r="I248" s="73" t="str">
        <f t="shared" si="11"/>
        <v/>
      </c>
    </row>
    <row r="249" spans="1:9" s="73" customFormat="1" ht="17.100000000000001" customHeight="1">
      <c r="A249" s="71"/>
      <c r="B249" s="72"/>
      <c r="C249" s="73" t="str">
        <f t="shared" si="9"/>
        <v/>
      </c>
      <c r="D249" s="71"/>
      <c r="E249" s="72"/>
      <c r="F249" s="73" t="str">
        <f t="shared" si="10"/>
        <v/>
      </c>
      <c r="G249" s="71"/>
      <c r="H249" s="72"/>
      <c r="I249" s="73" t="str">
        <f t="shared" si="11"/>
        <v/>
      </c>
    </row>
    <row r="250" spans="1:9" s="73" customFormat="1" ht="17.100000000000001" customHeight="1">
      <c r="A250" s="71"/>
      <c r="B250" s="72"/>
      <c r="C250" s="73" t="str">
        <f t="shared" si="9"/>
        <v/>
      </c>
      <c r="D250" s="71"/>
      <c r="E250" s="72"/>
      <c r="F250" s="73" t="str">
        <f t="shared" si="10"/>
        <v/>
      </c>
      <c r="G250" s="71"/>
      <c r="H250" s="72"/>
      <c r="I250" s="73" t="str">
        <f t="shared" si="11"/>
        <v/>
      </c>
    </row>
    <row r="251" spans="1:9" s="73" customFormat="1" ht="17.100000000000001" customHeight="1">
      <c r="A251" s="71"/>
      <c r="B251" s="72"/>
      <c r="C251" s="73" t="str">
        <f t="shared" si="9"/>
        <v/>
      </c>
      <c r="D251" s="71"/>
      <c r="E251" s="72"/>
      <c r="F251" s="73" t="str">
        <f t="shared" si="10"/>
        <v/>
      </c>
      <c r="G251" s="71"/>
      <c r="H251" s="72"/>
      <c r="I251" s="73" t="str">
        <f t="shared" si="11"/>
        <v/>
      </c>
    </row>
    <row r="252" spans="1:9" s="73" customFormat="1" ht="17.100000000000001" customHeight="1">
      <c r="A252" s="71"/>
      <c r="B252" s="72"/>
      <c r="C252" s="73" t="str">
        <f t="shared" si="9"/>
        <v/>
      </c>
      <c r="D252" s="71"/>
      <c r="E252" s="72"/>
      <c r="F252" s="73" t="str">
        <f t="shared" si="10"/>
        <v/>
      </c>
      <c r="G252" s="71"/>
      <c r="H252" s="72"/>
      <c r="I252" s="73" t="str">
        <f t="shared" si="11"/>
        <v/>
      </c>
    </row>
    <row r="253" spans="1:9" s="73" customFormat="1" ht="17.100000000000001" customHeight="1">
      <c r="A253" s="71"/>
      <c r="B253" s="72"/>
      <c r="C253" s="73" t="str">
        <f t="shared" si="9"/>
        <v/>
      </c>
      <c r="D253" s="71"/>
      <c r="E253" s="72"/>
      <c r="F253" s="73" t="str">
        <f t="shared" si="10"/>
        <v/>
      </c>
      <c r="G253" s="71"/>
      <c r="H253" s="72"/>
      <c r="I253" s="73" t="str">
        <f t="shared" si="11"/>
        <v/>
      </c>
    </row>
    <row r="254" spans="1:9" s="73" customFormat="1" ht="17.100000000000001" customHeight="1">
      <c r="A254" s="71"/>
      <c r="B254" s="72"/>
      <c r="C254" s="73" t="str">
        <f t="shared" si="9"/>
        <v/>
      </c>
      <c r="D254" s="71"/>
      <c r="E254" s="72"/>
      <c r="F254" s="73" t="str">
        <f t="shared" si="10"/>
        <v/>
      </c>
      <c r="G254" s="71"/>
      <c r="H254" s="72"/>
      <c r="I254" s="73" t="str">
        <f t="shared" si="11"/>
        <v/>
      </c>
    </row>
    <row r="255" spans="1:9" s="73" customFormat="1" ht="17.100000000000001" customHeight="1">
      <c r="A255" s="71"/>
      <c r="B255" s="72"/>
      <c r="C255" s="73" t="str">
        <f t="shared" si="9"/>
        <v/>
      </c>
      <c r="D255" s="71"/>
      <c r="E255" s="72"/>
      <c r="F255" s="73" t="str">
        <f t="shared" si="10"/>
        <v/>
      </c>
      <c r="G255" s="71"/>
      <c r="H255" s="72"/>
      <c r="I255" s="73" t="str">
        <f t="shared" si="11"/>
        <v/>
      </c>
    </row>
    <row r="256" spans="1:9" s="73" customFormat="1" ht="17.100000000000001" customHeight="1">
      <c r="A256" s="71"/>
      <c r="B256" s="72"/>
      <c r="C256" s="73" t="str">
        <f t="shared" si="9"/>
        <v/>
      </c>
      <c r="D256" s="71"/>
      <c r="E256" s="72"/>
      <c r="F256" s="73" t="str">
        <f t="shared" si="10"/>
        <v/>
      </c>
      <c r="G256" s="71"/>
      <c r="H256" s="72"/>
      <c r="I256" s="73" t="str">
        <f t="shared" si="11"/>
        <v/>
      </c>
    </row>
    <row r="257" spans="1:9" s="73" customFormat="1" ht="17.100000000000001" customHeight="1">
      <c r="A257" s="71"/>
      <c r="B257" s="72"/>
      <c r="C257" s="73" t="str">
        <f t="shared" si="9"/>
        <v/>
      </c>
      <c r="D257" s="71"/>
      <c r="E257" s="72"/>
      <c r="F257" s="73" t="str">
        <f t="shared" si="10"/>
        <v/>
      </c>
      <c r="G257" s="71"/>
      <c r="H257" s="72"/>
      <c r="I257" s="73" t="str">
        <f t="shared" si="11"/>
        <v/>
      </c>
    </row>
    <row r="258" spans="1:9" s="73" customFormat="1" ht="17.100000000000001" customHeight="1">
      <c r="A258" s="71"/>
      <c r="B258" s="72"/>
      <c r="C258" s="73" t="str">
        <f t="shared" si="9"/>
        <v/>
      </c>
      <c r="D258" s="71"/>
      <c r="E258" s="72"/>
      <c r="F258" s="73" t="str">
        <f t="shared" si="10"/>
        <v/>
      </c>
      <c r="G258" s="71"/>
      <c r="H258" s="72"/>
      <c r="I258" s="73" t="str">
        <f t="shared" si="11"/>
        <v/>
      </c>
    </row>
    <row r="259" spans="1:9" s="73" customFormat="1" ht="17.100000000000001" customHeight="1">
      <c r="A259" s="71"/>
      <c r="B259" s="72"/>
      <c r="C259" s="73" t="str">
        <f t="shared" si="9"/>
        <v/>
      </c>
      <c r="D259" s="71"/>
      <c r="E259" s="72"/>
      <c r="F259" s="73" t="str">
        <f t="shared" si="10"/>
        <v/>
      </c>
      <c r="G259" s="71"/>
      <c r="H259" s="72"/>
      <c r="I259" s="73" t="str">
        <f t="shared" si="11"/>
        <v/>
      </c>
    </row>
    <row r="260" spans="1:9" s="73" customFormat="1" ht="17.100000000000001" customHeight="1">
      <c r="A260" s="71"/>
      <c r="B260" s="72"/>
      <c r="C260" s="73" t="str">
        <f t="shared" si="9"/>
        <v/>
      </c>
      <c r="D260" s="71"/>
      <c r="E260" s="72"/>
      <c r="F260" s="73" t="str">
        <f t="shared" si="10"/>
        <v/>
      </c>
      <c r="G260" s="71"/>
      <c r="H260" s="72"/>
      <c r="I260" s="73" t="str">
        <f t="shared" si="11"/>
        <v/>
      </c>
    </row>
    <row r="261" spans="1:9" s="73" customFormat="1" ht="17.100000000000001" customHeight="1">
      <c r="A261" s="71"/>
      <c r="B261" s="72"/>
      <c r="C261" s="73" t="str">
        <f t="shared" ref="C261:C287" si="12">IF(B261&gt;0,TEXT(B261,"(aaa)"),"")</f>
        <v/>
      </c>
      <c r="D261" s="71"/>
      <c r="E261" s="72"/>
      <c r="F261" s="73" t="str">
        <f t="shared" ref="F261:F287" si="13">IF(E261&gt;0,TEXT(E261,"(aaa)"),"")</f>
        <v/>
      </c>
      <c r="G261" s="71"/>
      <c r="H261" s="72"/>
      <c r="I261" s="73" t="str">
        <f t="shared" ref="I261:I287" si="14">IF(H261&gt;0,TEXT(H261,"(aaa)"),"")</f>
        <v/>
      </c>
    </row>
    <row r="262" spans="1:9" s="73" customFormat="1" ht="17.100000000000001" customHeight="1">
      <c r="A262" s="71"/>
      <c r="B262" s="72"/>
      <c r="C262" s="73" t="str">
        <f t="shared" si="12"/>
        <v/>
      </c>
      <c r="D262" s="71"/>
      <c r="E262" s="72"/>
      <c r="F262" s="73" t="str">
        <f t="shared" si="13"/>
        <v/>
      </c>
      <c r="G262" s="71"/>
      <c r="H262" s="72"/>
      <c r="I262" s="73" t="str">
        <f t="shared" si="14"/>
        <v/>
      </c>
    </row>
    <row r="263" spans="1:9" s="73" customFormat="1" ht="17.100000000000001" customHeight="1">
      <c r="A263" s="71"/>
      <c r="B263" s="72"/>
      <c r="C263" s="73" t="str">
        <f t="shared" si="12"/>
        <v/>
      </c>
      <c r="D263" s="71"/>
      <c r="E263" s="72"/>
      <c r="F263" s="73" t="str">
        <f t="shared" si="13"/>
        <v/>
      </c>
      <c r="G263" s="71"/>
      <c r="H263" s="72"/>
      <c r="I263" s="73" t="str">
        <f t="shared" si="14"/>
        <v/>
      </c>
    </row>
    <row r="264" spans="1:9" s="73" customFormat="1" ht="17.100000000000001" customHeight="1">
      <c r="A264" s="71"/>
      <c r="B264" s="72"/>
      <c r="C264" s="73" t="str">
        <f t="shared" si="12"/>
        <v/>
      </c>
      <c r="D264" s="71"/>
      <c r="E264" s="72"/>
      <c r="F264" s="73" t="str">
        <f t="shared" si="13"/>
        <v/>
      </c>
      <c r="G264" s="71"/>
      <c r="H264" s="72"/>
      <c r="I264" s="73" t="str">
        <f t="shared" si="14"/>
        <v/>
      </c>
    </row>
    <row r="265" spans="1:9" s="73" customFormat="1" ht="17.100000000000001" customHeight="1">
      <c r="A265" s="71"/>
      <c r="B265" s="72"/>
      <c r="C265" s="73" t="str">
        <f t="shared" si="12"/>
        <v/>
      </c>
      <c r="D265" s="71"/>
      <c r="E265" s="72"/>
      <c r="F265" s="73" t="str">
        <f t="shared" si="13"/>
        <v/>
      </c>
      <c r="G265" s="71"/>
      <c r="H265" s="72"/>
      <c r="I265" s="73" t="str">
        <f t="shared" si="14"/>
        <v/>
      </c>
    </row>
    <row r="266" spans="1:9" s="73" customFormat="1" ht="17.100000000000001" customHeight="1">
      <c r="A266" s="71"/>
      <c r="B266" s="72"/>
      <c r="C266" s="73" t="str">
        <f t="shared" si="12"/>
        <v/>
      </c>
      <c r="D266" s="71"/>
      <c r="E266" s="72"/>
      <c r="F266" s="73" t="str">
        <f t="shared" si="13"/>
        <v/>
      </c>
      <c r="G266" s="71"/>
      <c r="H266" s="72"/>
      <c r="I266" s="73" t="str">
        <f t="shared" si="14"/>
        <v/>
      </c>
    </row>
    <row r="267" spans="1:9" s="73" customFormat="1" ht="17.100000000000001" customHeight="1">
      <c r="A267" s="71"/>
      <c r="B267" s="72"/>
      <c r="C267" s="73" t="str">
        <f t="shared" si="12"/>
        <v/>
      </c>
      <c r="D267" s="71"/>
      <c r="E267" s="72"/>
      <c r="F267" s="73" t="str">
        <f t="shared" si="13"/>
        <v/>
      </c>
      <c r="G267" s="71"/>
      <c r="H267" s="72"/>
      <c r="I267" s="73" t="str">
        <f t="shared" si="14"/>
        <v/>
      </c>
    </row>
    <row r="268" spans="1:9" s="73" customFormat="1" ht="17.100000000000001" customHeight="1">
      <c r="A268" s="71"/>
      <c r="B268" s="72"/>
      <c r="C268" s="73" t="str">
        <f t="shared" si="12"/>
        <v/>
      </c>
      <c r="D268" s="71"/>
      <c r="E268" s="72"/>
      <c r="F268" s="73" t="str">
        <f t="shared" si="13"/>
        <v/>
      </c>
      <c r="G268" s="71"/>
      <c r="H268" s="72"/>
      <c r="I268" s="73" t="str">
        <f t="shared" si="14"/>
        <v/>
      </c>
    </row>
    <row r="269" spans="1:9" s="73" customFormat="1" ht="17.100000000000001" customHeight="1">
      <c r="A269" s="71"/>
      <c r="B269" s="72"/>
      <c r="C269" s="73" t="str">
        <f t="shared" si="12"/>
        <v/>
      </c>
      <c r="D269" s="71"/>
      <c r="E269" s="72"/>
      <c r="F269" s="73" t="str">
        <f t="shared" si="13"/>
        <v/>
      </c>
      <c r="G269" s="71"/>
      <c r="H269" s="72"/>
      <c r="I269" s="73" t="str">
        <f t="shared" si="14"/>
        <v/>
      </c>
    </row>
    <row r="270" spans="1:9" s="73" customFormat="1" ht="17.100000000000001" customHeight="1">
      <c r="A270" s="71"/>
      <c r="B270" s="72"/>
      <c r="C270" s="73" t="str">
        <f t="shared" si="12"/>
        <v/>
      </c>
      <c r="D270" s="71"/>
      <c r="E270" s="72"/>
      <c r="F270" s="73" t="str">
        <f t="shared" si="13"/>
        <v/>
      </c>
      <c r="G270" s="71"/>
      <c r="H270" s="72"/>
      <c r="I270" s="73" t="str">
        <f t="shared" si="14"/>
        <v/>
      </c>
    </row>
    <row r="271" spans="1:9" s="73" customFormat="1" ht="17.100000000000001" customHeight="1">
      <c r="A271" s="71"/>
      <c r="B271" s="72"/>
      <c r="C271" s="73" t="str">
        <f t="shared" si="12"/>
        <v/>
      </c>
      <c r="D271" s="71"/>
      <c r="E271" s="72"/>
      <c r="F271" s="73" t="str">
        <f t="shared" si="13"/>
        <v/>
      </c>
      <c r="G271" s="71"/>
      <c r="H271" s="72"/>
      <c r="I271" s="73" t="str">
        <f t="shared" si="14"/>
        <v/>
      </c>
    </row>
    <row r="272" spans="1:9" s="73" customFormat="1" ht="17.100000000000001" customHeight="1">
      <c r="A272" s="71"/>
      <c r="B272" s="72"/>
      <c r="C272" s="73" t="str">
        <f t="shared" si="12"/>
        <v/>
      </c>
      <c r="D272" s="71"/>
      <c r="E272" s="72"/>
      <c r="F272" s="73" t="str">
        <f t="shared" si="13"/>
        <v/>
      </c>
      <c r="G272" s="71"/>
      <c r="H272" s="72"/>
      <c r="I272" s="73" t="str">
        <f t="shared" si="14"/>
        <v/>
      </c>
    </row>
    <row r="273" spans="1:9" s="73" customFormat="1" ht="17.100000000000001" customHeight="1">
      <c r="A273" s="71"/>
      <c r="B273" s="72"/>
      <c r="C273" s="73" t="str">
        <f t="shared" si="12"/>
        <v/>
      </c>
      <c r="D273" s="71"/>
      <c r="E273" s="72"/>
      <c r="F273" s="73" t="str">
        <f t="shared" si="13"/>
        <v/>
      </c>
      <c r="G273" s="71"/>
      <c r="H273" s="72"/>
      <c r="I273" s="73" t="str">
        <f t="shared" si="14"/>
        <v/>
      </c>
    </row>
    <row r="274" spans="1:9" s="73" customFormat="1" ht="17.100000000000001" customHeight="1">
      <c r="A274" s="71"/>
      <c r="B274" s="72"/>
      <c r="C274" s="73" t="str">
        <f t="shared" si="12"/>
        <v/>
      </c>
      <c r="D274" s="71"/>
      <c r="E274" s="72"/>
      <c r="F274" s="73" t="str">
        <f t="shared" si="13"/>
        <v/>
      </c>
      <c r="G274" s="71"/>
      <c r="H274" s="72"/>
      <c r="I274" s="73" t="str">
        <f t="shared" si="14"/>
        <v/>
      </c>
    </row>
    <row r="275" spans="1:9" s="73" customFormat="1" ht="17.100000000000001" customHeight="1">
      <c r="A275" s="71"/>
      <c r="B275" s="72"/>
      <c r="C275" s="73" t="str">
        <f t="shared" si="12"/>
        <v/>
      </c>
      <c r="D275" s="71"/>
      <c r="E275" s="72"/>
      <c r="F275" s="73" t="str">
        <f t="shared" si="13"/>
        <v/>
      </c>
      <c r="G275" s="71"/>
      <c r="H275" s="72"/>
      <c r="I275" s="73" t="str">
        <f t="shared" si="14"/>
        <v/>
      </c>
    </row>
    <row r="276" spans="1:9" s="73" customFormat="1" ht="17.100000000000001" customHeight="1">
      <c r="A276" s="71"/>
      <c r="B276" s="72"/>
      <c r="C276" s="73" t="str">
        <f t="shared" si="12"/>
        <v/>
      </c>
      <c r="D276" s="71"/>
      <c r="E276" s="72"/>
      <c r="F276" s="73" t="str">
        <f t="shared" si="13"/>
        <v/>
      </c>
      <c r="G276" s="71"/>
      <c r="H276" s="72"/>
      <c r="I276" s="73" t="str">
        <f t="shared" si="14"/>
        <v/>
      </c>
    </row>
    <row r="277" spans="1:9" s="73" customFormat="1" ht="17.100000000000001" customHeight="1">
      <c r="A277" s="71"/>
      <c r="B277" s="72"/>
      <c r="C277" s="73" t="str">
        <f t="shared" si="12"/>
        <v/>
      </c>
      <c r="D277" s="71"/>
      <c r="E277" s="72"/>
      <c r="F277" s="73" t="str">
        <f t="shared" si="13"/>
        <v/>
      </c>
      <c r="G277" s="71"/>
      <c r="H277" s="72"/>
      <c r="I277" s="73" t="str">
        <f t="shared" si="14"/>
        <v/>
      </c>
    </row>
    <row r="278" spans="1:9" s="73" customFormat="1" ht="17.100000000000001" customHeight="1">
      <c r="A278" s="71"/>
      <c r="B278" s="72"/>
      <c r="C278" s="73" t="str">
        <f t="shared" si="12"/>
        <v/>
      </c>
      <c r="D278" s="71"/>
      <c r="E278" s="72"/>
      <c r="F278" s="73" t="str">
        <f t="shared" si="13"/>
        <v/>
      </c>
      <c r="G278" s="71"/>
      <c r="H278" s="72"/>
      <c r="I278" s="73" t="str">
        <f t="shared" si="14"/>
        <v/>
      </c>
    </row>
    <row r="279" spans="1:9" s="73" customFormat="1" ht="17.100000000000001" customHeight="1">
      <c r="A279" s="71"/>
      <c r="B279" s="72"/>
      <c r="C279" s="73" t="str">
        <f t="shared" si="12"/>
        <v/>
      </c>
      <c r="D279" s="71"/>
      <c r="E279" s="72"/>
      <c r="F279" s="73" t="str">
        <f t="shared" si="13"/>
        <v/>
      </c>
      <c r="G279" s="71"/>
      <c r="H279" s="72"/>
      <c r="I279" s="73" t="str">
        <f t="shared" si="14"/>
        <v/>
      </c>
    </row>
    <row r="280" spans="1:9" s="73" customFormat="1" ht="17.100000000000001" customHeight="1">
      <c r="A280" s="71"/>
      <c r="B280" s="72"/>
      <c r="C280" s="73" t="str">
        <f t="shared" si="12"/>
        <v/>
      </c>
      <c r="D280" s="71"/>
      <c r="E280" s="72"/>
      <c r="F280" s="73" t="str">
        <f t="shared" si="13"/>
        <v/>
      </c>
      <c r="G280" s="71"/>
      <c r="H280" s="72"/>
      <c r="I280" s="73" t="str">
        <f t="shared" si="14"/>
        <v/>
      </c>
    </row>
    <row r="281" spans="1:9" s="73" customFormat="1" ht="17.100000000000001" customHeight="1">
      <c r="A281" s="71"/>
      <c r="B281" s="72"/>
      <c r="C281" s="73" t="str">
        <f t="shared" si="12"/>
        <v/>
      </c>
      <c r="D281" s="71"/>
      <c r="E281" s="72"/>
      <c r="F281" s="73" t="str">
        <f t="shared" si="13"/>
        <v/>
      </c>
      <c r="G281" s="71"/>
      <c r="H281" s="72"/>
      <c r="I281" s="73" t="str">
        <f t="shared" si="14"/>
        <v/>
      </c>
    </row>
    <row r="282" spans="1:9" s="73" customFormat="1" ht="17.100000000000001" customHeight="1">
      <c r="A282" s="71"/>
      <c r="B282" s="72"/>
      <c r="C282" s="73" t="str">
        <f t="shared" si="12"/>
        <v/>
      </c>
      <c r="D282" s="71"/>
      <c r="E282" s="72"/>
      <c r="F282" s="73" t="str">
        <f t="shared" si="13"/>
        <v/>
      </c>
      <c r="G282" s="71"/>
      <c r="H282" s="72"/>
      <c r="I282" s="73" t="str">
        <f t="shared" si="14"/>
        <v/>
      </c>
    </row>
    <row r="283" spans="1:9" s="73" customFormat="1" ht="17.100000000000001" customHeight="1">
      <c r="A283" s="71"/>
      <c r="B283" s="72"/>
      <c r="C283" s="73" t="str">
        <f t="shared" si="12"/>
        <v/>
      </c>
      <c r="D283" s="71"/>
      <c r="E283" s="72"/>
      <c r="F283" s="73" t="str">
        <f t="shared" si="13"/>
        <v/>
      </c>
      <c r="G283" s="71"/>
      <c r="H283" s="72"/>
      <c r="I283" s="73" t="str">
        <f t="shared" si="14"/>
        <v/>
      </c>
    </row>
    <row r="284" spans="1:9" s="73" customFormat="1" ht="17.100000000000001" customHeight="1">
      <c r="A284" s="71"/>
      <c r="B284" s="72"/>
      <c r="C284" s="73" t="str">
        <f t="shared" si="12"/>
        <v/>
      </c>
      <c r="D284" s="71"/>
      <c r="E284" s="72"/>
      <c r="F284" s="73" t="str">
        <f t="shared" si="13"/>
        <v/>
      </c>
      <c r="G284" s="71"/>
      <c r="H284" s="72"/>
      <c r="I284" s="73" t="str">
        <f t="shared" si="14"/>
        <v/>
      </c>
    </row>
    <row r="285" spans="1:9" s="73" customFormat="1" ht="17.100000000000001" customHeight="1">
      <c r="A285" s="71"/>
      <c r="B285" s="74"/>
      <c r="C285" s="73" t="str">
        <f t="shared" si="12"/>
        <v/>
      </c>
      <c r="D285" s="71"/>
      <c r="E285" s="74"/>
      <c r="F285" s="73" t="str">
        <f t="shared" si="13"/>
        <v/>
      </c>
      <c r="G285" s="71"/>
      <c r="H285" s="74"/>
      <c r="I285" s="73" t="str">
        <f t="shared" si="14"/>
        <v/>
      </c>
    </row>
    <row r="286" spans="1:9" s="73" customFormat="1" ht="17.100000000000001" customHeight="1">
      <c r="A286" s="71"/>
      <c r="B286" s="74"/>
      <c r="C286" s="73" t="str">
        <f t="shared" si="12"/>
        <v/>
      </c>
      <c r="D286" s="71"/>
      <c r="E286" s="74"/>
      <c r="F286" s="73" t="str">
        <f t="shared" si="13"/>
        <v/>
      </c>
      <c r="G286" s="71"/>
      <c r="H286" s="74"/>
      <c r="I286" s="73" t="str">
        <f t="shared" si="14"/>
        <v/>
      </c>
    </row>
    <row r="287" spans="1:9" s="73" customFormat="1" ht="17.100000000000001" customHeight="1">
      <c r="A287" s="71"/>
      <c r="B287" s="74"/>
      <c r="C287" s="73" t="str">
        <f t="shared" si="12"/>
        <v/>
      </c>
      <c r="D287" s="71"/>
      <c r="E287" s="74"/>
      <c r="F287" s="73" t="str">
        <f t="shared" si="13"/>
        <v/>
      </c>
      <c r="G287" s="71"/>
      <c r="H287" s="74"/>
      <c r="I287" s="73" t="str">
        <f t="shared" si="14"/>
        <v/>
      </c>
    </row>
    <row r="288" spans="1:9" s="73" customFormat="1" ht="17.100000000000001" customHeight="1">
      <c r="A288" s="73" t="s">
        <v>489</v>
      </c>
      <c r="D288" s="73" t="s">
        <v>489</v>
      </c>
      <c r="G288" s="73" t="s">
        <v>489</v>
      </c>
    </row>
  </sheetData>
  <mergeCells count="4">
    <mergeCell ref="D3:E3"/>
    <mergeCell ref="A3:B3"/>
    <mergeCell ref="A2:H2"/>
    <mergeCell ref="G3:H3"/>
  </mergeCells>
  <phoneticPr fontId="1" type="noConversion"/>
  <pageMargins left="0.75" right="0.75" top="1" bottom="1" header="0.5" footer="0.5"/>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4" bestFit="1" customWidth="1"/>
    <col min="2" max="2" width="8.375" style="125" bestFit="1" customWidth="1"/>
    <col min="3" max="3" width="23.125" style="126" bestFit="1" customWidth="1"/>
    <col min="4" max="4" width="47.125" style="127" customWidth="1"/>
    <col min="5" max="5" width="56.125" style="127" customWidth="1"/>
    <col min="6" max="6" width="57.375" style="124" customWidth="1"/>
    <col min="7" max="26" width="73.375" style="124" customWidth="1"/>
    <col min="27" max="27" width="73.375" style="124" hidden="1" customWidth="1"/>
    <col min="28" max="29" width="73.375" style="124" customWidth="1"/>
    <col min="30" max="30" width="0" style="124" hidden="1"/>
    <col min="31" max="31" width="73.375" style="124" customWidth="1"/>
    <col min="32" max="16384" width="73.375" style="124"/>
  </cols>
  <sheetData>
    <row r="1" spans="1:6" s="122" customFormat="1" ht="12.95" customHeight="1">
      <c r="A1" s="122" t="s">
        <v>490</v>
      </c>
      <c r="B1" s="122" t="s">
        <v>491</v>
      </c>
      <c r="C1" s="123" t="s">
        <v>492</v>
      </c>
      <c r="D1" s="123" t="s">
        <v>493</v>
      </c>
      <c r="E1" s="123" t="s">
        <v>494</v>
      </c>
      <c r="F1" s="122" t="s">
        <v>495</v>
      </c>
    </row>
    <row r="2" spans="1:6" ht="78" customHeight="1">
      <c r="A2" s="192" t="s">
        <v>496</v>
      </c>
      <c r="B2" s="125">
        <v>1</v>
      </c>
      <c r="C2" s="126" t="s">
        <v>497</v>
      </c>
      <c r="D2" s="127" t="s">
        <v>498</v>
      </c>
      <c r="E2" s="127" t="s">
        <v>499</v>
      </c>
      <c r="F2" s="127" t="s">
        <v>499</v>
      </c>
    </row>
    <row r="3" spans="1:6" ht="90.95" customHeight="1">
      <c r="A3" s="193">
        <v>650</v>
      </c>
      <c r="B3" s="125">
        <v>2</v>
      </c>
      <c r="C3" s="126" t="s">
        <v>497</v>
      </c>
      <c r="D3" s="127" t="s">
        <v>500</v>
      </c>
      <c r="E3" s="127" t="s">
        <v>501</v>
      </c>
      <c r="F3" s="127" t="s">
        <v>501</v>
      </c>
    </row>
    <row r="4" spans="1:6" ht="65.099999999999994" customHeight="1">
      <c r="B4" s="125">
        <v>3</v>
      </c>
      <c r="C4" s="126" t="s">
        <v>497</v>
      </c>
      <c r="D4" s="127" t="s">
        <v>502</v>
      </c>
      <c r="E4" s="127" t="s">
        <v>503</v>
      </c>
      <c r="F4" s="127" t="s">
        <v>503</v>
      </c>
    </row>
    <row r="5" spans="1:6" ht="60" customHeight="1">
      <c r="B5" s="125">
        <v>4</v>
      </c>
      <c r="C5" s="126" t="s">
        <v>497</v>
      </c>
      <c r="D5" s="127" t="s">
        <v>504</v>
      </c>
      <c r="E5" s="127" t="s">
        <v>505</v>
      </c>
      <c r="F5" s="127" t="s">
        <v>505</v>
      </c>
    </row>
    <row r="6" spans="1:6" ht="75" customHeight="1">
      <c r="B6" s="125">
        <v>5</v>
      </c>
      <c r="C6" s="126" t="s">
        <v>497</v>
      </c>
      <c r="D6" s="127" t="s">
        <v>506</v>
      </c>
      <c r="E6" s="127" t="s">
        <v>507</v>
      </c>
      <c r="F6" s="127" t="s">
        <v>507</v>
      </c>
    </row>
    <row r="7" spans="1:6" ht="51.95" customHeight="1">
      <c r="B7" s="125">
        <v>6</v>
      </c>
      <c r="C7" s="126" t="s">
        <v>497</v>
      </c>
      <c r="D7" s="127" t="s">
        <v>508</v>
      </c>
      <c r="E7" s="127" t="s">
        <v>509</v>
      </c>
      <c r="F7" s="127" t="s">
        <v>509</v>
      </c>
    </row>
    <row r="8" spans="1:6" ht="15" customHeight="1">
      <c r="B8" s="125">
        <v>7</v>
      </c>
      <c r="C8" s="126" t="s">
        <v>497</v>
      </c>
      <c r="D8" s="127" t="s">
        <v>510</v>
      </c>
      <c r="E8" s="127" t="s">
        <v>511</v>
      </c>
      <c r="F8" s="127" t="s">
        <v>511</v>
      </c>
    </row>
    <row r="9" spans="1:6" ht="51.95" customHeight="1">
      <c r="B9" s="125">
        <v>8</v>
      </c>
      <c r="C9" s="126" t="s">
        <v>512</v>
      </c>
      <c r="D9" s="127" t="s">
        <v>513</v>
      </c>
      <c r="E9" s="143" t="s">
        <v>364</v>
      </c>
      <c r="F9" s="143" t="s">
        <v>364</v>
      </c>
    </row>
    <row r="10" spans="1:6" ht="51.95" customHeight="1">
      <c r="B10" s="125">
        <v>9</v>
      </c>
      <c r="C10" s="126" t="s">
        <v>512</v>
      </c>
      <c r="D10" s="127" t="s">
        <v>514</v>
      </c>
      <c r="E10" s="127" t="s">
        <v>395</v>
      </c>
      <c r="F10" s="127" t="s">
        <v>395</v>
      </c>
    </row>
    <row r="11" spans="1:6" ht="51.95" customHeight="1">
      <c r="B11" s="125">
        <v>10</v>
      </c>
      <c r="C11" s="126" t="s">
        <v>512</v>
      </c>
      <c r="D11" s="127" t="s">
        <v>515</v>
      </c>
      <c r="E11" s="127" t="s">
        <v>398</v>
      </c>
      <c r="F11" s="127" t="s">
        <v>398</v>
      </c>
    </row>
    <row r="12" spans="1:6" ht="60" customHeight="1">
      <c r="B12" s="125">
        <v>11</v>
      </c>
      <c r="C12" s="126" t="s">
        <v>512</v>
      </c>
      <c r="D12" s="127" t="s">
        <v>516</v>
      </c>
      <c r="E12" s="127" t="s">
        <v>517</v>
      </c>
      <c r="F12" s="127" t="s">
        <v>517</v>
      </c>
    </row>
    <row r="13" spans="1:6" ht="78" customHeight="1">
      <c r="B13" s="125">
        <v>12</v>
      </c>
      <c r="C13" s="126" t="s">
        <v>512</v>
      </c>
      <c r="D13" s="127" t="s">
        <v>518</v>
      </c>
      <c r="E13" s="127" t="s">
        <v>408</v>
      </c>
      <c r="F13" s="127" t="s">
        <v>408</v>
      </c>
    </row>
    <row r="14" spans="1:6" ht="51.95" customHeight="1">
      <c r="B14" s="125">
        <v>13</v>
      </c>
      <c r="C14" s="126" t="s">
        <v>497</v>
      </c>
      <c r="D14" s="127" t="s">
        <v>519</v>
      </c>
      <c r="E14" s="127" t="s">
        <v>520</v>
      </c>
      <c r="F14" s="127" t="s">
        <v>520</v>
      </c>
    </row>
    <row r="15" spans="1:6" ht="45" customHeight="1">
      <c r="B15" s="125">
        <v>14</v>
      </c>
      <c r="C15" s="126" t="s">
        <v>497</v>
      </c>
      <c r="D15" s="127" t="s">
        <v>521</v>
      </c>
      <c r="E15" s="127" t="s">
        <v>522</v>
      </c>
      <c r="F15" s="127" t="s">
        <v>522</v>
      </c>
    </row>
    <row r="16" spans="1:6" ht="15" customHeight="1">
      <c r="B16" s="125">
        <v>15</v>
      </c>
      <c r="C16" s="126" t="s">
        <v>497</v>
      </c>
      <c r="D16" s="127" t="s">
        <v>523</v>
      </c>
      <c r="E16" s="127" t="s">
        <v>524</v>
      </c>
      <c r="F16" s="127" t="s">
        <v>524</v>
      </c>
    </row>
    <row r="17" spans="1:6" ht="15" customHeight="1">
      <c r="B17" s="125">
        <v>101</v>
      </c>
      <c r="D17" s="127" t="s">
        <v>525</v>
      </c>
      <c r="E17" s="127" t="s">
        <v>526</v>
      </c>
      <c r="F17" s="127" t="s">
        <v>526</v>
      </c>
    </row>
    <row r="18" spans="1:6" ht="15" customHeight="1">
      <c r="B18" s="125">
        <v>102</v>
      </c>
      <c r="D18" s="127" t="s">
        <v>527</v>
      </c>
      <c r="E18" s="127" t="s">
        <v>528</v>
      </c>
      <c r="F18" s="127" t="s">
        <v>528</v>
      </c>
    </row>
    <row r="19" spans="1:6" ht="15" customHeight="1">
      <c r="B19" s="125">
        <v>103</v>
      </c>
      <c r="D19" s="127" t="s">
        <v>529</v>
      </c>
      <c r="E19" s="127" t="s">
        <v>530</v>
      </c>
      <c r="F19" s="127" t="s">
        <v>530</v>
      </c>
    </row>
    <row r="20" spans="1:6" ht="15" customHeight="1">
      <c r="B20" s="125">
        <v>104</v>
      </c>
      <c r="D20" s="127" t="s">
        <v>531</v>
      </c>
      <c r="E20" s="127" t="s">
        <v>532</v>
      </c>
      <c r="F20" s="127" t="s">
        <v>532</v>
      </c>
    </row>
    <row r="21" spans="1:6" ht="15" customHeight="1">
      <c r="B21" s="125">
        <v>105</v>
      </c>
      <c r="D21" s="127" t="s">
        <v>533</v>
      </c>
      <c r="E21" s="127" t="s">
        <v>456</v>
      </c>
      <c r="F21" s="127" t="s">
        <v>456</v>
      </c>
    </row>
    <row r="22" spans="1:6" ht="12.95" customHeight="1">
      <c r="B22" s="125">
        <v>106</v>
      </c>
      <c r="D22" s="127" t="s">
        <v>534</v>
      </c>
      <c r="E22" s="127" t="s">
        <v>535</v>
      </c>
      <c r="F22" s="127" t="s">
        <v>535</v>
      </c>
    </row>
    <row r="23" spans="1:6" ht="45" customHeight="1">
      <c r="B23" s="125">
        <v>107</v>
      </c>
      <c r="D23" s="127" t="s">
        <v>536</v>
      </c>
      <c r="E23" s="127" t="s">
        <v>537</v>
      </c>
      <c r="F23" s="127" t="s">
        <v>537</v>
      </c>
    </row>
    <row r="24" spans="1:6" ht="45" customHeight="1">
      <c r="B24" s="125">
        <v>108</v>
      </c>
      <c r="D24" s="127" t="s">
        <v>538</v>
      </c>
      <c r="E24" s="127" t="s">
        <v>539</v>
      </c>
      <c r="F24" s="127" t="s">
        <v>539</v>
      </c>
    </row>
    <row r="25" spans="1:6" ht="12.95" customHeight="1">
      <c r="B25" s="125">
        <v>109</v>
      </c>
      <c r="D25" s="127" t="s">
        <v>540</v>
      </c>
      <c r="E25" s="127" t="s">
        <v>541</v>
      </c>
      <c r="F25" s="127" t="s">
        <v>541</v>
      </c>
    </row>
    <row r="26" spans="1:6" ht="12.95" customHeight="1">
      <c r="B26" s="125">
        <v>110</v>
      </c>
      <c r="D26" s="127" t="s">
        <v>542</v>
      </c>
      <c r="E26" s="127" t="s">
        <v>423</v>
      </c>
      <c r="F26" s="127" t="s">
        <v>423</v>
      </c>
    </row>
    <row r="27" spans="1:6" ht="15" customHeight="1">
      <c r="B27" s="125">
        <v>111</v>
      </c>
      <c r="D27" s="127" t="s">
        <v>543</v>
      </c>
      <c r="E27" s="127" t="s">
        <v>438</v>
      </c>
      <c r="F27" s="127" t="s">
        <v>438</v>
      </c>
    </row>
    <row r="28" spans="1:6" ht="15" customHeight="1">
      <c r="A28" s="129"/>
      <c r="B28" s="125">
        <v>112</v>
      </c>
      <c r="C28" s="130" t="s">
        <v>544</v>
      </c>
      <c r="D28" s="128" t="s">
        <v>545</v>
      </c>
      <c r="E28" s="128" t="s">
        <v>546</v>
      </c>
      <c r="F28" s="128" t="s">
        <v>546</v>
      </c>
    </row>
    <row r="29" spans="1:6" ht="15" customHeight="1">
      <c r="B29" s="125">
        <v>113</v>
      </c>
      <c r="D29" s="127" t="s">
        <v>547</v>
      </c>
      <c r="E29" s="127" t="s">
        <v>546</v>
      </c>
      <c r="F29" s="127" t="s">
        <v>546</v>
      </c>
    </row>
    <row r="30" spans="1:6" ht="15" customHeight="1">
      <c r="B30" s="125">
        <v>114</v>
      </c>
      <c r="C30" s="126" t="s">
        <v>548</v>
      </c>
      <c r="D30" s="127" t="s">
        <v>549</v>
      </c>
      <c r="E30" s="127" t="s">
        <v>376</v>
      </c>
      <c r="F30" s="127" t="s">
        <v>376</v>
      </c>
    </row>
    <row r="31" spans="1:6" ht="15" customHeight="1">
      <c r="B31" s="125">
        <v>115</v>
      </c>
      <c r="D31" s="127" t="s">
        <v>550</v>
      </c>
      <c r="E31" s="127" t="s">
        <v>440</v>
      </c>
      <c r="F31" s="127" t="s">
        <v>440</v>
      </c>
    </row>
    <row r="32" spans="1:6" ht="15" customHeight="1">
      <c r="B32" s="125">
        <v>116</v>
      </c>
      <c r="D32" s="127" t="s">
        <v>551</v>
      </c>
      <c r="E32" s="127" t="s">
        <v>411</v>
      </c>
      <c r="F32" s="127" t="s">
        <v>411</v>
      </c>
    </row>
    <row r="33" spans="2:6" ht="15" customHeight="1">
      <c r="B33" s="125">
        <v>117</v>
      </c>
      <c r="D33" s="127" t="s">
        <v>552</v>
      </c>
      <c r="E33" s="127" t="s">
        <v>553</v>
      </c>
      <c r="F33" s="127" t="s">
        <v>553</v>
      </c>
    </row>
    <row r="34" spans="2:6" ht="30" customHeight="1">
      <c r="B34" s="125">
        <v>118</v>
      </c>
      <c r="D34" s="127" t="s">
        <v>554</v>
      </c>
      <c r="E34" s="127" t="s">
        <v>555</v>
      </c>
      <c r="F34" s="127" t="s">
        <v>555</v>
      </c>
    </row>
    <row r="35" spans="2:6" ht="12.95" customHeight="1">
      <c r="B35" s="125">
        <v>119</v>
      </c>
      <c r="D35" s="127" t="s">
        <v>556</v>
      </c>
      <c r="E35" s="127" t="s">
        <v>557</v>
      </c>
      <c r="F35" s="127" t="s">
        <v>557</v>
      </c>
    </row>
    <row r="36" spans="2:6" ht="12.95" customHeight="1">
      <c r="B36" s="125">
        <v>120</v>
      </c>
      <c r="D36" s="127" t="s">
        <v>558</v>
      </c>
      <c r="E36" s="127" t="s">
        <v>559</v>
      </c>
      <c r="F36" s="127" t="s">
        <v>559</v>
      </c>
    </row>
    <row r="37" spans="2:6" ht="26.1" customHeight="1">
      <c r="B37" s="125">
        <v>121</v>
      </c>
      <c r="D37" s="127" t="s">
        <v>560</v>
      </c>
      <c r="E37" s="127" t="s">
        <v>428</v>
      </c>
      <c r="F37" s="127" t="s">
        <v>428</v>
      </c>
    </row>
    <row r="38" spans="2:6" ht="15" customHeight="1">
      <c r="B38" s="125">
        <v>122</v>
      </c>
      <c r="D38" s="127" t="s">
        <v>561</v>
      </c>
      <c r="E38" s="127" t="s">
        <v>562</v>
      </c>
      <c r="F38" s="127" t="s">
        <v>562</v>
      </c>
    </row>
    <row r="39" spans="2:6" ht="15" customHeight="1">
      <c r="B39" s="125">
        <v>123</v>
      </c>
      <c r="D39" s="127" t="s">
        <v>563</v>
      </c>
      <c r="E39" s="127" t="s">
        <v>564</v>
      </c>
      <c r="F39" s="127" t="s">
        <v>564</v>
      </c>
    </row>
    <row r="40" spans="2:6" ht="12.95" customHeight="1">
      <c r="B40" s="125">
        <v>124</v>
      </c>
      <c r="D40" s="127" t="s">
        <v>565</v>
      </c>
      <c r="E40" s="127" t="s">
        <v>410</v>
      </c>
      <c r="F40" s="127" t="s">
        <v>410</v>
      </c>
    </row>
    <row r="41" spans="2:6" ht="26.1" customHeight="1">
      <c r="B41" s="125">
        <v>125</v>
      </c>
      <c r="D41" s="127" t="s">
        <v>566</v>
      </c>
      <c r="E41" s="127" t="s">
        <v>567</v>
      </c>
      <c r="F41" s="127" t="s">
        <v>567</v>
      </c>
    </row>
    <row r="42" spans="2:6" ht="12.95" customHeight="1">
      <c r="B42" s="125">
        <v>126</v>
      </c>
      <c r="D42" s="127" t="s">
        <v>568</v>
      </c>
      <c r="E42" s="127" t="s">
        <v>569</v>
      </c>
      <c r="F42" s="127" t="s">
        <v>569</v>
      </c>
    </row>
    <row r="43" spans="2:6" ht="26.1" customHeight="1">
      <c r="B43" s="125">
        <v>127</v>
      </c>
      <c r="D43" s="127" t="s">
        <v>570</v>
      </c>
      <c r="E43" s="127" t="s">
        <v>429</v>
      </c>
      <c r="F43" s="127" t="s">
        <v>429</v>
      </c>
    </row>
    <row r="44" spans="2:6" ht="26.1" customHeight="1">
      <c r="B44" s="125">
        <v>128</v>
      </c>
      <c r="D44" s="127" t="s">
        <v>571</v>
      </c>
      <c r="E44" s="127" t="s">
        <v>572</v>
      </c>
      <c r="F44" s="127" t="s">
        <v>572</v>
      </c>
    </row>
    <row r="45" spans="2:6" ht="26.1" customHeight="1">
      <c r="B45" s="125">
        <v>129</v>
      </c>
      <c r="D45" s="127" t="s">
        <v>573</v>
      </c>
      <c r="E45" s="127" t="s">
        <v>574</v>
      </c>
      <c r="F45" s="127" t="s">
        <v>574</v>
      </c>
    </row>
    <row r="46" spans="2:6" ht="15" customHeight="1">
      <c r="B46" s="125">
        <v>130</v>
      </c>
      <c r="D46" s="127" t="s">
        <v>575</v>
      </c>
      <c r="E46" s="127" t="s">
        <v>576</v>
      </c>
      <c r="F46" s="127" t="s">
        <v>576</v>
      </c>
    </row>
    <row r="47" spans="2:6" ht="15" customHeight="1">
      <c r="B47" s="125">
        <v>131</v>
      </c>
      <c r="D47" s="127" t="s">
        <v>577</v>
      </c>
      <c r="E47" s="127" t="s">
        <v>578</v>
      </c>
      <c r="F47" s="127" t="s">
        <v>578</v>
      </c>
    </row>
    <row r="48" spans="2:6" ht="15" customHeight="1">
      <c r="B48" s="125">
        <v>132</v>
      </c>
      <c r="D48" s="127" t="s">
        <v>579</v>
      </c>
      <c r="E48" s="127" t="s">
        <v>580</v>
      </c>
      <c r="F48" s="127" t="s">
        <v>580</v>
      </c>
    </row>
    <row r="49" spans="2:6" ht="15" customHeight="1">
      <c r="B49" s="125">
        <v>133</v>
      </c>
      <c r="D49" s="127" t="s">
        <v>581</v>
      </c>
      <c r="E49" s="127" t="s">
        <v>582</v>
      </c>
      <c r="F49" s="127" t="s">
        <v>582</v>
      </c>
    </row>
    <row r="50" spans="2:6" ht="15" customHeight="1">
      <c r="B50" s="125">
        <v>134</v>
      </c>
      <c r="D50" s="127" t="s">
        <v>583</v>
      </c>
      <c r="E50" s="127" t="s">
        <v>584</v>
      </c>
      <c r="F50" s="127" t="s">
        <v>584</v>
      </c>
    </row>
    <row r="51" spans="2:6" ht="12.95" customHeight="1">
      <c r="B51" s="125">
        <v>135</v>
      </c>
      <c r="D51" s="128" t="s">
        <v>585</v>
      </c>
      <c r="E51" s="131">
        <v>43435</v>
      </c>
      <c r="F51" s="131">
        <v>43435</v>
      </c>
    </row>
    <row r="52" spans="2:6" ht="12.95" customHeight="1">
      <c r="B52" s="125">
        <v>136</v>
      </c>
      <c r="D52" s="128" t="s">
        <v>586</v>
      </c>
      <c r="E52" s="131">
        <v>43465</v>
      </c>
      <c r="F52" s="131">
        <v>43465</v>
      </c>
    </row>
    <row r="53" spans="2:6" ht="12.95" customHeight="1">
      <c r="B53" s="125">
        <v>137</v>
      </c>
      <c r="D53" s="127" t="s">
        <v>587</v>
      </c>
      <c r="E53" s="127" t="s">
        <v>587</v>
      </c>
      <c r="F53" s="127" t="s">
        <v>587</v>
      </c>
    </row>
    <row r="54" spans="2:6" ht="15" customHeight="1">
      <c r="B54" s="125">
        <v>138</v>
      </c>
      <c r="D54" s="127" t="s">
        <v>588</v>
      </c>
      <c r="E54" s="127" t="s">
        <v>589</v>
      </c>
      <c r="F54" s="127" t="s">
        <v>589</v>
      </c>
    </row>
    <row r="55" spans="2:6" ht="15" customHeight="1">
      <c r="B55" s="125">
        <v>139</v>
      </c>
      <c r="C55" s="126" t="s">
        <v>590</v>
      </c>
      <c r="D55" s="127" t="s">
        <v>591</v>
      </c>
      <c r="E55" s="127" t="s">
        <v>546</v>
      </c>
      <c r="F55" s="127" t="s">
        <v>546</v>
      </c>
    </row>
    <row r="56" spans="2:6" ht="26.1" customHeight="1">
      <c r="B56" s="125">
        <v>140</v>
      </c>
      <c r="D56" s="127" t="s">
        <v>592</v>
      </c>
      <c r="E56" s="127" t="s">
        <v>593</v>
      </c>
      <c r="F56" s="127" t="s">
        <v>593</v>
      </c>
    </row>
    <row r="57" spans="2:6" ht="30" customHeight="1">
      <c r="B57" s="125">
        <v>141</v>
      </c>
      <c r="D57" s="127" t="s">
        <v>594</v>
      </c>
      <c r="E57" s="143" t="s">
        <v>424</v>
      </c>
      <c r="F57" s="143" t="s">
        <v>424</v>
      </c>
    </row>
    <row r="58" spans="2:6" ht="15" customHeight="1">
      <c r="B58" s="125">
        <v>142</v>
      </c>
      <c r="D58" s="127" t="s">
        <v>595</v>
      </c>
      <c r="E58" s="127" t="s">
        <v>596</v>
      </c>
      <c r="F58" s="127" t="s">
        <v>596</v>
      </c>
    </row>
    <row r="59" spans="2:6" ht="14.1" customHeight="1">
      <c r="B59" s="125">
        <v>143</v>
      </c>
      <c r="C59" s="126" t="s">
        <v>597</v>
      </c>
      <c r="D59" s="124" t="s">
        <v>598</v>
      </c>
      <c r="E59" s="132" t="s">
        <v>599</v>
      </c>
      <c r="F59" s="132" t="s">
        <v>599</v>
      </c>
    </row>
    <row r="60" spans="2:6" ht="15" customHeight="1">
      <c r="B60" s="125">
        <v>144</v>
      </c>
      <c r="D60" s="127" t="s">
        <v>600</v>
      </c>
      <c r="E60" s="127" t="s">
        <v>601</v>
      </c>
      <c r="F60" s="127" t="s">
        <v>601</v>
      </c>
    </row>
    <row r="61" spans="2:6" ht="30" customHeight="1">
      <c r="B61" s="125">
        <v>145</v>
      </c>
      <c r="D61" s="127" t="s">
        <v>602</v>
      </c>
      <c r="E61" s="127" t="s">
        <v>603</v>
      </c>
      <c r="F61" s="127" t="s">
        <v>603</v>
      </c>
    </row>
    <row r="62" spans="2:6" ht="15" customHeight="1">
      <c r="B62" s="125">
        <v>146</v>
      </c>
      <c r="D62" s="127" t="s">
        <v>604</v>
      </c>
      <c r="E62" s="127" t="s">
        <v>605</v>
      </c>
      <c r="F62" s="127" t="s">
        <v>605</v>
      </c>
    </row>
    <row r="63" spans="2:6" ht="30" customHeight="1">
      <c r="B63" s="125">
        <v>147</v>
      </c>
      <c r="D63" s="127" t="s">
        <v>606</v>
      </c>
      <c r="E63" s="127" t="s">
        <v>607</v>
      </c>
      <c r="F63" s="127" t="s">
        <v>607</v>
      </c>
    </row>
    <row r="64" spans="2:6" ht="15" customHeight="1">
      <c r="B64" s="125">
        <v>148</v>
      </c>
      <c r="D64" s="127" t="s">
        <v>608</v>
      </c>
      <c r="E64" s="127" t="s">
        <v>609</v>
      </c>
      <c r="F64" s="127" t="s">
        <v>609</v>
      </c>
    </row>
    <row r="65" spans="1:6" ht="12.95" customHeight="1">
      <c r="B65" s="125">
        <v>149</v>
      </c>
      <c r="D65" s="127" t="s">
        <v>610</v>
      </c>
      <c r="E65" s="127" t="s">
        <v>611</v>
      </c>
      <c r="F65" s="127" t="s">
        <v>611</v>
      </c>
    </row>
    <row r="66" spans="1:6" ht="12.95" customHeight="1">
      <c r="B66" s="125">
        <v>150</v>
      </c>
      <c r="D66" s="127" t="s">
        <v>612</v>
      </c>
      <c r="E66" s="127" t="s">
        <v>613</v>
      </c>
      <c r="F66" s="127" t="s">
        <v>613</v>
      </c>
    </row>
    <row r="67" spans="1:6" ht="14.1" customHeight="1">
      <c r="B67" s="125">
        <v>151</v>
      </c>
      <c r="C67" s="126" t="s">
        <v>597</v>
      </c>
      <c r="D67" s="124" t="s">
        <v>614</v>
      </c>
      <c r="E67" s="132" t="s">
        <v>615</v>
      </c>
      <c r="F67" s="132" t="s">
        <v>615</v>
      </c>
    </row>
    <row r="68" spans="1:6" ht="15" customHeight="1">
      <c r="B68" s="125">
        <v>152</v>
      </c>
      <c r="D68" s="127" t="s">
        <v>616</v>
      </c>
      <c r="E68" s="127" t="s">
        <v>617</v>
      </c>
      <c r="F68" s="127" t="s">
        <v>617</v>
      </c>
    </row>
    <row r="69" spans="1:6" ht="15" customHeight="1">
      <c r="B69" s="125">
        <v>153</v>
      </c>
      <c r="D69" s="127" t="s">
        <v>618</v>
      </c>
      <c r="E69" s="127" t="s">
        <v>619</v>
      </c>
      <c r="F69" s="127" t="s">
        <v>619</v>
      </c>
    </row>
    <row r="70" spans="1:6" ht="15" customHeight="1">
      <c r="B70" s="125">
        <v>154</v>
      </c>
      <c r="D70" s="127" t="s">
        <v>620</v>
      </c>
      <c r="E70" s="127" t="s">
        <v>621</v>
      </c>
      <c r="F70" s="127" t="s">
        <v>621</v>
      </c>
    </row>
    <row r="71" spans="1:6" ht="30" customHeight="1">
      <c r="B71" s="125">
        <v>155</v>
      </c>
      <c r="D71" s="127" t="s">
        <v>622</v>
      </c>
      <c r="E71" s="127" t="s">
        <v>623</v>
      </c>
      <c r="F71" s="127" t="s">
        <v>623</v>
      </c>
    </row>
    <row r="72" spans="1:6" ht="14.1" customHeight="1">
      <c r="B72" s="125">
        <v>156</v>
      </c>
      <c r="C72" s="126" t="s">
        <v>597</v>
      </c>
      <c r="D72" s="124" t="s">
        <v>624</v>
      </c>
      <c r="E72" s="132" t="s">
        <v>625</v>
      </c>
      <c r="F72" s="132" t="s">
        <v>625</v>
      </c>
    </row>
    <row r="73" spans="1:6" ht="14.1" customHeight="1">
      <c r="B73" s="125">
        <v>157</v>
      </c>
      <c r="C73" s="126" t="s">
        <v>597</v>
      </c>
      <c r="D73" s="124" t="s">
        <v>626</v>
      </c>
      <c r="E73" s="132" t="s">
        <v>627</v>
      </c>
      <c r="F73" s="132" t="s">
        <v>627</v>
      </c>
    </row>
    <row r="74" spans="1:6" ht="15" customHeight="1">
      <c r="B74" s="125">
        <v>158</v>
      </c>
      <c r="D74" s="127" t="s">
        <v>628</v>
      </c>
      <c r="E74" s="127" t="s">
        <v>629</v>
      </c>
      <c r="F74" s="127" t="s">
        <v>629</v>
      </c>
    </row>
    <row r="75" spans="1:6" ht="15" customHeight="1">
      <c r="A75" s="133"/>
      <c r="B75" s="125">
        <v>159</v>
      </c>
      <c r="C75" s="130" t="s">
        <v>544</v>
      </c>
      <c r="D75" s="128" t="s">
        <v>630</v>
      </c>
      <c r="E75" s="128" t="s">
        <v>631</v>
      </c>
      <c r="F75" s="128" t="s">
        <v>631</v>
      </c>
    </row>
    <row r="76" spans="1:6" ht="15" customHeight="1">
      <c r="B76" s="125">
        <v>160</v>
      </c>
      <c r="D76" s="127" t="s">
        <v>632</v>
      </c>
      <c r="E76" s="128" t="s">
        <v>633</v>
      </c>
      <c r="F76" s="128" t="s">
        <v>633</v>
      </c>
    </row>
    <row r="77" spans="1:6" ht="12.95" customHeight="1">
      <c r="B77" s="125">
        <v>161</v>
      </c>
      <c r="D77" s="127" t="s">
        <v>634</v>
      </c>
      <c r="E77" s="128" t="s">
        <v>635</v>
      </c>
      <c r="F77" s="128" t="s">
        <v>635</v>
      </c>
    </row>
    <row r="78" spans="1:6" ht="15" customHeight="1">
      <c r="B78" s="125">
        <v>162</v>
      </c>
      <c r="D78" s="127" t="s">
        <v>636</v>
      </c>
      <c r="E78" s="143" t="s">
        <v>454</v>
      </c>
      <c r="F78" s="143" t="s">
        <v>454</v>
      </c>
    </row>
    <row r="79" spans="1:6" ht="15" customHeight="1">
      <c r="B79" s="125">
        <v>163</v>
      </c>
      <c r="D79" s="127" t="s">
        <v>637</v>
      </c>
      <c r="E79" s="143" t="s">
        <v>455</v>
      </c>
      <c r="F79" s="143" t="s">
        <v>455</v>
      </c>
    </row>
    <row r="80" spans="1:6" ht="15" customHeight="1">
      <c r="B80" s="125">
        <v>164</v>
      </c>
      <c r="D80" s="127" t="s">
        <v>638</v>
      </c>
      <c r="E80" s="143" t="s">
        <v>639</v>
      </c>
      <c r="F80" s="143" t="s">
        <v>639</v>
      </c>
    </row>
    <row r="81" spans="1:6" ht="15" customHeight="1">
      <c r="A81" s="133"/>
      <c r="B81" s="125">
        <v>165</v>
      </c>
      <c r="C81" s="130" t="s">
        <v>544</v>
      </c>
      <c r="D81" s="128" t="s">
        <v>640</v>
      </c>
      <c r="E81" s="128" t="s">
        <v>641</v>
      </c>
      <c r="F81" s="128" t="s">
        <v>641</v>
      </c>
    </row>
    <row r="82" spans="1:6" ht="15" customHeight="1">
      <c r="A82" s="133"/>
      <c r="B82" s="125">
        <v>166</v>
      </c>
      <c r="C82" s="130" t="s">
        <v>544</v>
      </c>
      <c r="D82" s="128" t="s">
        <v>642</v>
      </c>
      <c r="E82" s="128" t="s">
        <v>643</v>
      </c>
      <c r="F82" s="128" t="s">
        <v>643</v>
      </c>
    </row>
    <row r="83" spans="1:6" ht="15" customHeight="1">
      <c r="A83" s="133"/>
      <c r="B83" s="125">
        <v>167</v>
      </c>
      <c r="C83" s="130" t="s">
        <v>544</v>
      </c>
      <c r="D83" s="128" t="s">
        <v>644</v>
      </c>
      <c r="E83" s="128" t="s">
        <v>645</v>
      </c>
      <c r="F83" s="128" t="s">
        <v>645</v>
      </c>
    </row>
    <row r="84" spans="1:6" ht="15" customHeight="1">
      <c r="A84" s="133"/>
      <c r="B84" s="125">
        <v>168</v>
      </c>
      <c r="C84" s="130" t="s">
        <v>544</v>
      </c>
      <c r="D84" s="128" t="s">
        <v>646</v>
      </c>
      <c r="E84" s="128" t="s">
        <v>647</v>
      </c>
      <c r="F84" s="128" t="s">
        <v>647</v>
      </c>
    </row>
    <row r="85" spans="1:6" ht="15" customHeight="1">
      <c r="B85" s="125">
        <v>169</v>
      </c>
      <c r="D85" s="127" t="s">
        <v>648</v>
      </c>
      <c r="E85" s="127" t="s">
        <v>649</v>
      </c>
      <c r="F85" s="127" t="s">
        <v>649</v>
      </c>
    </row>
    <row r="86" spans="1:6" ht="15" customHeight="1">
      <c r="B86" s="125">
        <v>170</v>
      </c>
      <c r="D86" s="127" t="s">
        <v>650</v>
      </c>
      <c r="E86" s="127" t="s">
        <v>651</v>
      </c>
      <c r="F86" s="127" t="s">
        <v>651</v>
      </c>
    </row>
    <row r="87" spans="1:6" ht="15" customHeight="1">
      <c r="B87" s="125">
        <v>171</v>
      </c>
      <c r="D87" s="127" t="s">
        <v>652</v>
      </c>
      <c r="E87" s="127" t="s">
        <v>653</v>
      </c>
      <c r="F87" s="127" t="s">
        <v>653</v>
      </c>
    </row>
    <row r="88" spans="1:6" ht="15" customHeight="1">
      <c r="B88" s="125">
        <v>172</v>
      </c>
      <c r="D88" s="127" t="s">
        <v>654</v>
      </c>
      <c r="E88" s="127" t="s">
        <v>633</v>
      </c>
      <c r="F88" s="127" t="s">
        <v>633</v>
      </c>
    </row>
    <row r="89" spans="1:6" ht="15" customHeight="1">
      <c r="B89" s="125">
        <v>173</v>
      </c>
      <c r="D89" s="127" t="s">
        <v>655</v>
      </c>
      <c r="E89" s="127" t="s">
        <v>656</v>
      </c>
      <c r="F89" s="127" t="s">
        <v>656</v>
      </c>
    </row>
    <row r="90" spans="1:6" ht="15" customHeight="1">
      <c r="B90" s="125">
        <v>174</v>
      </c>
      <c r="D90" s="127" t="s">
        <v>657</v>
      </c>
      <c r="E90" s="127" t="s">
        <v>419</v>
      </c>
      <c r="F90" s="127" t="s">
        <v>419</v>
      </c>
    </row>
    <row r="91" spans="1:6" ht="15" customHeight="1">
      <c r="B91" s="125">
        <v>175</v>
      </c>
      <c r="D91" s="127" t="s">
        <v>658</v>
      </c>
      <c r="E91" s="143" t="s">
        <v>420</v>
      </c>
      <c r="F91" s="143" t="s">
        <v>420</v>
      </c>
    </row>
    <row r="92" spans="1:6" ht="30" customHeight="1">
      <c r="B92" s="125">
        <v>176</v>
      </c>
      <c r="D92" s="127" t="s">
        <v>659</v>
      </c>
      <c r="E92" s="143" t="s">
        <v>660</v>
      </c>
      <c r="F92" s="127" t="s">
        <v>661</v>
      </c>
    </row>
    <row r="93" spans="1:6" ht="15" customHeight="1">
      <c r="B93" s="125">
        <v>177</v>
      </c>
      <c r="D93" s="127" t="s">
        <v>662</v>
      </c>
      <c r="E93" s="127" t="s">
        <v>663</v>
      </c>
      <c r="F93" s="127" t="s">
        <v>663</v>
      </c>
    </row>
    <row r="94" spans="1:6" ht="15" customHeight="1">
      <c r="B94" s="125">
        <v>178</v>
      </c>
      <c r="D94" s="127" t="s">
        <v>664</v>
      </c>
      <c r="E94" s="127" t="s">
        <v>665</v>
      </c>
      <c r="F94" s="127" t="s">
        <v>665</v>
      </c>
    </row>
    <row r="95" spans="1:6" ht="15" customHeight="1">
      <c r="B95" s="125">
        <v>179</v>
      </c>
      <c r="D95" s="127" t="s">
        <v>666</v>
      </c>
      <c r="E95" s="127" t="s">
        <v>667</v>
      </c>
      <c r="F95" s="127" t="s">
        <v>667</v>
      </c>
    </row>
    <row r="96" spans="1:6" ht="15" customHeight="1">
      <c r="B96" s="125">
        <v>180</v>
      </c>
      <c r="D96" s="127" t="s">
        <v>668</v>
      </c>
      <c r="E96" s="127" t="s">
        <v>669</v>
      </c>
      <c r="F96" s="127" t="s">
        <v>669</v>
      </c>
    </row>
    <row r="97" spans="2:6" ht="15" customHeight="1">
      <c r="B97" s="125">
        <v>181</v>
      </c>
      <c r="C97" s="126" t="s">
        <v>548</v>
      </c>
      <c r="D97" s="127" t="s">
        <v>670</v>
      </c>
      <c r="E97" s="127" t="s">
        <v>392</v>
      </c>
      <c r="F97" s="127" t="s">
        <v>392</v>
      </c>
    </row>
    <row r="98" spans="2:6" ht="45" customHeight="1">
      <c r="B98" s="125">
        <v>182</v>
      </c>
      <c r="C98" s="126" t="s">
        <v>548</v>
      </c>
      <c r="D98" s="127" t="s">
        <v>671</v>
      </c>
      <c r="E98" s="127" t="s">
        <v>393</v>
      </c>
      <c r="F98" s="127" t="s">
        <v>393</v>
      </c>
    </row>
    <row r="99" spans="2:6" ht="15" customHeight="1">
      <c r="B99" s="125">
        <v>183</v>
      </c>
      <c r="D99" s="127" t="s">
        <v>672</v>
      </c>
      <c r="E99" s="127" t="s">
        <v>673</v>
      </c>
      <c r="F99" s="127" t="s">
        <v>673</v>
      </c>
    </row>
    <row r="100" spans="2:6" ht="15" customHeight="1">
      <c r="B100" s="125">
        <v>184</v>
      </c>
      <c r="D100" s="127" t="s">
        <v>674</v>
      </c>
      <c r="E100" s="127" t="s">
        <v>675</v>
      </c>
      <c r="F100" s="127" t="s">
        <v>675</v>
      </c>
    </row>
    <row r="101" spans="2:6" ht="15" customHeight="1">
      <c r="B101" s="125">
        <v>185</v>
      </c>
      <c r="D101" s="127" t="s">
        <v>676</v>
      </c>
      <c r="E101" s="127" t="s">
        <v>677</v>
      </c>
      <c r="F101" s="127" t="s">
        <v>677</v>
      </c>
    </row>
    <row r="102" spans="2:6" ht="26.1" customHeight="1">
      <c r="B102" s="125">
        <v>186</v>
      </c>
      <c r="D102" s="127" t="s">
        <v>678</v>
      </c>
      <c r="E102" s="127" t="s">
        <v>679</v>
      </c>
      <c r="F102" s="127" t="s">
        <v>679</v>
      </c>
    </row>
    <row r="103" spans="2:6" ht="26.1" customHeight="1">
      <c r="B103" s="125">
        <v>187</v>
      </c>
      <c r="D103" s="127" t="s">
        <v>680</v>
      </c>
      <c r="E103" s="127" t="s">
        <v>681</v>
      </c>
      <c r="F103" s="127" t="s">
        <v>681</v>
      </c>
    </row>
    <row r="104" spans="2:6" ht="15" customHeight="1">
      <c r="B104" s="125">
        <v>188</v>
      </c>
      <c r="D104" s="127" t="s">
        <v>682</v>
      </c>
      <c r="E104" s="127" t="s">
        <v>683</v>
      </c>
      <c r="F104" s="127" t="s">
        <v>683</v>
      </c>
    </row>
    <row r="105" spans="2:6" ht="15" customHeight="1">
      <c r="B105" s="125">
        <v>189</v>
      </c>
      <c r="D105" s="127" t="s">
        <v>684</v>
      </c>
      <c r="E105" s="127" t="s">
        <v>87</v>
      </c>
      <c r="F105" s="127" t="s">
        <v>87</v>
      </c>
    </row>
    <row r="106" spans="2:6" ht="15" customHeight="1">
      <c r="B106" s="125">
        <v>190</v>
      </c>
      <c r="C106" s="126" t="s">
        <v>548</v>
      </c>
      <c r="D106" s="127" t="s">
        <v>685</v>
      </c>
      <c r="E106" s="127" t="s">
        <v>387</v>
      </c>
      <c r="F106" s="127" t="s">
        <v>387</v>
      </c>
    </row>
    <row r="107" spans="2:6" ht="15" customHeight="1">
      <c r="B107" s="125">
        <v>191</v>
      </c>
      <c r="D107" s="127" t="s">
        <v>686</v>
      </c>
      <c r="E107" s="127" t="s">
        <v>687</v>
      </c>
      <c r="F107" s="127" t="s">
        <v>687</v>
      </c>
    </row>
    <row r="108" spans="2:6" ht="15" customHeight="1">
      <c r="B108" s="125">
        <v>192</v>
      </c>
      <c r="D108" s="127" t="s">
        <v>688</v>
      </c>
      <c r="E108" s="127" t="s">
        <v>689</v>
      </c>
      <c r="F108" s="127" t="s">
        <v>689</v>
      </c>
    </row>
    <row r="109" spans="2:6" ht="15" customHeight="1">
      <c r="B109" s="125">
        <v>193</v>
      </c>
      <c r="D109" s="127" t="s">
        <v>690</v>
      </c>
      <c r="E109" s="127" t="s">
        <v>691</v>
      </c>
      <c r="F109" s="127" t="s">
        <v>691</v>
      </c>
    </row>
    <row r="110" spans="2:6" ht="15" customHeight="1">
      <c r="B110" s="125">
        <v>194</v>
      </c>
      <c r="D110" s="127" t="s">
        <v>692</v>
      </c>
      <c r="E110" s="127" t="s">
        <v>693</v>
      </c>
      <c r="F110" s="127" t="s">
        <v>693</v>
      </c>
    </row>
    <row r="111" spans="2:6" ht="15" customHeight="1">
      <c r="B111" s="125">
        <v>195</v>
      </c>
      <c r="D111" s="127" t="s">
        <v>694</v>
      </c>
      <c r="E111" s="127" t="s">
        <v>695</v>
      </c>
      <c r="F111" s="127" t="s">
        <v>695</v>
      </c>
    </row>
    <row r="112" spans="2:6" ht="15" customHeight="1">
      <c r="B112" s="125">
        <v>196</v>
      </c>
      <c r="D112" s="127" t="s">
        <v>696</v>
      </c>
      <c r="E112" s="127" t="s">
        <v>697</v>
      </c>
      <c r="F112" s="127" t="s">
        <v>697</v>
      </c>
    </row>
    <row r="113" spans="2:6" ht="26.1" customHeight="1">
      <c r="B113" s="125">
        <v>197</v>
      </c>
      <c r="D113" s="127" t="s">
        <v>698</v>
      </c>
      <c r="E113" s="127" t="s">
        <v>699</v>
      </c>
      <c r="F113" s="127" t="s">
        <v>699</v>
      </c>
    </row>
    <row r="114" spans="2:6" ht="27.95" customHeight="1">
      <c r="B114" s="125">
        <v>198</v>
      </c>
      <c r="D114" s="127" t="s">
        <v>700</v>
      </c>
      <c r="E114" s="127" t="s">
        <v>701</v>
      </c>
      <c r="F114" s="127" t="s">
        <v>701</v>
      </c>
    </row>
    <row r="115" spans="2:6" ht="15" customHeight="1">
      <c r="B115" s="125">
        <v>199</v>
      </c>
      <c r="D115" s="127" t="s">
        <v>702</v>
      </c>
      <c r="E115" s="127" t="s">
        <v>703</v>
      </c>
      <c r="F115" s="127" t="s">
        <v>703</v>
      </c>
    </row>
    <row r="116" spans="2:6" ht="12.95" customHeight="1">
      <c r="B116" s="125">
        <v>200</v>
      </c>
      <c r="D116" s="127" t="s">
        <v>704</v>
      </c>
      <c r="E116" s="127" t="s">
        <v>705</v>
      </c>
      <c r="F116" s="127" t="s">
        <v>705</v>
      </c>
    </row>
    <row r="117" spans="2:6" ht="15" customHeight="1">
      <c r="B117" s="125">
        <v>201</v>
      </c>
      <c r="D117" s="127" t="s">
        <v>706</v>
      </c>
      <c r="E117" s="127" t="s">
        <v>707</v>
      </c>
      <c r="F117" s="127" t="s">
        <v>707</v>
      </c>
    </row>
    <row r="118" spans="2:6" ht="15" customHeight="1">
      <c r="B118" s="125">
        <v>202</v>
      </c>
      <c r="D118" s="127" t="s">
        <v>708</v>
      </c>
      <c r="E118" s="127" t="s">
        <v>709</v>
      </c>
      <c r="F118" s="127" t="s">
        <v>709</v>
      </c>
    </row>
    <row r="119" spans="2:6" ht="15" customHeight="1">
      <c r="B119" s="125">
        <v>203</v>
      </c>
      <c r="D119" s="127" t="s">
        <v>710</v>
      </c>
      <c r="E119" s="127" t="s">
        <v>711</v>
      </c>
      <c r="F119" s="127" t="s">
        <v>711</v>
      </c>
    </row>
    <row r="120" spans="2:6" ht="15" customHeight="1">
      <c r="B120" s="125">
        <v>204</v>
      </c>
      <c r="D120" s="127" t="s">
        <v>712</v>
      </c>
      <c r="E120" s="127" t="s">
        <v>19</v>
      </c>
      <c r="F120" s="127" t="s">
        <v>19</v>
      </c>
    </row>
    <row r="121" spans="2:6" ht="15" customHeight="1">
      <c r="B121" s="125">
        <v>205</v>
      </c>
      <c r="D121" s="127" t="s">
        <v>713</v>
      </c>
      <c r="E121" s="127" t="s">
        <v>714</v>
      </c>
      <c r="F121" s="127" t="s">
        <v>714</v>
      </c>
    </row>
    <row r="122" spans="2:6" ht="12.95" customHeight="1">
      <c r="B122" s="125">
        <v>206</v>
      </c>
      <c r="D122" s="127" t="s">
        <v>715</v>
      </c>
      <c r="E122" s="127" t="s">
        <v>716</v>
      </c>
      <c r="F122" s="127" t="s">
        <v>716</v>
      </c>
    </row>
    <row r="123" spans="2:6" ht="12.95" customHeight="1">
      <c r="B123" s="125">
        <v>207</v>
      </c>
      <c r="D123" s="127" t="s">
        <v>717</v>
      </c>
      <c r="E123" s="127" t="s">
        <v>718</v>
      </c>
      <c r="F123" s="127" t="s">
        <v>718</v>
      </c>
    </row>
    <row r="124" spans="2:6" ht="26.1" customHeight="1">
      <c r="B124" s="125">
        <v>208</v>
      </c>
      <c r="D124" s="127" t="s">
        <v>719</v>
      </c>
      <c r="E124" s="127" t="s">
        <v>720</v>
      </c>
      <c r="F124" s="127" t="s">
        <v>720</v>
      </c>
    </row>
    <row r="125" spans="2:6" ht="26.1" customHeight="1">
      <c r="B125" s="125">
        <v>209</v>
      </c>
      <c r="D125" s="127" t="s">
        <v>721</v>
      </c>
      <c r="E125" s="127" t="s">
        <v>722</v>
      </c>
      <c r="F125" s="127" t="s">
        <v>722</v>
      </c>
    </row>
    <row r="126" spans="2:6" ht="15" customHeight="1">
      <c r="B126" s="125">
        <v>210</v>
      </c>
      <c r="D126" s="127" t="s">
        <v>723</v>
      </c>
      <c r="E126" s="127" t="s">
        <v>724</v>
      </c>
      <c r="F126" s="127" t="s">
        <v>724</v>
      </c>
    </row>
    <row r="127" spans="2:6" ht="12.95" customHeight="1">
      <c r="B127" s="125">
        <v>211</v>
      </c>
      <c r="D127" s="127" t="s">
        <v>17</v>
      </c>
      <c r="E127" s="127" t="s">
        <v>17</v>
      </c>
      <c r="F127" s="127" t="s">
        <v>17</v>
      </c>
    </row>
    <row r="128" spans="2:6" ht="15" customHeight="1">
      <c r="B128" s="125">
        <v>212</v>
      </c>
      <c r="D128" s="127" t="s">
        <v>725</v>
      </c>
      <c r="E128" s="127" t="s">
        <v>726</v>
      </c>
      <c r="F128" s="127" t="s">
        <v>726</v>
      </c>
    </row>
    <row r="129" spans="2:6" ht="15" customHeight="1">
      <c r="B129" s="125">
        <v>213</v>
      </c>
      <c r="D129" s="127" t="s">
        <v>727</v>
      </c>
      <c r="E129" s="127" t="s">
        <v>728</v>
      </c>
      <c r="F129" s="127" t="s">
        <v>728</v>
      </c>
    </row>
    <row r="130" spans="2:6" ht="15" customHeight="1">
      <c r="B130" s="125">
        <v>214</v>
      </c>
      <c r="D130" s="127" t="s">
        <v>729</v>
      </c>
      <c r="E130" s="127" t="s">
        <v>730</v>
      </c>
      <c r="F130" s="127" t="s">
        <v>730</v>
      </c>
    </row>
    <row r="131" spans="2:6" ht="15" customHeight="1">
      <c r="B131" s="125">
        <v>215</v>
      </c>
      <c r="D131" s="127" t="s">
        <v>731</v>
      </c>
      <c r="E131" s="127" t="s">
        <v>732</v>
      </c>
      <c r="F131" s="127" t="s">
        <v>732</v>
      </c>
    </row>
    <row r="132" spans="2:6" ht="15" customHeight="1">
      <c r="B132" s="125">
        <v>216</v>
      </c>
      <c r="D132" s="127" t="s">
        <v>733</v>
      </c>
      <c r="E132" s="127" t="s">
        <v>734</v>
      </c>
      <c r="F132" s="127" t="s">
        <v>734</v>
      </c>
    </row>
    <row r="133" spans="2:6" ht="15" customHeight="1">
      <c r="B133" s="125">
        <v>217</v>
      </c>
      <c r="D133" s="127" t="s">
        <v>735</v>
      </c>
      <c r="E133" s="127" t="s">
        <v>736</v>
      </c>
      <c r="F133" s="127" t="s">
        <v>736</v>
      </c>
    </row>
    <row r="134" spans="2:6" ht="15" customHeight="1">
      <c r="B134" s="125">
        <v>218</v>
      </c>
      <c r="D134" s="127" t="s">
        <v>737</v>
      </c>
      <c r="E134" s="127" t="s">
        <v>738</v>
      </c>
      <c r="F134" s="127" t="s">
        <v>738</v>
      </c>
    </row>
    <row r="135" spans="2:6" ht="15" customHeight="1">
      <c r="B135" s="125">
        <v>219</v>
      </c>
      <c r="D135" s="127" t="s">
        <v>739</v>
      </c>
      <c r="E135" s="127" t="s">
        <v>740</v>
      </c>
      <c r="F135" s="127" t="s">
        <v>740</v>
      </c>
    </row>
    <row r="136" spans="2:6" ht="15" customHeight="1">
      <c r="B136" s="125">
        <v>220</v>
      </c>
      <c r="D136" s="127" t="s">
        <v>741</v>
      </c>
      <c r="E136" s="127" t="s">
        <v>742</v>
      </c>
      <c r="F136" s="127" t="s">
        <v>742</v>
      </c>
    </row>
    <row r="137" spans="2:6" ht="15" customHeight="1">
      <c r="B137" s="125">
        <v>221</v>
      </c>
      <c r="D137" s="127" t="s">
        <v>743</v>
      </c>
      <c r="E137" s="127" t="s">
        <v>744</v>
      </c>
      <c r="F137" s="127" t="s">
        <v>744</v>
      </c>
    </row>
    <row r="138" spans="2:6" ht="15" customHeight="1">
      <c r="B138" s="125">
        <v>222</v>
      </c>
      <c r="D138" s="127" t="s">
        <v>745</v>
      </c>
      <c r="E138" s="127" t="s">
        <v>746</v>
      </c>
      <c r="F138" s="127" t="s">
        <v>746</v>
      </c>
    </row>
    <row r="139" spans="2:6" ht="15" customHeight="1">
      <c r="B139" s="125">
        <v>223</v>
      </c>
      <c r="D139" s="127" t="s">
        <v>747</v>
      </c>
      <c r="E139" s="127" t="s">
        <v>748</v>
      </c>
      <c r="F139" s="127" t="s">
        <v>748</v>
      </c>
    </row>
    <row r="140" spans="2:6" ht="15" customHeight="1">
      <c r="B140" s="125">
        <v>224</v>
      </c>
      <c r="C140" s="126" t="s">
        <v>597</v>
      </c>
      <c r="D140" s="127" t="s">
        <v>749</v>
      </c>
      <c r="E140" s="127" t="s">
        <v>750</v>
      </c>
      <c r="F140" s="127" t="s">
        <v>750</v>
      </c>
    </row>
    <row r="141" spans="2:6" ht="15" customHeight="1">
      <c r="B141" s="125">
        <v>225</v>
      </c>
      <c r="D141" s="127" t="s">
        <v>751</v>
      </c>
      <c r="E141" s="127" t="s">
        <v>752</v>
      </c>
      <c r="F141" s="127" t="s">
        <v>752</v>
      </c>
    </row>
    <row r="142" spans="2:6" ht="15" customHeight="1">
      <c r="B142" s="125">
        <v>226</v>
      </c>
      <c r="D142" s="127" t="s">
        <v>753</v>
      </c>
      <c r="E142" s="127" t="s">
        <v>754</v>
      </c>
      <c r="F142" s="127" t="s">
        <v>754</v>
      </c>
    </row>
    <row r="143" spans="2:6" ht="15" customHeight="1">
      <c r="B143" s="125">
        <v>227</v>
      </c>
      <c r="D143" s="127" t="s">
        <v>755</v>
      </c>
      <c r="E143" s="127" t="s">
        <v>756</v>
      </c>
      <c r="F143" s="127" t="s">
        <v>756</v>
      </c>
    </row>
    <row r="144" spans="2:6" ht="15" customHeight="1">
      <c r="B144" s="125">
        <v>228</v>
      </c>
      <c r="D144" s="127" t="s">
        <v>757</v>
      </c>
      <c r="E144" s="127" t="s">
        <v>758</v>
      </c>
      <c r="F144" s="127" t="s">
        <v>758</v>
      </c>
    </row>
    <row r="145" spans="2:6" ht="15" customHeight="1">
      <c r="B145" s="125">
        <v>229</v>
      </c>
      <c r="D145" s="127" t="s">
        <v>759</v>
      </c>
      <c r="E145" s="127" t="s">
        <v>760</v>
      </c>
      <c r="F145" s="127" t="s">
        <v>760</v>
      </c>
    </row>
    <row r="146" spans="2:6" ht="15" customHeight="1">
      <c r="B146" s="125">
        <v>230</v>
      </c>
      <c r="D146" s="127" t="s">
        <v>761</v>
      </c>
      <c r="E146" s="127" t="s">
        <v>762</v>
      </c>
      <c r="F146" s="127" t="s">
        <v>762</v>
      </c>
    </row>
    <row r="147" spans="2:6" ht="15" customHeight="1">
      <c r="B147" s="125">
        <v>231</v>
      </c>
      <c r="D147" s="127" t="s">
        <v>763</v>
      </c>
      <c r="E147" s="127" t="s">
        <v>764</v>
      </c>
      <c r="F147" s="127" t="s">
        <v>764</v>
      </c>
    </row>
    <row r="148" spans="2:6" ht="15" customHeight="1">
      <c r="B148" s="125">
        <v>232</v>
      </c>
      <c r="D148" s="127" t="s">
        <v>495</v>
      </c>
      <c r="E148" s="127" t="s">
        <v>765</v>
      </c>
      <c r="F148" s="127" t="s">
        <v>765</v>
      </c>
    </row>
    <row r="149" spans="2:6" ht="15" customHeight="1">
      <c r="B149" s="125">
        <v>233</v>
      </c>
      <c r="D149" s="127" t="s">
        <v>766</v>
      </c>
      <c r="E149" s="127" t="s">
        <v>767</v>
      </c>
      <c r="F149" s="127" t="s">
        <v>767</v>
      </c>
    </row>
    <row r="150" spans="2:6" ht="15" customHeight="1">
      <c r="B150" s="125">
        <v>234</v>
      </c>
      <c r="D150" s="127" t="s">
        <v>768</v>
      </c>
      <c r="E150" s="127" t="s">
        <v>769</v>
      </c>
      <c r="F150" s="127" t="s">
        <v>769</v>
      </c>
    </row>
    <row r="151" spans="2:6" ht="15" customHeight="1">
      <c r="B151" s="125">
        <v>235</v>
      </c>
      <c r="D151" s="127" t="s">
        <v>770</v>
      </c>
      <c r="E151" s="127" t="s">
        <v>771</v>
      </c>
      <c r="F151" s="127" t="s">
        <v>771</v>
      </c>
    </row>
    <row r="152" spans="2:6" ht="15" customHeight="1">
      <c r="B152" s="125">
        <v>236</v>
      </c>
      <c r="D152" s="127" t="s">
        <v>772</v>
      </c>
      <c r="E152" s="127" t="s">
        <v>773</v>
      </c>
      <c r="F152" s="127" t="s">
        <v>773</v>
      </c>
    </row>
    <row r="153" spans="2:6" ht="15" customHeight="1">
      <c r="B153" s="125">
        <v>237</v>
      </c>
      <c r="D153" s="127" t="s">
        <v>774</v>
      </c>
      <c r="E153" s="127" t="s">
        <v>775</v>
      </c>
      <c r="F153" s="127" t="s">
        <v>775</v>
      </c>
    </row>
    <row r="154" spans="2:6" ht="15" customHeight="1">
      <c r="B154" s="125">
        <v>238</v>
      </c>
      <c r="D154" s="127" t="s">
        <v>776</v>
      </c>
      <c r="E154" s="127" t="s">
        <v>20</v>
      </c>
      <c r="F154" s="127" t="s">
        <v>20</v>
      </c>
    </row>
    <row r="155" spans="2:6" ht="15" customHeight="1">
      <c r="B155" s="125">
        <v>239</v>
      </c>
      <c r="D155" s="127" t="s">
        <v>777</v>
      </c>
      <c r="E155" s="127" t="s">
        <v>778</v>
      </c>
      <c r="F155" s="127" t="s">
        <v>778</v>
      </c>
    </row>
    <row r="156" spans="2:6" ht="15" customHeight="1">
      <c r="B156" s="125">
        <v>240</v>
      </c>
      <c r="D156" s="127" t="s">
        <v>779</v>
      </c>
      <c r="E156" s="127" t="s">
        <v>780</v>
      </c>
      <c r="F156" s="127" t="s">
        <v>780</v>
      </c>
    </row>
    <row r="157" spans="2:6" ht="12.95" customHeight="1">
      <c r="B157" s="125">
        <v>241</v>
      </c>
      <c r="D157" s="127" t="s">
        <v>781</v>
      </c>
      <c r="E157" s="127" t="s">
        <v>782</v>
      </c>
      <c r="F157" s="127" t="s">
        <v>782</v>
      </c>
    </row>
    <row r="158" spans="2:6" ht="15" customHeight="1">
      <c r="B158" s="125">
        <v>242</v>
      </c>
      <c r="D158" s="127" t="s">
        <v>783</v>
      </c>
      <c r="E158" s="127" t="s">
        <v>784</v>
      </c>
      <c r="F158" s="127" t="s">
        <v>784</v>
      </c>
    </row>
    <row r="159" spans="2:6" ht="15" customHeight="1">
      <c r="B159" s="125">
        <v>243</v>
      </c>
      <c r="D159" s="127" t="s">
        <v>785</v>
      </c>
      <c r="E159" s="127" t="s">
        <v>786</v>
      </c>
      <c r="F159" s="127" t="s">
        <v>786</v>
      </c>
    </row>
    <row r="160" spans="2:6" ht="15" customHeight="1">
      <c r="B160" s="125">
        <v>244</v>
      </c>
      <c r="D160" s="127" t="s">
        <v>787</v>
      </c>
      <c r="E160" s="127" t="s">
        <v>788</v>
      </c>
      <c r="F160" s="127" t="s">
        <v>788</v>
      </c>
    </row>
    <row r="161" spans="2:6" ht="15" customHeight="1">
      <c r="B161" s="125">
        <v>245</v>
      </c>
      <c r="D161" s="127" t="s">
        <v>789</v>
      </c>
      <c r="E161" s="127" t="s">
        <v>790</v>
      </c>
      <c r="F161" s="127" t="s">
        <v>790</v>
      </c>
    </row>
    <row r="162" spans="2:6" ht="12.95" customHeight="1">
      <c r="B162" s="125">
        <v>246</v>
      </c>
      <c r="D162" s="127" t="s">
        <v>791</v>
      </c>
      <c r="E162" s="127" t="s">
        <v>792</v>
      </c>
      <c r="F162" s="127" t="s">
        <v>792</v>
      </c>
    </row>
    <row r="163" spans="2:6" ht="15" customHeight="1">
      <c r="B163" s="125">
        <v>247</v>
      </c>
      <c r="D163" s="127" t="s">
        <v>793</v>
      </c>
      <c r="E163" s="127" t="s">
        <v>794</v>
      </c>
      <c r="F163" s="127" t="s">
        <v>794</v>
      </c>
    </row>
    <row r="164" spans="2:6" ht="15" customHeight="1">
      <c r="B164" s="125">
        <v>248</v>
      </c>
      <c r="D164" s="127" t="s">
        <v>795</v>
      </c>
      <c r="E164" s="127" t="s">
        <v>796</v>
      </c>
      <c r="F164" s="127" t="s">
        <v>796</v>
      </c>
    </row>
    <row r="165" spans="2:6" ht="15" customHeight="1">
      <c r="B165" s="125">
        <v>249</v>
      </c>
      <c r="D165" s="127" t="s">
        <v>797</v>
      </c>
      <c r="E165" s="127" t="s">
        <v>798</v>
      </c>
      <c r="F165" s="127" t="s">
        <v>798</v>
      </c>
    </row>
    <row r="166" spans="2:6" ht="15" customHeight="1">
      <c r="B166" s="125">
        <v>250</v>
      </c>
      <c r="D166" s="127" t="s">
        <v>799</v>
      </c>
      <c r="E166" s="127" t="s">
        <v>800</v>
      </c>
      <c r="F166" s="127" t="s">
        <v>800</v>
      </c>
    </row>
    <row r="167" spans="2:6" ht="15" customHeight="1">
      <c r="B167" s="125">
        <v>251</v>
      </c>
      <c r="D167" s="127" t="s">
        <v>801</v>
      </c>
      <c r="E167" s="143" t="s">
        <v>414</v>
      </c>
      <c r="F167" s="143" t="s">
        <v>414</v>
      </c>
    </row>
    <row r="168" spans="2:6" ht="15" customHeight="1">
      <c r="B168" s="125">
        <v>252</v>
      </c>
      <c r="D168" s="127" t="s">
        <v>802</v>
      </c>
      <c r="E168" s="127" t="s">
        <v>803</v>
      </c>
      <c r="F168" s="127" t="s">
        <v>803</v>
      </c>
    </row>
    <row r="169" spans="2:6" ht="15" customHeight="1">
      <c r="B169" s="125">
        <v>253</v>
      </c>
      <c r="D169" s="127" t="s">
        <v>804</v>
      </c>
      <c r="E169" s="127" t="s">
        <v>805</v>
      </c>
      <c r="F169" s="127" t="s">
        <v>805</v>
      </c>
    </row>
    <row r="170" spans="2:6" ht="15" customHeight="1">
      <c r="B170" s="125">
        <v>254</v>
      </c>
      <c r="D170" s="127" t="s">
        <v>806</v>
      </c>
      <c r="E170" s="127" t="s">
        <v>807</v>
      </c>
      <c r="F170" s="127" t="s">
        <v>807</v>
      </c>
    </row>
    <row r="171" spans="2:6" ht="15" customHeight="1">
      <c r="B171" s="125">
        <v>255</v>
      </c>
      <c r="C171" s="126" t="s">
        <v>597</v>
      </c>
      <c r="D171" s="127" t="s">
        <v>808</v>
      </c>
      <c r="E171" s="127" t="s">
        <v>809</v>
      </c>
      <c r="F171" s="127" t="s">
        <v>809</v>
      </c>
    </row>
    <row r="172" spans="2:6" ht="15" customHeight="1">
      <c r="B172" s="125">
        <v>256</v>
      </c>
      <c r="D172" s="127" t="s">
        <v>810</v>
      </c>
      <c r="E172" s="127" t="s">
        <v>811</v>
      </c>
      <c r="F172" s="127" t="s">
        <v>811</v>
      </c>
    </row>
    <row r="173" spans="2:6" ht="15" customHeight="1">
      <c r="B173" s="125">
        <v>257</v>
      </c>
      <c r="D173" s="127" t="s">
        <v>812</v>
      </c>
      <c r="E173" s="127" t="s">
        <v>813</v>
      </c>
      <c r="F173" s="127" t="s">
        <v>813</v>
      </c>
    </row>
    <row r="174" spans="2:6" ht="12.95" customHeight="1">
      <c r="B174" s="125">
        <v>258</v>
      </c>
      <c r="D174" s="127" t="s">
        <v>814</v>
      </c>
      <c r="E174" s="127" t="s">
        <v>815</v>
      </c>
      <c r="F174" s="127" t="s">
        <v>815</v>
      </c>
    </row>
    <row r="175" spans="2:6" ht="15" customHeight="1">
      <c r="B175" s="125">
        <v>259</v>
      </c>
      <c r="D175" s="127" t="s">
        <v>816</v>
      </c>
      <c r="E175" s="127" t="s">
        <v>817</v>
      </c>
      <c r="F175" s="127" t="s">
        <v>817</v>
      </c>
    </row>
    <row r="176" spans="2:6" ht="15" customHeight="1">
      <c r="B176" s="125">
        <v>260</v>
      </c>
      <c r="D176" s="127" t="s">
        <v>818</v>
      </c>
      <c r="E176" s="127" t="s">
        <v>451</v>
      </c>
      <c r="F176" s="127" t="s">
        <v>451</v>
      </c>
    </row>
    <row r="177" spans="2:6" ht="15" customHeight="1">
      <c r="B177" s="125">
        <v>261</v>
      </c>
      <c r="D177" s="127" t="s">
        <v>819</v>
      </c>
      <c r="E177" s="127" t="s">
        <v>417</v>
      </c>
      <c r="F177" s="127" t="s">
        <v>417</v>
      </c>
    </row>
    <row r="178" spans="2:6" ht="26.1" customHeight="1">
      <c r="B178" s="125">
        <v>262</v>
      </c>
      <c r="D178" s="127" t="s">
        <v>820</v>
      </c>
      <c r="E178" s="143" t="s">
        <v>821</v>
      </c>
      <c r="F178" s="143" t="s">
        <v>821</v>
      </c>
    </row>
    <row r="179" spans="2:6" ht="15" customHeight="1">
      <c r="B179" s="125">
        <v>263</v>
      </c>
      <c r="D179" s="127" t="s">
        <v>822</v>
      </c>
      <c r="E179" s="143" t="s">
        <v>418</v>
      </c>
      <c r="F179" s="143" t="s">
        <v>418</v>
      </c>
    </row>
    <row r="180" spans="2:6" ht="12.95" customHeight="1">
      <c r="B180" s="125">
        <v>264</v>
      </c>
      <c r="D180" s="127" t="s">
        <v>823</v>
      </c>
      <c r="E180" s="127" t="s">
        <v>452</v>
      </c>
      <c r="F180" s="127" t="s">
        <v>452</v>
      </c>
    </row>
    <row r="181" spans="2:6" ht="15" customHeight="1">
      <c r="B181" s="125">
        <v>265</v>
      </c>
      <c r="D181" s="127" t="s">
        <v>824</v>
      </c>
      <c r="E181" s="127" t="s">
        <v>825</v>
      </c>
      <c r="F181" s="127" t="s">
        <v>825</v>
      </c>
    </row>
    <row r="182" spans="2:6" ht="15" customHeight="1">
      <c r="B182" s="125">
        <v>266</v>
      </c>
      <c r="D182" s="127" t="s">
        <v>826</v>
      </c>
      <c r="E182" s="127" t="s">
        <v>827</v>
      </c>
      <c r="F182" s="127" t="s">
        <v>827</v>
      </c>
    </row>
    <row r="183" spans="2:6" ht="15" customHeight="1">
      <c r="B183" s="125">
        <v>267</v>
      </c>
      <c r="D183" s="127" t="s">
        <v>828</v>
      </c>
      <c r="E183" s="127" t="s">
        <v>829</v>
      </c>
      <c r="F183" s="127" t="s">
        <v>829</v>
      </c>
    </row>
    <row r="184" spans="2:6" ht="15" customHeight="1">
      <c r="B184" s="125">
        <v>268</v>
      </c>
      <c r="D184" s="127" t="s">
        <v>830</v>
      </c>
      <c r="E184" s="127" t="s">
        <v>831</v>
      </c>
      <c r="F184" s="127" t="s">
        <v>831</v>
      </c>
    </row>
    <row r="185" spans="2:6" ht="15" customHeight="1">
      <c r="B185" s="125">
        <v>269</v>
      </c>
      <c r="D185" s="127" t="s">
        <v>832</v>
      </c>
      <c r="E185" s="127" t="s">
        <v>833</v>
      </c>
      <c r="F185" s="127" t="s">
        <v>833</v>
      </c>
    </row>
    <row r="186" spans="2:6" ht="15" customHeight="1">
      <c r="B186" s="125">
        <v>270</v>
      </c>
      <c r="D186" s="127" t="s">
        <v>834</v>
      </c>
      <c r="E186" s="127" t="s">
        <v>835</v>
      </c>
      <c r="F186" s="127" t="s">
        <v>835</v>
      </c>
    </row>
    <row r="187" spans="2:6" ht="26.1" customHeight="1">
      <c r="B187" s="125">
        <v>271</v>
      </c>
      <c r="D187" s="127" t="s">
        <v>836</v>
      </c>
      <c r="E187" s="127" t="s">
        <v>837</v>
      </c>
      <c r="F187" s="127" t="s">
        <v>837</v>
      </c>
    </row>
    <row r="188" spans="2:6" ht="45" customHeight="1">
      <c r="B188" s="125">
        <v>272</v>
      </c>
      <c r="D188" s="127" t="s">
        <v>838</v>
      </c>
      <c r="E188" s="127" t="s">
        <v>839</v>
      </c>
      <c r="F188" s="127" t="s">
        <v>839</v>
      </c>
    </row>
    <row r="189" spans="2:6" ht="15" customHeight="1">
      <c r="B189" s="125">
        <v>273</v>
      </c>
      <c r="D189" s="127" t="s">
        <v>840</v>
      </c>
      <c r="E189" s="127" t="s">
        <v>841</v>
      </c>
      <c r="F189" s="127" t="s">
        <v>841</v>
      </c>
    </row>
    <row r="190" spans="2:6" ht="15" customHeight="1">
      <c r="B190" s="125">
        <v>274</v>
      </c>
      <c r="D190" s="127" t="s">
        <v>842</v>
      </c>
      <c r="E190" s="127" t="s">
        <v>843</v>
      </c>
      <c r="F190" s="127" t="s">
        <v>843</v>
      </c>
    </row>
    <row r="191" spans="2:6" ht="15" customHeight="1">
      <c r="B191" s="125">
        <v>275</v>
      </c>
      <c r="D191" s="127" t="s">
        <v>844</v>
      </c>
      <c r="E191" s="127" t="s">
        <v>845</v>
      </c>
      <c r="F191" s="127" t="s">
        <v>845</v>
      </c>
    </row>
    <row r="192" spans="2:6" ht="15" customHeight="1">
      <c r="B192" s="125">
        <v>276</v>
      </c>
      <c r="D192" s="127" t="s">
        <v>846</v>
      </c>
      <c r="E192" s="127" t="s">
        <v>847</v>
      </c>
      <c r="F192" s="127" t="s">
        <v>847</v>
      </c>
    </row>
    <row r="193" spans="2:6" ht="15" customHeight="1">
      <c r="B193" s="125">
        <v>277</v>
      </c>
      <c r="D193" s="127" t="s">
        <v>848</v>
      </c>
      <c r="E193" s="127" t="s">
        <v>849</v>
      </c>
      <c r="F193" s="127" t="s">
        <v>849</v>
      </c>
    </row>
    <row r="194" spans="2:6" ht="15" customHeight="1">
      <c r="B194" s="125">
        <v>278</v>
      </c>
      <c r="D194" s="127" t="s">
        <v>850</v>
      </c>
      <c r="E194" s="127" t="s">
        <v>851</v>
      </c>
      <c r="F194" s="127" t="s">
        <v>851</v>
      </c>
    </row>
    <row r="195" spans="2:6" ht="15" customHeight="1">
      <c r="B195" s="125">
        <v>279</v>
      </c>
      <c r="D195" s="127" t="s">
        <v>852</v>
      </c>
      <c r="E195" s="127" t="s">
        <v>853</v>
      </c>
      <c r="F195" s="127" t="s">
        <v>853</v>
      </c>
    </row>
    <row r="196" spans="2:6" ht="15" customHeight="1">
      <c r="B196" s="125">
        <v>280</v>
      </c>
      <c r="D196" s="127" t="s">
        <v>854</v>
      </c>
      <c r="E196" s="127" t="s">
        <v>432</v>
      </c>
      <c r="F196" s="127" t="s">
        <v>432</v>
      </c>
    </row>
    <row r="197" spans="2:6" ht="15" customHeight="1">
      <c r="B197" s="125">
        <v>281</v>
      </c>
      <c r="D197" s="127" t="s">
        <v>855</v>
      </c>
      <c r="E197" s="127" t="s">
        <v>856</v>
      </c>
      <c r="F197" s="127" t="s">
        <v>856</v>
      </c>
    </row>
    <row r="198" spans="2:6" ht="15" customHeight="1">
      <c r="B198" s="125">
        <v>282</v>
      </c>
      <c r="D198" s="127" t="s">
        <v>857</v>
      </c>
      <c r="E198" s="127" t="s">
        <v>858</v>
      </c>
      <c r="F198" s="127" t="s">
        <v>858</v>
      </c>
    </row>
    <row r="199" spans="2:6" ht="15" customHeight="1">
      <c r="B199" s="125">
        <v>283</v>
      </c>
      <c r="D199" s="127" t="s">
        <v>859</v>
      </c>
      <c r="E199" s="127" t="s">
        <v>860</v>
      </c>
      <c r="F199" s="127" t="s">
        <v>860</v>
      </c>
    </row>
    <row r="200" spans="2:6" ht="30" customHeight="1">
      <c r="B200" s="125">
        <v>284</v>
      </c>
      <c r="D200" s="127" t="s">
        <v>861</v>
      </c>
      <c r="E200" s="143" t="s">
        <v>862</v>
      </c>
      <c r="F200" s="127" t="s">
        <v>862</v>
      </c>
    </row>
    <row r="201" spans="2:6" ht="15" customHeight="1">
      <c r="B201" s="125">
        <v>285</v>
      </c>
      <c r="D201" s="127" t="s">
        <v>863</v>
      </c>
      <c r="E201" s="127" t="s">
        <v>864</v>
      </c>
      <c r="F201" s="127" t="s">
        <v>864</v>
      </c>
    </row>
    <row r="202" spans="2:6" ht="15" customHeight="1">
      <c r="B202" s="125">
        <v>286</v>
      </c>
      <c r="D202" s="127" t="s">
        <v>865</v>
      </c>
      <c r="E202" s="127" t="s">
        <v>866</v>
      </c>
      <c r="F202" s="127" t="s">
        <v>866</v>
      </c>
    </row>
    <row r="203" spans="2:6" ht="15" customHeight="1">
      <c r="B203" s="125">
        <v>287</v>
      </c>
      <c r="D203" s="127" t="s">
        <v>867</v>
      </c>
      <c r="E203" s="127" t="s">
        <v>868</v>
      </c>
      <c r="F203" s="127" t="s">
        <v>868</v>
      </c>
    </row>
    <row r="204" spans="2:6" ht="15" customHeight="1">
      <c r="B204" s="125">
        <v>288</v>
      </c>
      <c r="D204" s="127" t="s">
        <v>869</v>
      </c>
      <c r="E204" s="127" t="s">
        <v>870</v>
      </c>
      <c r="F204" s="127" t="s">
        <v>870</v>
      </c>
    </row>
    <row r="205" spans="2:6" ht="15" customHeight="1">
      <c r="B205" s="125">
        <v>289</v>
      </c>
      <c r="D205" s="127" t="s">
        <v>871</v>
      </c>
      <c r="E205" s="127" t="s">
        <v>872</v>
      </c>
      <c r="F205" s="127" t="s">
        <v>872</v>
      </c>
    </row>
    <row r="206" spans="2:6" ht="15" customHeight="1">
      <c r="B206" s="125">
        <v>290</v>
      </c>
      <c r="D206" s="127" t="s">
        <v>873</v>
      </c>
      <c r="E206" s="127" t="s">
        <v>874</v>
      </c>
      <c r="F206" s="127" t="s">
        <v>874</v>
      </c>
    </row>
    <row r="207" spans="2:6" ht="15" customHeight="1">
      <c r="B207" s="125">
        <v>291</v>
      </c>
      <c r="D207" s="127" t="s">
        <v>875</v>
      </c>
      <c r="E207" s="127" t="s">
        <v>876</v>
      </c>
      <c r="F207" s="127" t="s">
        <v>876</v>
      </c>
    </row>
    <row r="208" spans="2:6" ht="12.95" customHeight="1">
      <c r="B208" s="125">
        <v>292</v>
      </c>
      <c r="D208" s="127" t="s">
        <v>877</v>
      </c>
      <c r="E208" s="127" t="s">
        <v>878</v>
      </c>
      <c r="F208" s="127" t="s">
        <v>878</v>
      </c>
    </row>
    <row r="209" spans="2:6" ht="15" customHeight="1">
      <c r="B209" s="125">
        <v>293</v>
      </c>
      <c r="D209" s="127" t="s">
        <v>879</v>
      </c>
      <c r="E209" s="127" t="s">
        <v>880</v>
      </c>
      <c r="F209" s="127" t="s">
        <v>880</v>
      </c>
    </row>
    <row r="210" spans="2:6" ht="15" customHeight="1">
      <c r="B210" s="125">
        <v>294</v>
      </c>
      <c r="D210" s="127" t="s">
        <v>881</v>
      </c>
      <c r="E210" s="127" t="s">
        <v>882</v>
      </c>
      <c r="F210" s="127" t="s">
        <v>882</v>
      </c>
    </row>
    <row r="211" spans="2:6" ht="15" customHeight="1">
      <c r="B211" s="125">
        <v>295</v>
      </c>
      <c r="D211" s="127" t="s">
        <v>883</v>
      </c>
      <c r="E211" s="127" t="s">
        <v>884</v>
      </c>
      <c r="F211" s="127" t="s">
        <v>884</v>
      </c>
    </row>
    <row r="212" spans="2:6" ht="15" customHeight="1">
      <c r="B212" s="125">
        <v>296</v>
      </c>
      <c r="D212" s="127" t="s">
        <v>885</v>
      </c>
      <c r="E212" s="127" t="s">
        <v>886</v>
      </c>
      <c r="F212" s="127" t="s">
        <v>886</v>
      </c>
    </row>
    <row r="213" spans="2:6" ht="15" customHeight="1">
      <c r="B213" s="125">
        <v>297</v>
      </c>
      <c r="D213" s="127" t="s">
        <v>887</v>
      </c>
      <c r="E213" s="127" t="s">
        <v>888</v>
      </c>
      <c r="F213" s="127" t="s">
        <v>888</v>
      </c>
    </row>
    <row r="214" spans="2:6" ht="15" customHeight="1">
      <c r="B214" s="125">
        <v>298</v>
      </c>
      <c r="C214" s="126" t="s">
        <v>548</v>
      </c>
      <c r="D214" s="127" t="s">
        <v>889</v>
      </c>
      <c r="E214" s="127" t="s">
        <v>378</v>
      </c>
      <c r="F214" s="127" t="s">
        <v>378</v>
      </c>
    </row>
    <row r="215" spans="2:6" ht="15" customHeight="1">
      <c r="B215" s="125">
        <v>299</v>
      </c>
      <c r="D215" s="127" t="s">
        <v>890</v>
      </c>
      <c r="E215" s="127" t="s">
        <v>891</v>
      </c>
      <c r="F215" s="127" t="s">
        <v>891</v>
      </c>
    </row>
    <row r="216" spans="2:6" ht="15" customHeight="1">
      <c r="B216" s="125">
        <v>300</v>
      </c>
      <c r="D216" s="127" t="s">
        <v>892</v>
      </c>
      <c r="E216" s="127" t="s">
        <v>893</v>
      </c>
      <c r="F216" s="127" t="s">
        <v>893</v>
      </c>
    </row>
    <row r="217" spans="2:6" ht="15" customHeight="1">
      <c r="B217" s="125">
        <v>301</v>
      </c>
      <c r="D217" s="127" t="s">
        <v>894</v>
      </c>
      <c r="E217" s="127" t="s">
        <v>895</v>
      </c>
      <c r="F217" s="127" t="s">
        <v>895</v>
      </c>
    </row>
    <row r="218" spans="2:6" ht="14.1" customHeight="1">
      <c r="B218" s="125">
        <v>302</v>
      </c>
      <c r="C218" s="126" t="s">
        <v>548</v>
      </c>
      <c r="D218" s="132" t="s">
        <v>896</v>
      </c>
      <c r="E218" s="132" t="s">
        <v>380</v>
      </c>
      <c r="F218" s="132" t="s">
        <v>380</v>
      </c>
    </row>
    <row r="219" spans="2:6" ht="14.1" customHeight="1">
      <c r="B219" s="125">
        <v>303</v>
      </c>
      <c r="C219" s="126" t="s">
        <v>548</v>
      </c>
      <c r="D219" s="132" t="s">
        <v>897</v>
      </c>
      <c r="E219" s="132" t="s">
        <v>898</v>
      </c>
      <c r="F219" s="132" t="s">
        <v>898</v>
      </c>
    </row>
    <row r="220" spans="2:6" ht="14.1" customHeight="1">
      <c r="B220" s="125">
        <v>304</v>
      </c>
      <c r="C220" s="126" t="s">
        <v>548</v>
      </c>
      <c r="D220" s="132" t="s">
        <v>899</v>
      </c>
      <c r="E220" s="132" t="s">
        <v>377</v>
      </c>
      <c r="F220" s="132" t="s">
        <v>377</v>
      </c>
    </row>
    <row r="221" spans="2:6">
      <c r="B221" s="125">
        <v>305</v>
      </c>
      <c r="C221" s="126" t="s">
        <v>548</v>
      </c>
      <c r="D221" s="132" t="s">
        <v>900</v>
      </c>
      <c r="E221" s="132" t="s">
        <v>901</v>
      </c>
      <c r="F221" s="132" t="s">
        <v>901</v>
      </c>
    </row>
    <row r="222" spans="2:6">
      <c r="B222" s="125">
        <v>306</v>
      </c>
      <c r="C222" s="126" t="s">
        <v>548</v>
      </c>
      <c r="D222" s="132" t="s">
        <v>902</v>
      </c>
      <c r="E222" s="132" t="s">
        <v>0</v>
      </c>
      <c r="F222" s="132" t="s">
        <v>0</v>
      </c>
    </row>
    <row r="223" spans="2:6">
      <c r="B223" s="125">
        <v>307</v>
      </c>
      <c r="C223" s="126" t="s">
        <v>548</v>
      </c>
      <c r="D223" s="132" t="s">
        <v>903</v>
      </c>
      <c r="E223" s="132" t="s">
        <v>904</v>
      </c>
      <c r="F223" s="132" t="s">
        <v>904</v>
      </c>
    </row>
    <row r="224" spans="2:6">
      <c r="B224" s="125">
        <v>308</v>
      </c>
      <c r="C224" s="126" t="s">
        <v>548</v>
      </c>
      <c r="D224" s="132" t="s">
        <v>905</v>
      </c>
      <c r="E224" s="132" t="s">
        <v>906</v>
      </c>
      <c r="F224" s="132" t="s">
        <v>906</v>
      </c>
    </row>
    <row r="225" spans="2:6">
      <c r="B225" s="125">
        <v>309</v>
      </c>
      <c r="C225" s="126" t="s">
        <v>548</v>
      </c>
      <c r="D225" s="132" t="s">
        <v>907</v>
      </c>
      <c r="E225" s="132" t="s">
        <v>908</v>
      </c>
      <c r="F225" s="132" t="s">
        <v>908</v>
      </c>
    </row>
    <row r="226" spans="2:6">
      <c r="B226" s="125">
        <v>310</v>
      </c>
      <c r="C226" s="126" t="s">
        <v>548</v>
      </c>
      <c r="D226" s="132" t="s">
        <v>909</v>
      </c>
      <c r="E226" s="132" t="s">
        <v>910</v>
      </c>
      <c r="F226" s="132" t="s">
        <v>910</v>
      </c>
    </row>
    <row r="227" spans="2:6">
      <c r="B227" s="125">
        <v>311</v>
      </c>
      <c r="C227" s="126" t="s">
        <v>548</v>
      </c>
      <c r="D227" s="132" t="s">
        <v>911</v>
      </c>
      <c r="E227" s="132" t="s">
        <v>912</v>
      </c>
      <c r="F227" s="132" t="s">
        <v>912</v>
      </c>
    </row>
    <row r="228" spans="2:6">
      <c r="B228" s="125">
        <v>312</v>
      </c>
      <c r="C228" s="126" t="s">
        <v>548</v>
      </c>
      <c r="D228" s="132" t="s">
        <v>913</v>
      </c>
      <c r="E228" s="132" t="s">
        <v>914</v>
      </c>
      <c r="F228" s="132" t="s">
        <v>914</v>
      </c>
    </row>
    <row r="229" spans="2:6">
      <c r="B229" s="125">
        <v>313</v>
      </c>
      <c r="C229" s="126" t="s">
        <v>548</v>
      </c>
      <c r="D229" s="132" t="s">
        <v>915</v>
      </c>
      <c r="E229" s="132" t="s">
        <v>916</v>
      </c>
      <c r="F229" s="132" t="s">
        <v>916</v>
      </c>
    </row>
    <row r="230" spans="2:6">
      <c r="B230" s="125">
        <v>314</v>
      </c>
      <c r="C230" s="126" t="s">
        <v>548</v>
      </c>
      <c r="D230" s="132" t="s">
        <v>917</v>
      </c>
      <c r="E230" s="132" t="s">
        <v>918</v>
      </c>
      <c r="F230" s="132" t="s">
        <v>918</v>
      </c>
    </row>
    <row r="231" spans="2:6" ht="12.95" customHeight="1">
      <c r="B231" s="125">
        <v>315</v>
      </c>
      <c r="C231" s="126" t="s">
        <v>548</v>
      </c>
      <c r="D231" s="132" t="s">
        <v>919</v>
      </c>
      <c r="E231" s="127" t="s">
        <v>920</v>
      </c>
      <c r="F231" s="127" t="s">
        <v>920</v>
      </c>
    </row>
    <row r="232" spans="2:6" ht="12.95" customHeight="1">
      <c r="B232" s="125">
        <v>316</v>
      </c>
      <c r="C232" s="126" t="s">
        <v>548</v>
      </c>
      <c r="D232" s="132" t="s">
        <v>921</v>
      </c>
      <c r="E232" s="127" t="s">
        <v>922</v>
      </c>
      <c r="F232" s="127" t="s">
        <v>922</v>
      </c>
    </row>
    <row r="233" spans="2:6" ht="12.95" customHeight="1">
      <c r="B233" s="125">
        <v>317</v>
      </c>
      <c r="C233" s="126" t="s">
        <v>548</v>
      </c>
      <c r="D233" s="132" t="s">
        <v>923</v>
      </c>
      <c r="E233" s="127" t="s">
        <v>924</v>
      </c>
      <c r="F233" s="127" t="s">
        <v>924</v>
      </c>
    </row>
    <row r="234" spans="2:6" ht="12.95" customHeight="1">
      <c r="B234" s="125">
        <v>318</v>
      </c>
      <c r="C234" s="126" t="s">
        <v>548</v>
      </c>
      <c r="D234" s="132" t="s">
        <v>925</v>
      </c>
      <c r="E234" s="127" t="s">
        <v>926</v>
      </c>
      <c r="F234" s="127" t="s">
        <v>926</v>
      </c>
    </row>
    <row r="235" spans="2:6">
      <c r="B235" s="125">
        <v>319</v>
      </c>
      <c r="C235" s="126" t="s">
        <v>548</v>
      </c>
      <c r="D235" s="132" t="s">
        <v>927</v>
      </c>
      <c r="E235" s="132" t="s">
        <v>928</v>
      </c>
      <c r="F235" s="132" t="s">
        <v>928</v>
      </c>
    </row>
    <row r="236" spans="2:6">
      <c r="B236" s="125">
        <v>320</v>
      </c>
      <c r="C236" s="126" t="s">
        <v>548</v>
      </c>
      <c r="D236" s="132" t="s">
        <v>929</v>
      </c>
      <c r="E236" s="132" t="s">
        <v>930</v>
      </c>
      <c r="F236" s="132" t="s">
        <v>930</v>
      </c>
    </row>
    <row r="237" spans="2:6">
      <c r="B237" s="125">
        <v>321</v>
      </c>
      <c r="C237" s="126" t="s">
        <v>548</v>
      </c>
      <c r="D237" s="132" t="s">
        <v>931</v>
      </c>
      <c r="E237" s="132" t="s">
        <v>932</v>
      </c>
      <c r="F237" s="132" t="s">
        <v>932</v>
      </c>
    </row>
    <row r="238" spans="2:6">
      <c r="B238" s="125">
        <v>322</v>
      </c>
      <c r="C238" s="126" t="s">
        <v>548</v>
      </c>
      <c r="D238" s="132"/>
      <c r="E238" s="132"/>
      <c r="F238" s="132"/>
    </row>
    <row r="239" spans="2:6" ht="30" customHeight="1">
      <c r="B239" s="125">
        <v>323</v>
      </c>
      <c r="D239" s="127" t="s">
        <v>933</v>
      </c>
      <c r="E239" s="127" t="s">
        <v>934</v>
      </c>
      <c r="F239" s="127" t="s">
        <v>934</v>
      </c>
    </row>
    <row r="240" spans="2:6" ht="30" customHeight="1">
      <c r="B240" s="125">
        <v>324</v>
      </c>
      <c r="D240" s="127" t="s">
        <v>935</v>
      </c>
      <c r="E240" s="127" t="s">
        <v>936</v>
      </c>
      <c r="F240" s="127" t="s">
        <v>936</v>
      </c>
    </row>
    <row r="241" spans="2:6" ht="30" customHeight="1">
      <c r="B241" s="125">
        <v>325</v>
      </c>
      <c r="D241" s="127" t="s">
        <v>937</v>
      </c>
      <c r="E241" s="127" t="s">
        <v>938</v>
      </c>
      <c r="F241" s="127" t="s">
        <v>938</v>
      </c>
    </row>
    <row r="242" spans="2:6" ht="26.1" customHeight="1">
      <c r="B242" s="125">
        <v>326</v>
      </c>
      <c r="C242" s="126" t="s">
        <v>548</v>
      </c>
      <c r="D242" s="127" t="s">
        <v>939</v>
      </c>
      <c r="E242" s="127" t="s">
        <v>379</v>
      </c>
      <c r="F242" s="127" t="s">
        <v>379</v>
      </c>
    </row>
    <row r="243" spans="2:6" ht="15" customHeight="1">
      <c r="B243" s="125">
        <v>327</v>
      </c>
      <c r="D243" s="127" t="s">
        <v>940</v>
      </c>
      <c r="E243" s="127" t="s">
        <v>941</v>
      </c>
      <c r="F243" s="127" t="s">
        <v>941</v>
      </c>
    </row>
    <row r="244" spans="2:6" ht="15" customHeight="1">
      <c r="B244" s="125">
        <v>328</v>
      </c>
      <c r="C244" s="126" t="s">
        <v>597</v>
      </c>
      <c r="D244" s="127" t="s">
        <v>942</v>
      </c>
      <c r="E244" s="127" t="s">
        <v>943</v>
      </c>
      <c r="F244" s="127" t="s">
        <v>943</v>
      </c>
    </row>
    <row r="245" spans="2:6" ht="15" customHeight="1">
      <c r="B245" s="125">
        <v>329</v>
      </c>
      <c r="D245" s="127" t="s">
        <v>944</v>
      </c>
      <c r="E245" s="127" t="s">
        <v>945</v>
      </c>
      <c r="F245" s="127" t="s">
        <v>945</v>
      </c>
    </row>
    <row r="246" spans="2:6" ht="15" customHeight="1">
      <c r="B246" s="125">
        <v>330</v>
      </c>
      <c r="D246" s="127" t="s">
        <v>946</v>
      </c>
      <c r="E246" s="127" t="s">
        <v>947</v>
      </c>
      <c r="F246" s="127" t="s">
        <v>947</v>
      </c>
    </row>
    <row r="247" spans="2:6" ht="15" customHeight="1">
      <c r="B247" s="125">
        <v>331</v>
      </c>
      <c r="D247" s="127" t="s">
        <v>948</v>
      </c>
      <c r="E247" s="127" t="s">
        <v>949</v>
      </c>
      <c r="F247" s="127" t="s">
        <v>949</v>
      </c>
    </row>
    <row r="248" spans="2:6" ht="14.1" customHeight="1">
      <c r="B248" s="125">
        <v>332</v>
      </c>
      <c r="C248" s="126" t="s">
        <v>597</v>
      </c>
      <c r="D248" s="124" t="s">
        <v>950</v>
      </c>
      <c r="E248" s="132" t="s">
        <v>951</v>
      </c>
      <c r="F248" s="132" t="s">
        <v>951</v>
      </c>
    </row>
    <row r="249" spans="2:6" ht="14.1" customHeight="1">
      <c r="B249" s="125">
        <v>333</v>
      </c>
      <c r="C249" s="126" t="s">
        <v>597</v>
      </c>
      <c r="D249" s="124" t="s">
        <v>952</v>
      </c>
      <c r="E249" s="132" t="s">
        <v>953</v>
      </c>
      <c r="F249" s="132" t="s">
        <v>953</v>
      </c>
    </row>
    <row r="250" spans="2:6" ht="15" customHeight="1">
      <c r="B250" s="125">
        <v>334</v>
      </c>
      <c r="D250" s="127" t="s">
        <v>954</v>
      </c>
      <c r="E250" s="127" t="s">
        <v>955</v>
      </c>
      <c r="F250" s="127" t="s">
        <v>955</v>
      </c>
    </row>
    <row r="251" spans="2:6" ht="15" customHeight="1">
      <c r="B251" s="125">
        <v>335</v>
      </c>
      <c r="C251" s="126" t="s">
        <v>597</v>
      </c>
      <c r="D251" s="127" t="s">
        <v>956</v>
      </c>
      <c r="E251" s="127" t="s">
        <v>957</v>
      </c>
      <c r="F251" s="127" t="s">
        <v>957</v>
      </c>
    </row>
    <row r="252" spans="2:6" ht="14.1" customHeight="1">
      <c r="B252" s="125">
        <v>336</v>
      </c>
      <c r="C252" s="126" t="s">
        <v>597</v>
      </c>
      <c r="D252" s="124" t="s">
        <v>958</v>
      </c>
      <c r="E252" s="132" t="s">
        <v>959</v>
      </c>
      <c r="F252" s="132" t="s">
        <v>959</v>
      </c>
    </row>
    <row r="253" spans="2:6" ht="30" customHeight="1">
      <c r="B253" s="125">
        <v>337</v>
      </c>
      <c r="D253" s="127" t="s">
        <v>960</v>
      </c>
      <c r="E253" s="127" t="s">
        <v>961</v>
      </c>
      <c r="F253" s="127" t="s">
        <v>961</v>
      </c>
    </row>
    <row r="254" spans="2:6" ht="30" customHeight="1">
      <c r="B254" s="125">
        <v>338</v>
      </c>
      <c r="D254" s="127" t="s">
        <v>962</v>
      </c>
      <c r="E254" s="127" t="s">
        <v>963</v>
      </c>
      <c r="F254" s="127" t="s">
        <v>963</v>
      </c>
    </row>
    <row r="255" spans="2:6" ht="15" customHeight="1">
      <c r="B255" s="125">
        <v>339</v>
      </c>
      <c r="D255" s="127" t="s">
        <v>964</v>
      </c>
      <c r="E255" s="127" t="s">
        <v>965</v>
      </c>
      <c r="F255" s="127" t="s">
        <v>965</v>
      </c>
    </row>
    <row r="256" spans="2:6" ht="15" customHeight="1">
      <c r="B256" s="125">
        <v>340</v>
      </c>
      <c r="D256" s="127" t="s">
        <v>966</v>
      </c>
      <c r="E256" s="127" t="s">
        <v>967</v>
      </c>
      <c r="F256" s="127" t="s">
        <v>967</v>
      </c>
    </row>
    <row r="257" spans="2:6" ht="15" customHeight="1">
      <c r="B257" s="125">
        <v>341</v>
      </c>
      <c r="D257" s="127" t="s">
        <v>968</v>
      </c>
      <c r="E257" s="127" t="s">
        <v>969</v>
      </c>
      <c r="F257" s="127" t="s">
        <v>969</v>
      </c>
    </row>
    <row r="258" spans="2:6" ht="15" customHeight="1">
      <c r="B258" s="125">
        <v>342</v>
      </c>
      <c r="D258" s="127" t="s">
        <v>970</v>
      </c>
      <c r="E258" s="127" t="s">
        <v>971</v>
      </c>
      <c r="F258" s="127" t="s">
        <v>971</v>
      </c>
    </row>
    <row r="259" spans="2:6" ht="15" customHeight="1">
      <c r="B259" s="125">
        <v>343</v>
      </c>
      <c r="C259" s="126" t="s">
        <v>548</v>
      </c>
      <c r="D259" s="127" t="s">
        <v>972</v>
      </c>
      <c r="E259" s="127" t="s">
        <v>396</v>
      </c>
      <c r="F259" s="127" t="s">
        <v>396</v>
      </c>
    </row>
    <row r="260" spans="2:6" ht="15" customHeight="1">
      <c r="B260" s="125">
        <v>344</v>
      </c>
      <c r="C260" s="126" t="s">
        <v>548</v>
      </c>
      <c r="D260" s="127" t="s">
        <v>973</v>
      </c>
      <c r="E260" s="127" t="s">
        <v>974</v>
      </c>
      <c r="F260" s="127" t="s">
        <v>974</v>
      </c>
    </row>
    <row r="261" spans="2:6" ht="15" customHeight="1">
      <c r="B261" s="125">
        <v>345</v>
      </c>
      <c r="D261" s="127" t="s">
        <v>975</v>
      </c>
      <c r="E261" s="127" t="s">
        <v>976</v>
      </c>
      <c r="F261" s="127" t="s">
        <v>976</v>
      </c>
    </row>
    <row r="262" spans="2:6" ht="30" customHeight="1">
      <c r="B262" s="125">
        <v>346</v>
      </c>
      <c r="C262" s="126" t="s">
        <v>548</v>
      </c>
      <c r="D262" s="127" t="s">
        <v>977</v>
      </c>
      <c r="E262" s="127" t="s">
        <v>397</v>
      </c>
      <c r="F262" s="127" t="s">
        <v>397</v>
      </c>
    </row>
    <row r="263" spans="2:6" ht="15" customHeight="1">
      <c r="B263" s="125">
        <v>347</v>
      </c>
      <c r="D263" s="127" t="s">
        <v>978</v>
      </c>
      <c r="E263" s="127" t="s">
        <v>979</v>
      </c>
      <c r="F263" s="127" t="s">
        <v>979</v>
      </c>
    </row>
    <row r="264" spans="2:6" ht="15" customHeight="1">
      <c r="B264" s="125">
        <v>348</v>
      </c>
      <c r="D264" s="127" t="s">
        <v>980</v>
      </c>
      <c r="E264" s="127" t="s">
        <v>981</v>
      </c>
      <c r="F264" s="127" t="s">
        <v>981</v>
      </c>
    </row>
    <row r="265" spans="2:6" ht="15" customHeight="1">
      <c r="B265" s="125">
        <v>349</v>
      </c>
      <c r="D265" s="127" t="s">
        <v>982</v>
      </c>
      <c r="E265" s="127" t="s">
        <v>983</v>
      </c>
      <c r="F265" s="127" t="s">
        <v>983</v>
      </c>
    </row>
    <row r="266" spans="2:6" ht="15" customHeight="1">
      <c r="B266" s="125">
        <v>350</v>
      </c>
      <c r="C266" s="126" t="s">
        <v>548</v>
      </c>
      <c r="D266" s="127" t="s">
        <v>984</v>
      </c>
      <c r="E266" s="127" t="s">
        <v>399</v>
      </c>
      <c r="F266" s="127" t="s">
        <v>399</v>
      </c>
    </row>
    <row r="267" spans="2:6" ht="14.1" customHeight="1">
      <c r="B267" s="125">
        <v>351</v>
      </c>
      <c r="C267" s="126" t="s">
        <v>597</v>
      </c>
      <c r="D267" s="124" t="s">
        <v>985</v>
      </c>
      <c r="E267" s="132" t="s">
        <v>986</v>
      </c>
      <c r="F267" s="132" t="s">
        <v>986</v>
      </c>
    </row>
    <row r="268" spans="2:6" ht="26.1" customHeight="1">
      <c r="B268" s="125">
        <v>352</v>
      </c>
      <c r="C268" s="126" t="s">
        <v>548</v>
      </c>
      <c r="D268" s="127" t="s">
        <v>987</v>
      </c>
      <c r="E268" s="127" t="s">
        <v>988</v>
      </c>
      <c r="F268" s="127" t="s">
        <v>988</v>
      </c>
    </row>
    <row r="269" spans="2:6" ht="26.1" customHeight="1">
      <c r="B269" s="125">
        <v>353</v>
      </c>
      <c r="D269" s="127" t="s">
        <v>989</v>
      </c>
      <c r="F269" s="127"/>
    </row>
    <row r="270" spans="2:6" ht="15" customHeight="1">
      <c r="B270" s="125">
        <v>354</v>
      </c>
      <c r="D270" s="127" t="s">
        <v>990</v>
      </c>
      <c r="E270" s="127" t="s">
        <v>991</v>
      </c>
      <c r="F270" s="127" t="s">
        <v>991</v>
      </c>
    </row>
    <row r="271" spans="2:6" ht="15" customHeight="1">
      <c r="B271" s="125">
        <v>355</v>
      </c>
      <c r="D271" s="127" t="s">
        <v>992</v>
      </c>
      <c r="E271" s="127" t="s">
        <v>993</v>
      </c>
      <c r="F271" s="127" t="s">
        <v>993</v>
      </c>
    </row>
    <row r="272" spans="2:6" ht="15" customHeight="1">
      <c r="B272" s="125">
        <v>356</v>
      </c>
      <c r="D272" s="127" t="s">
        <v>994</v>
      </c>
      <c r="E272" s="127" t="s">
        <v>995</v>
      </c>
      <c r="F272" s="127" t="s">
        <v>995</v>
      </c>
    </row>
    <row r="273" spans="2:6" ht="15" customHeight="1">
      <c r="B273" s="125">
        <v>357</v>
      </c>
      <c r="C273" s="126" t="s">
        <v>548</v>
      </c>
      <c r="D273" s="127" t="s">
        <v>996</v>
      </c>
      <c r="E273" s="127" t="s">
        <v>385</v>
      </c>
      <c r="F273" s="127" t="s">
        <v>385</v>
      </c>
    </row>
    <row r="274" spans="2:6" ht="15" customHeight="1">
      <c r="B274" s="125">
        <v>358</v>
      </c>
      <c r="D274" s="127" t="s">
        <v>997</v>
      </c>
      <c r="E274" s="127" t="s">
        <v>998</v>
      </c>
      <c r="F274" s="127" t="s">
        <v>998</v>
      </c>
    </row>
    <row r="275" spans="2:6" ht="15" customHeight="1">
      <c r="B275" s="125">
        <v>359</v>
      </c>
      <c r="D275" s="127" t="s">
        <v>999</v>
      </c>
      <c r="E275" s="127" t="s">
        <v>1000</v>
      </c>
      <c r="F275" s="127" t="s">
        <v>1000</v>
      </c>
    </row>
    <row r="276" spans="2:6" ht="15" customHeight="1">
      <c r="B276" s="125">
        <v>360</v>
      </c>
      <c r="D276" s="127" t="s">
        <v>1001</v>
      </c>
      <c r="E276" s="127" t="s">
        <v>1002</v>
      </c>
      <c r="F276" s="127" t="s">
        <v>1002</v>
      </c>
    </row>
    <row r="277" spans="2:6" ht="30" customHeight="1">
      <c r="B277" s="125">
        <v>361</v>
      </c>
      <c r="C277" s="126" t="s">
        <v>548</v>
      </c>
      <c r="D277" s="127" t="s">
        <v>1003</v>
      </c>
      <c r="E277" s="127" t="s">
        <v>1004</v>
      </c>
      <c r="F277" s="127" t="s">
        <v>1004</v>
      </c>
    </row>
    <row r="278" spans="2:6" ht="45" customHeight="1">
      <c r="B278" s="125">
        <v>362</v>
      </c>
      <c r="C278" s="126" t="s">
        <v>548</v>
      </c>
      <c r="D278" s="127" t="s">
        <v>1005</v>
      </c>
      <c r="E278" s="127" t="s">
        <v>390</v>
      </c>
      <c r="F278" s="127" t="s">
        <v>390</v>
      </c>
    </row>
    <row r="279" spans="2:6" ht="15" customHeight="1">
      <c r="B279" s="125">
        <v>363</v>
      </c>
      <c r="D279" s="127" t="s">
        <v>1006</v>
      </c>
      <c r="E279" s="127" t="s">
        <v>1007</v>
      </c>
      <c r="F279" s="127" t="s">
        <v>1007</v>
      </c>
    </row>
    <row r="280" spans="2:6" ht="12.95" customHeight="1">
      <c r="B280" s="125">
        <v>364</v>
      </c>
      <c r="D280" s="127" t="s">
        <v>1008</v>
      </c>
      <c r="E280" s="127" t="s">
        <v>1008</v>
      </c>
      <c r="F280" s="127" t="s">
        <v>1008</v>
      </c>
    </row>
    <row r="281" spans="2:6" ht="12.95" customHeight="1">
      <c r="B281" s="125">
        <v>365</v>
      </c>
      <c r="D281" s="127" t="s">
        <v>1009</v>
      </c>
      <c r="E281" s="127" t="s">
        <v>1009</v>
      </c>
      <c r="F281" s="127" t="s">
        <v>1009</v>
      </c>
    </row>
    <row r="282" spans="2:6" ht="15" customHeight="1">
      <c r="B282" s="125">
        <v>366</v>
      </c>
      <c r="D282" s="127" t="s">
        <v>1010</v>
      </c>
      <c r="E282" s="127" t="s">
        <v>1011</v>
      </c>
      <c r="F282" s="127" t="s">
        <v>1011</v>
      </c>
    </row>
    <row r="283" spans="2:6" ht="12.95" customHeight="1">
      <c r="B283" s="125">
        <v>367</v>
      </c>
      <c r="D283" s="127" t="s">
        <v>1012</v>
      </c>
      <c r="E283" s="127" t="s">
        <v>1013</v>
      </c>
      <c r="F283" s="127" t="s">
        <v>1013</v>
      </c>
    </row>
    <row r="284" spans="2:6" ht="15" customHeight="1">
      <c r="B284" s="125">
        <v>368</v>
      </c>
      <c r="D284" s="127" t="s">
        <v>1014</v>
      </c>
      <c r="E284" s="127" t="s">
        <v>1015</v>
      </c>
      <c r="F284" s="127" t="s">
        <v>1015</v>
      </c>
    </row>
    <row r="285" spans="2:6" ht="12.95" customHeight="1">
      <c r="B285" s="125">
        <v>369</v>
      </c>
      <c r="D285" s="127" t="s">
        <v>1016</v>
      </c>
      <c r="E285" s="127" t="s">
        <v>1017</v>
      </c>
      <c r="F285" s="127" t="s">
        <v>1017</v>
      </c>
    </row>
    <row r="286" spans="2:6" ht="15" customHeight="1">
      <c r="B286" s="125">
        <v>370</v>
      </c>
      <c r="D286" s="127" t="s">
        <v>1018</v>
      </c>
      <c r="E286" s="127" t="s">
        <v>1019</v>
      </c>
      <c r="F286" s="127" t="s">
        <v>1019</v>
      </c>
    </row>
    <row r="287" spans="2:6" ht="15" customHeight="1">
      <c r="B287" s="125">
        <v>371</v>
      </c>
      <c r="D287" s="127" t="s">
        <v>1020</v>
      </c>
      <c r="E287" s="127" t="s">
        <v>1021</v>
      </c>
      <c r="F287" s="127" t="s">
        <v>1021</v>
      </c>
    </row>
    <row r="288" spans="2:6" ht="15" customHeight="1">
      <c r="B288" s="125">
        <v>372</v>
      </c>
      <c r="D288" s="127" t="s">
        <v>1022</v>
      </c>
      <c r="E288" s="127" t="s">
        <v>1023</v>
      </c>
      <c r="F288" s="127" t="s">
        <v>1023</v>
      </c>
    </row>
    <row r="289" spans="2:6" ht="15" customHeight="1">
      <c r="B289" s="125">
        <v>373</v>
      </c>
      <c r="D289" s="127" t="s">
        <v>1024</v>
      </c>
      <c r="E289" s="127" t="s">
        <v>1025</v>
      </c>
      <c r="F289" s="127" t="s">
        <v>1025</v>
      </c>
    </row>
    <row r="290" spans="2:6" ht="15" customHeight="1">
      <c r="B290" s="125">
        <v>374</v>
      </c>
      <c r="D290" s="127" t="s">
        <v>1026</v>
      </c>
      <c r="E290" s="127" t="s">
        <v>1023</v>
      </c>
      <c r="F290" s="127" t="s">
        <v>1023</v>
      </c>
    </row>
    <row r="291" spans="2:6" ht="15" customHeight="1">
      <c r="B291" s="125">
        <v>375</v>
      </c>
      <c r="C291" s="126" t="s">
        <v>548</v>
      </c>
      <c r="D291" s="127" t="s">
        <v>1027</v>
      </c>
      <c r="E291" s="127" t="s">
        <v>394</v>
      </c>
      <c r="F291" s="127" t="s">
        <v>394</v>
      </c>
    </row>
    <row r="292" spans="2:6" ht="15" customHeight="1">
      <c r="B292" s="125">
        <v>376</v>
      </c>
      <c r="D292" s="127" t="s">
        <v>1028</v>
      </c>
      <c r="E292" s="127" t="s">
        <v>461</v>
      </c>
      <c r="F292" s="127" t="s">
        <v>461</v>
      </c>
    </row>
    <row r="293" spans="2:6" ht="15" customHeight="1">
      <c r="B293" s="125">
        <v>377</v>
      </c>
      <c r="D293" s="127" t="s">
        <v>1029</v>
      </c>
      <c r="E293" s="127" t="s">
        <v>1030</v>
      </c>
      <c r="F293" s="127" t="s">
        <v>1030</v>
      </c>
    </row>
    <row r="294" spans="2:6" ht="15" customHeight="1">
      <c r="B294" s="125">
        <v>378</v>
      </c>
      <c r="D294" s="127" t="s">
        <v>1031</v>
      </c>
      <c r="E294" s="127" t="s">
        <v>1032</v>
      </c>
      <c r="F294" s="127" t="s">
        <v>1032</v>
      </c>
    </row>
    <row r="295" spans="2:6" ht="14.1" customHeight="1">
      <c r="B295" s="125">
        <v>379</v>
      </c>
      <c r="C295" s="126" t="s">
        <v>597</v>
      </c>
      <c r="D295" s="124" t="s">
        <v>1033</v>
      </c>
      <c r="E295" s="132" t="s">
        <v>1034</v>
      </c>
      <c r="F295" s="132" t="s">
        <v>1034</v>
      </c>
    </row>
    <row r="296" spans="2:6" ht="15" customHeight="1">
      <c r="B296" s="125">
        <v>380</v>
      </c>
      <c r="D296" s="127" t="s">
        <v>1035</v>
      </c>
      <c r="E296" s="127" t="s">
        <v>1036</v>
      </c>
      <c r="F296" s="127" t="s">
        <v>1036</v>
      </c>
    </row>
    <row r="297" spans="2:6" ht="15" customHeight="1">
      <c r="B297" s="125">
        <v>381</v>
      </c>
      <c r="D297" s="127" t="s">
        <v>1037</v>
      </c>
      <c r="E297" s="127" t="s">
        <v>1038</v>
      </c>
      <c r="F297" s="127" t="s">
        <v>1038</v>
      </c>
    </row>
    <row r="298" spans="2:6" ht="15" customHeight="1">
      <c r="B298" s="125">
        <v>382</v>
      </c>
      <c r="C298" s="126" t="s">
        <v>1039</v>
      </c>
      <c r="D298" s="127" t="s">
        <v>1040</v>
      </c>
      <c r="E298" s="127" t="s">
        <v>1041</v>
      </c>
      <c r="F298" s="127" t="s">
        <v>1041</v>
      </c>
    </row>
    <row r="299" spans="2:6" ht="15" customHeight="1">
      <c r="B299" s="125">
        <v>383</v>
      </c>
      <c r="D299" s="127" t="s">
        <v>1042</v>
      </c>
      <c r="E299" s="127" t="s">
        <v>462</v>
      </c>
      <c r="F299" s="127" t="s">
        <v>462</v>
      </c>
    </row>
    <row r="300" spans="2:6" ht="15" customHeight="1">
      <c r="B300" s="125">
        <v>384</v>
      </c>
      <c r="D300" s="127" t="s">
        <v>1043</v>
      </c>
      <c r="E300" s="127" t="s">
        <v>1044</v>
      </c>
      <c r="F300" s="127" t="s">
        <v>1044</v>
      </c>
    </row>
    <row r="301" spans="2:6" ht="15" customHeight="1">
      <c r="B301" s="125">
        <v>385</v>
      </c>
      <c r="D301" s="127" t="s">
        <v>1045</v>
      </c>
      <c r="E301" s="127" t="s">
        <v>1046</v>
      </c>
      <c r="F301" s="127" t="s">
        <v>1046</v>
      </c>
    </row>
    <row r="302" spans="2:6" ht="15" customHeight="1">
      <c r="B302" s="125">
        <v>386</v>
      </c>
      <c r="D302" s="127" t="s">
        <v>1047</v>
      </c>
      <c r="E302" s="127" t="s">
        <v>1048</v>
      </c>
      <c r="F302" s="127" t="s">
        <v>1048</v>
      </c>
    </row>
    <row r="303" spans="2:6" ht="15" customHeight="1">
      <c r="B303" s="125">
        <v>387</v>
      </c>
      <c r="D303" s="127" t="s">
        <v>1049</v>
      </c>
      <c r="E303" s="127" t="s">
        <v>16</v>
      </c>
      <c r="F303" s="127" t="s">
        <v>16</v>
      </c>
    </row>
    <row r="304" spans="2:6" ht="15" customHeight="1">
      <c r="B304" s="125">
        <v>388</v>
      </c>
      <c r="D304" s="127" t="s">
        <v>1050</v>
      </c>
      <c r="E304" s="127" t="s">
        <v>1051</v>
      </c>
      <c r="F304" s="127" t="s">
        <v>1051</v>
      </c>
    </row>
    <row r="305" spans="2:6" ht="26.1" customHeight="1">
      <c r="B305" s="125">
        <v>389</v>
      </c>
      <c r="D305" s="127" t="s">
        <v>1052</v>
      </c>
      <c r="E305" s="127" t="s">
        <v>1053</v>
      </c>
      <c r="F305" s="127" t="s">
        <v>1053</v>
      </c>
    </row>
    <row r="306" spans="2:6" ht="15" customHeight="1">
      <c r="B306" s="125">
        <v>390</v>
      </c>
      <c r="D306" s="127" t="s">
        <v>1054</v>
      </c>
      <c r="E306" s="127" t="s">
        <v>1055</v>
      </c>
      <c r="F306" s="127" t="s">
        <v>1055</v>
      </c>
    </row>
    <row r="307" spans="2:6" ht="30" customHeight="1">
      <c r="B307" s="125">
        <v>391</v>
      </c>
      <c r="D307" s="127" t="s">
        <v>1056</v>
      </c>
      <c r="E307" s="127" t="s">
        <v>1057</v>
      </c>
      <c r="F307" s="127" t="s">
        <v>1057</v>
      </c>
    </row>
    <row r="308" spans="2:6" ht="15" customHeight="1">
      <c r="B308" s="125">
        <v>392</v>
      </c>
      <c r="D308" s="127" t="s">
        <v>1058</v>
      </c>
      <c r="E308" s="127" t="s">
        <v>1059</v>
      </c>
      <c r="F308" s="127" t="s">
        <v>1059</v>
      </c>
    </row>
    <row r="309" spans="2:6" ht="15" customHeight="1">
      <c r="B309" s="125">
        <v>393</v>
      </c>
      <c r="D309" s="127" t="s">
        <v>1060</v>
      </c>
      <c r="E309" s="127" t="s">
        <v>1061</v>
      </c>
      <c r="F309" s="127" t="s">
        <v>1061</v>
      </c>
    </row>
    <row r="310" spans="2:6" ht="15" customHeight="1">
      <c r="B310" s="125">
        <v>394</v>
      </c>
      <c r="D310" s="127" t="s">
        <v>1062</v>
      </c>
      <c r="E310" s="127" t="s">
        <v>1063</v>
      </c>
      <c r="F310" s="127" t="s">
        <v>1063</v>
      </c>
    </row>
    <row r="311" spans="2:6" ht="15" customHeight="1">
      <c r="B311" s="125">
        <v>395</v>
      </c>
      <c r="D311" s="127" t="s">
        <v>1064</v>
      </c>
      <c r="E311" s="127" t="s">
        <v>1065</v>
      </c>
      <c r="F311" s="127" t="s">
        <v>1065</v>
      </c>
    </row>
    <row r="312" spans="2:6" ht="15" customHeight="1">
      <c r="B312" s="125">
        <v>396</v>
      </c>
      <c r="D312" s="127" t="s">
        <v>1066</v>
      </c>
      <c r="E312" s="127" t="s">
        <v>1067</v>
      </c>
      <c r="F312" s="127" t="s">
        <v>1067</v>
      </c>
    </row>
    <row r="313" spans="2:6" ht="15" customHeight="1">
      <c r="B313" s="125">
        <v>397</v>
      </c>
      <c r="D313" s="127" t="s">
        <v>1068</v>
      </c>
      <c r="E313" s="127" t="s">
        <v>1069</v>
      </c>
      <c r="F313" s="127" t="s">
        <v>1069</v>
      </c>
    </row>
    <row r="314" spans="2:6" ht="15" customHeight="1">
      <c r="B314" s="125">
        <v>398</v>
      </c>
      <c r="D314" s="127" t="s">
        <v>1070</v>
      </c>
      <c r="E314" s="127" t="s">
        <v>1071</v>
      </c>
      <c r="F314" s="127" t="s">
        <v>1071</v>
      </c>
    </row>
    <row r="315" spans="2:6" ht="15" customHeight="1">
      <c r="B315" s="125">
        <v>399</v>
      </c>
      <c r="D315" s="127" t="s">
        <v>1072</v>
      </c>
      <c r="E315" s="127" t="s">
        <v>1073</v>
      </c>
      <c r="F315" s="127" t="s">
        <v>1073</v>
      </c>
    </row>
    <row r="316" spans="2:6" ht="15" customHeight="1">
      <c r="B316" s="125">
        <v>400</v>
      </c>
      <c r="D316" s="127" t="s">
        <v>1074</v>
      </c>
      <c r="E316" s="127" t="s">
        <v>1075</v>
      </c>
      <c r="F316" s="127" t="s">
        <v>1075</v>
      </c>
    </row>
    <row r="317" spans="2:6" ht="15" customHeight="1">
      <c r="B317" s="125">
        <v>401</v>
      </c>
      <c r="C317" s="126" t="s">
        <v>590</v>
      </c>
      <c r="D317" s="127" t="s">
        <v>1076</v>
      </c>
      <c r="E317" s="127" t="s">
        <v>21</v>
      </c>
      <c r="F317" s="127" t="s">
        <v>21</v>
      </c>
    </row>
    <row r="318" spans="2:6">
      <c r="B318" s="125">
        <v>402</v>
      </c>
      <c r="C318" s="126" t="s">
        <v>597</v>
      </c>
      <c r="D318" s="124" t="s">
        <v>1077</v>
      </c>
      <c r="E318" s="132" t="s">
        <v>1078</v>
      </c>
      <c r="F318" s="132" t="s">
        <v>1078</v>
      </c>
    </row>
    <row r="319" spans="2:6" ht="12.95" customHeight="1">
      <c r="B319" s="125">
        <v>403</v>
      </c>
      <c r="D319" s="127" t="s">
        <v>1079</v>
      </c>
      <c r="E319" s="127" t="s">
        <v>718</v>
      </c>
      <c r="F319" s="127" t="s">
        <v>718</v>
      </c>
    </row>
    <row r="320" spans="2:6" ht="15" customHeight="1">
      <c r="B320" s="125">
        <v>404</v>
      </c>
      <c r="D320" s="127" t="s">
        <v>1080</v>
      </c>
      <c r="E320" s="143" t="s">
        <v>422</v>
      </c>
      <c r="F320" s="143" t="s">
        <v>422</v>
      </c>
    </row>
    <row r="321" spans="1:6" ht="12.95" customHeight="1">
      <c r="B321" s="125">
        <v>405</v>
      </c>
      <c r="D321" s="127" t="s">
        <v>1081</v>
      </c>
      <c r="E321" s="127" t="s">
        <v>421</v>
      </c>
      <c r="F321" s="127" t="s">
        <v>421</v>
      </c>
    </row>
    <row r="322" spans="1:6" ht="15" customHeight="1">
      <c r="B322" s="125">
        <v>406</v>
      </c>
      <c r="D322" s="127" t="s">
        <v>1082</v>
      </c>
      <c r="E322" s="127" t="s">
        <v>437</v>
      </c>
      <c r="F322" s="127" t="s">
        <v>437</v>
      </c>
    </row>
    <row r="323" spans="1:6" ht="14.1" customHeight="1">
      <c r="B323" s="125">
        <v>407</v>
      </c>
      <c r="C323" s="126" t="s">
        <v>597</v>
      </c>
      <c r="D323" s="124" t="s">
        <v>1083</v>
      </c>
      <c r="E323" s="132" t="s">
        <v>1084</v>
      </c>
      <c r="F323" s="132" t="s">
        <v>1084</v>
      </c>
    </row>
    <row r="324" spans="1:6" ht="12.95" customHeight="1">
      <c r="B324" s="125">
        <v>408</v>
      </c>
      <c r="D324" s="127" t="s">
        <v>1085</v>
      </c>
      <c r="E324" s="127" t="s">
        <v>1078</v>
      </c>
      <c r="F324" s="127" t="s">
        <v>1078</v>
      </c>
    </row>
    <row r="325" spans="1:6" ht="14.1" customHeight="1">
      <c r="B325" s="125">
        <v>409</v>
      </c>
      <c r="C325" s="126" t="s">
        <v>597</v>
      </c>
      <c r="D325" s="127" t="s">
        <v>1086</v>
      </c>
      <c r="E325" s="132" t="s">
        <v>1087</v>
      </c>
      <c r="F325" s="132" t="s">
        <v>1087</v>
      </c>
    </row>
    <row r="326" spans="1:6" ht="15" customHeight="1">
      <c r="B326" s="125">
        <v>410</v>
      </c>
      <c r="D326" s="127" t="s">
        <v>1088</v>
      </c>
      <c r="E326" s="127" t="s">
        <v>1089</v>
      </c>
      <c r="F326" s="127" t="s">
        <v>1089</v>
      </c>
    </row>
    <row r="327" spans="1:6" ht="39" customHeight="1">
      <c r="B327" s="125">
        <v>411</v>
      </c>
      <c r="D327" s="127" t="s">
        <v>1090</v>
      </c>
      <c r="E327" s="127" t="s">
        <v>1091</v>
      </c>
      <c r="F327" s="127" t="s">
        <v>1091</v>
      </c>
    </row>
    <row r="328" spans="1:6" ht="15" customHeight="1">
      <c r="B328" s="125">
        <v>412</v>
      </c>
      <c r="D328" s="127" t="s">
        <v>1092</v>
      </c>
      <c r="E328" s="127" t="s">
        <v>415</v>
      </c>
      <c r="F328" s="127" t="s">
        <v>415</v>
      </c>
    </row>
    <row r="329" spans="1:6" ht="15" customHeight="1">
      <c r="B329" s="125">
        <v>413</v>
      </c>
      <c r="D329" s="127" t="s">
        <v>1093</v>
      </c>
      <c r="E329" s="127" t="s">
        <v>448</v>
      </c>
      <c r="F329" s="127" t="s">
        <v>448</v>
      </c>
    </row>
    <row r="330" spans="1:6" ht="27.95" customHeight="1">
      <c r="B330" s="125">
        <v>414</v>
      </c>
      <c r="D330" s="127" t="s">
        <v>1094</v>
      </c>
      <c r="E330" s="143" t="s">
        <v>416</v>
      </c>
      <c r="F330" s="143" t="s">
        <v>416</v>
      </c>
    </row>
    <row r="331" spans="1:6" ht="12.95" customHeight="1">
      <c r="B331" s="125">
        <v>415</v>
      </c>
      <c r="D331" s="127" t="s">
        <v>1095</v>
      </c>
      <c r="E331" s="127" t="s">
        <v>449</v>
      </c>
      <c r="F331" s="127" t="s">
        <v>449</v>
      </c>
    </row>
    <row r="332" spans="1:6" ht="15" customHeight="1">
      <c r="B332" s="125">
        <v>416</v>
      </c>
      <c r="D332" s="127" t="s">
        <v>1096</v>
      </c>
      <c r="E332" s="127" t="s">
        <v>1097</v>
      </c>
      <c r="F332" s="127" t="s">
        <v>1097</v>
      </c>
    </row>
    <row r="333" spans="1:6" ht="15" customHeight="1">
      <c r="A333" s="129"/>
      <c r="B333" s="125">
        <v>417</v>
      </c>
      <c r="C333" s="130" t="s">
        <v>544</v>
      </c>
      <c r="D333" s="128" t="s">
        <v>1098</v>
      </c>
      <c r="E333" s="128" t="s">
        <v>21</v>
      </c>
      <c r="F333" s="128" t="s">
        <v>21</v>
      </c>
    </row>
    <row r="334" spans="1:6" ht="15" customHeight="1">
      <c r="A334" s="129"/>
      <c r="B334" s="125">
        <v>418</v>
      </c>
      <c r="C334" s="130" t="s">
        <v>544</v>
      </c>
      <c r="D334" s="128" t="s">
        <v>1099</v>
      </c>
      <c r="E334" s="128" t="s">
        <v>1100</v>
      </c>
      <c r="F334" s="128" t="s">
        <v>1100</v>
      </c>
    </row>
    <row r="335" spans="1:6" ht="15" customHeight="1">
      <c r="A335" s="129"/>
      <c r="B335" s="125">
        <v>419</v>
      </c>
      <c r="C335" s="130" t="s">
        <v>544</v>
      </c>
      <c r="D335" s="128" t="s">
        <v>1101</v>
      </c>
      <c r="E335" s="128" t="s">
        <v>1102</v>
      </c>
      <c r="F335" s="128" t="s">
        <v>1102</v>
      </c>
    </row>
    <row r="336" spans="1:6" ht="15" customHeight="1">
      <c r="B336" s="125">
        <v>420</v>
      </c>
      <c r="D336" s="127" t="s">
        <v>1103</v>
      </c>
      <c r="E336" s="127" t="s">
        <v>21</v>
      </c>
      <c r="F336" s="127" t="s">
        <v>21</v>
      </c>
    </row>
    <row r="337" spans="2:6" ht="15" customHeight="1">
      <c r="B337" s="125">
        <v>421</v>
      </c>
      <c r="D337" s="127" t="s">
        <v>1104</v>
      </c>
      <c r="E337" s="128" t="s">
        <v>1105</v>
      </c>
      <c r="F337" s="128" t="s">
        <v>1105</v>
      </c>
    </row>
    <row r="338" spans="2:6" ht="15" customHeight="1">
      <c r="B338" s="125">
        <v>422</v>
      </c>
      <c r="D338" s="127" t="s">
        <v>1106</v>
      </c>
      <c r="E338" s="127" t="s">
        <v>1107</v>
      </c>
      <c r="F338" s="127" t="s">
        <v>1107</v>
      </c>
    </row>
    <row r="339" spans="2:6" ht="15" customHeight="1">
      <c r="B339" s="125">
        <v>423</v>
      </c>
      <c r="D339" s="127" t="s">
        <v>1108</v>
      </c>
      <c r="E339" s="127" t="s">
        <v>1109</v>
      </c>
      <c r="F339" s="127" t="s">
        <v>1109</v>
      </c>
    </row>
    <row r="340" spans="2:6" ht="15" customHeight="1">
      <c r="B340" s="125">
        <v>424</v>
      </c>
      <c r="D340" s="127" t="s">
        <v>1110</v>
      </c>
      <c r="E340" s="127" t="s">
        <v>1111</v>
      </c>
      <c r="F340" s="127" t="s">
        <v>1111</v>
      </c>
    </row>
    <row r="341" spans="2:6" ht="15" customHeight="1">
      <c r="B341" s="125">
        <v>425</v>
      </c>
      <c r="D341" s="127" t="s">
        <v>1112</v>
      </c>
      <c r="E341" s="127" t="s">
        <v>1113</v>
      </c>
      <c r="F341" s="127" t="s">
        <v>1113</v>
      </c>
    </row>
    <row r="342" spans="2:6" ht="15" customHeight="1">
      <c r="B342" s="125">
        <v>426</v>
      </c>
      <c r="D342" s="127" t="s">
        <v>1114</v>
      </c>
      <c r="E342" s="127" t="s">
        <v>1115</v>
      </c>
      <c r="F342" s="127" t="s">
        <v>1115</v>
      </c>
    </row>
    <row r="343" spans="2:6" ht="15" customHeight="1">
      <c r="B343" s="125">
        <v>427</v>
      </c>
      <c r="D343" s="127" t="s">
        <v>1116</v>
      </c>
      <c r="E343" s="127" t="s">
        <v>1117</v>
      </c>
      <c r="F343" s="127" t="s">
        <v>1117</v>
      </c>
    </row>
    <row r="344" spans="2:6" ht="15" customHeight="1">
      <c r="B344" s="125">
        <v>428</v>
      </c>
      <c r="D344" s="127" t="s">
        <v>1118</v>
      </c>
      <c r="E344" s="127" t="s">
        <v>426</v>
      </c>
      <c r="F344" s="127" t="s">
        <v>426</v>
      </c>
    </row>
    <row r="345" spans="2:6" ht="15" customHeight="1">
      <c r="B345" s="125">
        <v>429</v>
      </c>
      <c r="D345" s="127" t="s">
        <v>1119</v>
      </c>
      <c r="E345" s="127" t="s">
        <v>1120</v>
      </c>
      <c r="F345" s="127" t="s">
        <v>1120</v>
      </c>
    </row>
    <row r="346" spans="2:6" ht="15" customHeight="1">
      <c r="B346" s="125">
        <v>430</v>
      </c>
      <c r="D346" s="127" t="s">
        <v>1121</v>
      </c>
      <c r="E346" s="127" t="s">
        <v>1122</v>
      </c>
      <c r="F346" s="127" t="s">
        <v>1122</v>
      </c>
    </row>
    <row r="347" spans="2:6" ht="15" customHeight="1">
      <c r="B347" s="125">
        <v>431</v>
      </c>
      <c r="D347" s="127" t="s">
        <v>1123</v>
      </c>
      <c r="E347" s="127" t="s">
        <v>1124</v>
      </c>
      <c r="F347" s="127" t="s">
        <v>1124</v>
      </c>
    </row>
    <row r="348" spans="2:6" ht="15" customHeight="1">
      <c r="B348" s="125">
        <v>432</v>
      </c>
      <c r="D348" s="127" t="s">
        <v>1125</v>
      </c>
      <c r="E348" s="127" t="s">
        <v>1126</v>
      </c>
      <c r="F348" s="127" t="s">
        <v>1126</v>
      </c>
    </row>
    <row r="349" spans="2:6" ht="12.95" customHeight="1">
      <c r="B349" s="125">
        <v>433</v>
      </c>
      <c r="D349" s="127" t="s">
        <v>368</v>
      </c>
      <c r="E349" s="127" t="s">
        <v>1127</v>
      </c>
      <c r="F349" s="127" t="s">
        <v>1127</v>
      </c>
    </row>
    <row r="350" spans="2:6" ht="12.95" customHeight="1">
      <c r="B350" s="125">
        <v>434</v>
      </c>
      <c r="D350" s="127" t="s">
        <v>1128</v>
      </c>
      <c r="E350" s="127" t="s">
        <v>1129</v>
      </c>
      <c r="F350" s="127" t="s">
        <v>1129</v>
      </c>
    </row>
    <row r="351" spans="2:6" ht="12.95" customHeight="1">
      <c r="B351" s="125">
        <v>435</v>
      </c>
      <c r="D351" s="127" t="s">
        <v>1130</v>
      </c>
      <c r="E351" s="127" t="s">
        <v>1131</v>
      </c>
      <c r="F351" s="127" t="s">
        <v>1131</v>
      </c>
    </row>
    <row r="352" spans="2:6" ht="12.95" customHeight="1">
      <c r="B352" s="125">
        <v>436</v>
      </c>
      <c r="D352" s="127" t="s">
        <v>1132</v>
      </c>
      <c r="E352" s="127" t="s">
        <v>1133</v>
      </c>
      <c r="F352" s="127" t="s">
        <v>1133</v>
      </c>
    </row>
    <row r="353" spans="2:6" ht="15" customHeight="1">
      <c r="B353" s="125">
        <v>437</v>
      </c>
      <c r="D353" s="127" t="s">
        <v>1134</v>
      </c>
      <c r="E353" s="127" t="s">
        <v>1135</v>
      </c>
      <c r="F353" s="127" t="s">
        <v>1135</v>
      </c>
    </row>
    <row r="354" spans="2:6" ht="15" customHeight="1">
      <c r="B354" s="125">
        <v>438</v>
      </c>
      <c r="D354" s="127" t="s">
        <v>1136</v>
      </c>
      <c r="E354" s="127" t="s">
        <v>1137</v>
      </c>
      <c r="F354" s="127" t="s">
        <v>1137</v>
      </c>
    </row>
    <row r="355" spans="2:6" ht="15" customHeight="1">
      <c r="B355" s="125">
        <v>439</v>
      </c>
      <c r="D355" s="127" t="s">
        <v>1138</v>
      </c>
      <c r="E355" s="127" t="s">
        <v>1139</v>
      </c>
      <c r="F355" s="127" t="s">
        <v>1139</v>
      </c>
    </row>
    <row r="356" spans="2:6" ht="12.95" customHeight="1">
      <c r="B356" s="125">
        <v>440</v>
      </c>
      <c r="D356" s="127" t="s">
        <v>1140</v>
      </c>
      <c r="E356" s="127" t="s">
        <v>1141</v>
      </c>
      <c r="F356" s="127" t="s">
        <v>1141</v>
      </c>
    </row>
    <row r="357" spans="2:6" ht="12.95" customHeight="1">
      <c r="B357" s="125">
        <v>441</v>
      </c>
      <c r="D357" s="127" t="s">
        <v>1142</v>
      </c>
      <c r="E357" s="127" t="s">
        <v>409</v>
      </c>
      <c r="F357" s="127" t="s">
        <v>409</v>
      </c>
    </row>
    <row r="358" spans="2:6" ht="12.95" customHeight="1">
      <c r="B358" s="125">
        <v>442</v>
      </c>
      <c r="D358" s="127" t="s">
        <v>1143</v>
      </c>
      <c r="E358" s="127" t="s">
        <v>1144</v>
      </c>
      <c r="F358" s="127" t="s">
        <v>1144</v>
      </c>
    </row>
    <row r="359" spans="2:6" ht="12.95" customHeight="1">
      <c r="B359" s="125">
        <v>443</v>
      </c>
      <c r="D359" s="127" t="s">
        <v>1145</v>
      </c>
      <c r="E359" s="127" t="s">
        <v>1146</v>
      </c>
      <c r="F359" s="127" t="s">
        <v>1146</v>
      </c>
    </row>
    <row r="360" spans="2:6" ht="12.95" customHeight="1">
      <c r="B360" s="125">
        <v>444</v>
      </c>
      <c r="D360" s="127" t="s">
        <v>1147</v>
      </c>
      <c r="E360" s="127" t="s">
        <v>1147</v>
      </c>
      <c r="F360" s="127" t="s">
        <v>1147</v>
      </c>
    </row>
    <row r="361" spans="2:6" ht="26.1" customHeight="1">
      <c r="B361" s="125">
        <v>445</v>
      </c>
      <c r="C361" s="126" t="s">
        <v>548</v>
      </c>
      <c r="D361" s="127" t="s">
        <v>1148</v>
      </c>
      <c r="E361" s="127" t="s">
        <v>388</v>
      </c>
      <c r="F361" s="127" t="s">
        <v>388</v>
      </c>
    </row>
    <row r="362" spans="2:6" ht="15" customHeight="1">
      <c r="B362" s="125">
        <v>446</v>
      </c>
      <c r="D362" s="127" t="s">
        <v>1149</v>
      </c>
      <c r="E362" s="127" t="s">
        <v>1150</v>
      </c>
      <c r="F362" s="127" t="s">
        <v>1150</v>
      </c>
    </row>
    <row r="363" spans="2:6" ht="15" customHeight="1">
      <c r="B363" s="125">
        <v>447</v>
      </c>
      <c r="C363" s="126" t="s">
        <v>597</v>
      </c>
      <c r="D363" s="127" t="s">
        <v>1151</v>
      </c>
      <c r="E363" s="127" t="s">
        <v>1152</v>
      </c>
      <c r="F363" s="127" t="s">
        <v>1152</v>
      </c>
    </row>
    <row r="364" spans="2:6" ht="15" customHeight="1">
      <c r="B364" s="125">
        <v>448</v>
      </c>
      <c r="D364" s="127" t="s">
        <v>1153</v>
      </c>
      <c r="E364" s="127" t="s">
        <v>1154</v>
      </c>
      <c r="F364" s="127" t="s">
        <v>1154</v>
      </c>
    </row>
    <row r="365" spans="2:6" ht="30" customHeight="1">
      <c r="B365" s="125">
        <v>449</v>
      </c>
      <c r="D365" s="127" t="s">
        <v>1155</v>
      </c>
      <c r="E365" s="127" t="s">
        <v>1156</v>
      </c>
      <c r="F365" s="127" t="s">
        <v>1156</v>
      </c>
    </row>
    <row r="366" spans="2:6" ht="15" customHeight="1">
      <c r="B366" s="125">
        <v>450</v>
      </c>
      <c r="D366" s="127" t="s">
        <v>1157</v>
      </c>
      <c r="E366" s="127" t="s">
        <v>1158</v>
      </c>
      <c r="F366" s="127" t="s">
        <v>1158</v>
      </c>
    </row>
    <row r="367" spans="2:6" ht="15" customHeight="1">
      <c r="B367" s="125">
        <v>451</v>
      </c>
      <c r="D367" s="127" t="s">
        <v>1159</v>
      </c>
      <c r="E367" s="127" t="s">
        <v>433</v>
      </c>
      <c r="F367" s="127" t="s">
        <v>433</v>
      </c>
    </row>
    <row r="368" spans="2:6" ht="30" customHeight="1">
      <c r="B368" s="125">
        <v>452</v>
      </c>
      <c r="D368" s="127" t="s">
        <v>1160</v>
      </c>
      <c r="E368" s="127" t="s">
        <v>1161</v>
      </c>
      <c r="F368" s="127" t="s">
        <v>1161</v>
      </c>
    </row>
    <row r="369" spans="2:6" ht="15" customHeight="1">
      <c r="B369" s="125">
        <v>453</v>
      </c>
      <c r="D369" s="128" t="s">
        <v>1162</v>
      </c>
      <c r="E369" s="127" t="s">
        <v>19</v>
      </c>
      <c r="F369" s="127" t="s">
        <v>19</v>
      </c>
    </row>
    <row r="370" spans="2:6" ht="15" customHeight="1">
      <c r="B370" s="125">
        <v>454</v>
      </c>
      <c r="D370" s="127" t="s">
        <v>1163</v>
      </c>
      <c r="E370" s="127" t="s">
        <v>1164</v>
      </c>
      <c r="F370" s="127" t="s">
        <v>1164</v>
      </c>
    </row>
    <row r="371" spans="2:6" ht="15" customHeight="1">
      <c r="B371" s="125">
        <v>455</v>
      </c>
      <c r="D371" s="127" t="s">
        <v>1165</v>
      </c>
      <c r="E371" s="127" t="s">
        <v>1166</v>
      </c>
      <c r="F371" s="127" t="s">
        <v>1166</v>
      </c>
    </row>
    <row r="372" spans="2:6" ht="15" customHeight="1">
      <c r="B372" s="125">
        <v>456</v>
      </c>
      <c r="D372" s="127" t="s">
        <v>1167</v>
      </c>
      <c r="E372" s="127" t="s">
        <v>1168</v>
      </c>
      <c r="F372" s="127" t="s">
        <v>1168</v>
      </c>
    </row>
    <row r="373" spans="2:6" ht="15" customHeight="1">
      <c r="B373" s="125">
        <v>457</v>
      </c>
      <c r="D373" s="127" t="s">
        <v>1169</v>
      </c>
      <c r="E373" s="127" t="s">
        <v>1170</v>
      </c>
      <c r="F373" s="127" t="s">
        <v>1170</v>
      </c>
    </row>
    <row r="374" spans="2:6" ht="15" customHeight="1">
      <c r="B374" s="125">
        <v>458</v>
      </c>
      <c r="D374" s="127" t="s">
        <v>1171</v>
      </c>
      <c r="E374" s="127" t="s">
        <v>1172</v>
      </c>
      <c r="F374" s="127" t="s">
        <v>1172</v>
      </c>
    </row>
    <row r="375" spans="2:6" ht="15" customHeight="1">
      <c r="B375" s="125">
        <v>459</v>
      </c>
      <c r="C375" s="126" t="s">
        <v>548</v>
      </c>
      <c r="D375" s="127" t="s">
        <v>1173</v>
      </c>
      <c r="E375" s="127" t="s">
        <v>389</v>
      </c>
      <c r="F375" s="127" t="s">
        <v>389</v>
      </c>
    </row>
    <row r="376" spans="2:6" ht="15" customHeight="1">
      <c r="B376" s="125">
        <v>460</v>
      </c>
      <c r="D376" s="127" t="s">
        <v>1174</v>
      </c>
      <c r="E376" s="127" t="s">
        <v>389</v>
      </c>
      <c r="F376" s="127" t="s">
        <v>389</v>
      </c>
    </row>
    <row r="377" spans="2:6" ht="15" customHeight="1">
      <c r="B377" s="125">
        <v>461</v>
      </c>
      <c r="D377" s="127" t="s">
        <v>1175</v>
      </c>
      <c r="E377" s="127" t="s">
        <v>1176</v>
      </c>
      <c r="F377" s="127" t="s">
        <v>1176</v>
      </c>
    </row>
    <row r="378" spans="2:6" ht="15" customHeight="1">
      <c r="B378" s="125">
        <v>462</v>
      </c>
      <c r="D378" s="127" t="s">
        <v>1177</v>
      </c>
      <c r="E378" s="127" t="s">
        <v>1178</v>
      </c>
      <c r="F378" s="127" t="s">
        <v>1178</v>
      </c>
    </row>
    <row r="379" spans="2:6" ht="15" customHeight="1">
      <c r="B379" s="125">
        <v>463</v>
      </c>
      <c r="D379" s="127" t="s">
        <v>1179</v>
      </c>
      <c r="E379" s="127" t="s">
        <v>425</v>
      </c>
      <c r="F379" s="127" t="s">
        <v>425</v>
      </c>
    </row>
    <row r="380" spans="2:6" ht="12.95" customHeight="1">
      <c r="B380" s="125">
        <v>464</v>
      </c>
      <c r="D380" s="127" t="s">
        <v>1180</v>
      </c>
      <c r="F380" s="127"/>
    </row>
    <row r="381" spans="2:6" ht="15" customHeight="1">
      <c r="B381" s="125">
        <v>465</v>
      </c>
      <c r="D381" s="127" t="s">
        <v>1181</v>
      </c>
      <c r="E381" s="127" t="s">
        <v>1182</v>
      </c>
      <c r="F381" s="127" t="s">
        <v>1182</v>
      </c>
    </row>
    <row r="382" spans="2:6" ht="26.1" customHeight="1">
      <c r="B382" s="125">
        <v>466</v>
      </c>
      <c r="D382" s="127" t="s">
        <v>1183</v>
      </c>
      <c r="E382" s="127" t="s">
        <v>1184</v>
      </c>
      <c r="F382" s="127" t="s">
        <v>1184</v>
      </c>
    </row>
    <row r="383" spans="2:6" ht="26.1" customHeight="1">
      <c r="B383" s="125">
        <v>467</v>
      </c>
      <c r="D383" s="127" t="s">
        <v>1185</v>
      </c>
      <c r="E383" s="127" t="s">
        <v>1186</v>
      </c>
      <c r="F383" s="127" t="s">
        <v>1186</v>
      </c>
    </row>
    <row r="384" spans="2:6" ht="15" customHeight="1">
      <c r="B384" s="125">
        <v>468</v>
      </c>
      <c r="D384" s="127" t="s">
        <v>1187</v>
      </c>
      <c r="E384" s="127" t="s">
        <v>1188</v>
      </c>
      <c r="F384" s="127" t="s">
        <v>1188</v>
      </c>
    </row>
    <row r="385" spans="2:6" ht="15" customHeight="1">
      <c r="B385" s="125">
        <v>469</v>
      </c>
      <c r="D385" s="127" t="s">
        <v>1189</v>
      </c>
      <c r="E385" s="127" t="s">
        <v>1190</v>
      </c>
      <c r="F385" s="127" t="s">
        <v>1190</v>
      </c>
    </row>
    <row r="386" spans="2:6" ht="15" customHeight="1">
      <c r="B386" s="125">
        <v>470</v>
      </c>
      <c r="C386" s="126" t="s">
        <v>548</v>
      </c>
      <c r="D386" s="127" t="s">
        <v>1191</v>
      </c>
      <c r="E386" s="127" t="s">
        <v>372</v>
      </c>
      <c r="F386" s="127" t="s">
        <v>372</v>
      </c>
    </row>
    <row r="387" spans="2:6" ht="15" customHeight="1">
      <c r="B387" s="125">
        <v>471</v>
      </c>
      <c r="C387" s="126" t="s">
        <v>548</v>
      </c>
      <c r="D387" s="127" t="s">
        <v>1192</v>
      </c>
      <c r="E387" s="127" t="s">
        <v>383</v>
      </c>
      <c r="F387" s="127" t="s">
        <v>383</v>
      </c>
    </row>
    <row r="388" spans="2:6" ht="15" customHeight="1">
      <c r="B388" s="125">
        <v>472</v>
      </c>
      <c r="D388" s="127" t="s">
        <v>1193</v>
      </c>
      <c r="E388" s="127" t="s">
        <v>1194</v>
      </c>
      <c r="F388" s="127" t="s">
        <v>1194</v>
      </c>
    </row>
    <row r="389" spans="2:6" ht="15" customHeight="1">
      <c r="B389" s="125">
        <v>473</v>
      </c>
      <c r="C389" s="126" t="s">
        <v>548</v>
      </c>
      <c r="D389" s="127" t="s">
        <v>1195</v>
      </c>
      <c r="E389" s="127" t="s">
        <v>365</v>
      </c>
      <c r="F389" s="127" t="s">
        <v>365</v>
      </c>
    </row>
    <row r="390" spans="2:6" ht="26.1" customHeight="1">
      <c r="B390" s="125">
        <v>474</v>
      </c>
      <c r="C390" s="126" t="s">
        <v>548</v>
      </c>
      <c r="D390" s="127" t="s">
        <v>1196</v>
      </c>
      <c r="E390" s="127" t="s">
        <v>371</v>
      </c>
      <c r="F390" s="127" t="s">
        <v>371</v>
      </c>
    </row>
    <row r="391" spans="2:6" ht="12.95" customHeight="1">
      <c r="B391" s="125">
        <v>475</v>
      </c>
      <c r="C391" s="126" t="s">
        <v>548</v>
      </c>
      <c r="D391" s="127" t="s">
        <v>1197</v>
      </c>
      <c r="E391" s="127" t="s">
        <v>369</v>
      </c>
      <c r="F391" s="127" t="s">
        <v>369</v>
      </c>
    </row>
    <row r="392" spans="2:6" ht="15" customHeight="1">
      <c r="B392" s="125">
        <v>476</v>
      </c>
      <c r="D392" s="127" t="s">
        <v>1198</v>
      </c>
      <c r="E392" s="127" t="s">
        <v>1199</v>
      </c>
      <c r="F392" s="127" t="s">
        <v>1199</v>
      </c>
    </row>
    <row r="393" spans="2:6" ht="15" customHeight="1">
      <c r="B393" s="125">
        <v>477</v>
      </c>
      <c r="D393" s="127" t="s">
        <v>1200</v>
      </c>
      <c r="E393" s="127" t="s">
        <v>1201</v>
      </c>
      <c r="F393" s="127" t="s">
        <v>1201</v>
      </c>
    </row>
    <row r="394" spans="2:6" ht="45" customHeight="1">
      <c r="B394" s="125">
        <v>478</v>
      </c>
      <c r="C394" s="126" t="s">
        <v>548</v>
      </c>
      <c r="D394" s="127" t="s">
        <v>1202</v>
      </c>
      <c r="E394" s="127" t="s">
        <v>391</v>
      </c>
      <c r="F394" s="127" t="s">
        <v>391</v>
      </c>
    </row>
    <row r="395" spans="2:6" ht="15" customHeight="1">
      <c r="B395" s="125">
        <v>479</v>
      </c>
      <c r="D395" s="127" t="s">
        <v>1203</v>
      </c>
      <c r="E395" s="127" t="s">
        <v>458</v>
      </c>
      <c r="F395" s="127" t="s">
        <v>458</v>
      </c>
    </row>
    <row r="396" spans="2:6" ht="15" customHeight="1">
      <c r="B396" s="125">
        <v>480</v>
      </c>
      <c r="D396" s="127" t="s">
        <v>1204</v>
      </c>
      <c r="E396" s="127" t="s">
        <v>1205</v>
      </c>
      <c r="F396" s="127" t="s">
        <v>1205</v>
      </c>
    </row>
    <row r="397" spans="2:6" ht="15" customHeight="1">
      <c r="B397" s="125">
        <v>481</v>
      </c>
      <c r="D397" s="127" t="s">
        <v>1206</v>
      </c>
      <c r="E397" s="127" t="s">
        <v>431</v>
      </c>
      <c r="F397" s="127" t="s">
        <v>431</v>
      </c>
    </row>
    <row r="398" spans="2:6" ht="15" customHeight="1">
      <c r="B398" s="125">
        <v>482</v>
      </c>
      <c r="D398" s="127" t="s">
        <v>1207</v>
      </c>
      <c r="E398" s="127" t="s">
        <v>1208</v>
      </c>
      <c r="F398" s="127" t="s">
        <v>1208</v>
      </c>
    </row>
    <row r="399" spans="2:6" ht="15" customHeight="1">
      <c r="B399" s="125">
        <v>483</v>
      </c>
      <c r="D399" s="127" t="s">
        <v>1209</v>
      </c>
      <c r="E399" s="127" t="s">
        <v>1210</v>
      </c>
      <c r="F399" s="127" t="s">
        <v>1210</v>
      </c>
    </row>
    <row r="400" spans="2:6" ht="15" customHeight="1">
      <c r="B400" s="125">
        <v>484</v>
      </c>
      <c r="D400" s="127" t="s">
        <v>1211</v>
      </c>
      <c r="E400" s="127" t="s">
        <v>1212</v>
      </c>
      <c r="F400" s="127" t="s">
        <v>1212</v>
      </c>
    </row>
    <row r="401" spans="2:6" ht="30" customHeight="1">
      <c r="B401" s="125">
        <v>485</v>
      </c>
      <c r="D401" s="127" t="s">
        <v>1213</v>
      </c>
      <c r="E401" s="127" t="s">
        <v>1214</v>
      </c>
      <c r="F401" s="127" t="s">
        <v>1214</v>
      </c>
    </row>
    <row r="402" spans="2:6" ht="15" customHeight="1">
      <c r="B402" s="125">
        <v>486</v>
      </c>
      <c r="D402" s="127" t="s">
        <v>1215</v>
      </c>
      <c r="E402" s="127" t="s">
        <v>1216</v>
      </c>
      <c r="F402" s="127" t="s">
        <v>1216</v>
      </c>
    </row>
    <row r="403" spans="2:6" ht="15" customHeight="1">
      <c r="B403" s="125">
        <v>487</v>
      </c>
      <c r="D403" s="127" t="s">
        <v>1217</v>
      </c>
      <c r="E403" s="127" t="s">
        <v>1218</v>
      </c>
      <c r="F403" s="127" t="s">
        <v>1218</v>
      </c>
    </row>
    <row r="404" spans="2:6" ht="15" customHeight="1">
      <c r="B404" s="125">
        <v>488</v>
      </c>
      <c r="D404" s="127" t="s">
        <v>1219</v>
      </c>
      <c r="E404" s="127" t="s">
        <v>1220</v>
      </c>
      <c r="F404" s="127" t="s">
        <v>1220</v>
      </c>
    </row>
    <row r="405" spans="2:6" ht="15" customHeight="1">
      <c r="B405" s="125">
        <v>489</v>
      </c>
      <c r="D405" s="127" t="s">
        <v>1221</v>
      </c>
      <c r="E405" s="127" t="s">
        <v>1222</v>
      </c>
      <c r="F405" s="127" t="s">
        <v>1222</v>
      </c>
    </row>
    <row r="406" spans="2:6" ht="15" customHeight="1">
      <c r="B406" s="125">
        <v>490</v>
      </c>
      <c r="C406" s="126" t="s">
        <v>597</v>
      </c>
      <c r="D406" s="127" t="s">
        <v>1223</v>
      </c>
      <c r="E406" s="127" t="s">
        <v>1224</v>
      </c>
      <c r="F406" s="127" t="s">
        <v>1224</v>
      </c>
    </row>
    <row r="407" spans="2:6" ht="15" customHeight="1">
      <c r="B407" s="125">
        <v>491</v>
      </c>
      <c r="D407" s="127" t="s">
        <v>1225</v>
      </c>
      <c r="E407" s="127" t="s">
        <v>1226</v>
      </c>
      <c r="F407" s="127" t="s">
        <v>1226</v>
      </c>
    </row>
    <row r="408" spans="2:6" ht="15" customHeight="1">
      <c r="B408" s="125">
        <v>492</v>
      </c>
      <c r="C408" s="126" t="s">
        <v>1039</v>
      </c>
      <c r="D408" s="127" t="s">
        <v>1227</v>
      </c>
      <c r="E408" s="127" t="s">
        <v>1228</v>
      </c>
      <c r="F408" s="127" t="s">
        <v>1228</v>
      </c>
    </row>
    <row r="409" spans="2:6" ht="15" customHeight="1">
      <c r="B409" s="125">
        <v>493</v>
      </c>
      <c r="C409" s="126" t="s">
        <v>1039</v>
      </c>
      <c r="D409" s="127" t="s">
        <v>1229</v>
      </c>
      <c r="E409" s="127" t="s">
        <v>1230</v>
      </c>
      <c r="F409" s="127" t="s">
        <v>1230</v>
      </c>
    </row>
    <row r="410" spans="2:6" ht="15" customHeight="1">
      <c r="B410" s="125">
        <v>494</v>
      </c>
      <c r="D410" s="127" t="s">
        <v>1231</v>
      </c>
      <c r="E410" s="127" t="s">
        <v>430</v>
      </c>
      <c r="F410" s="127" t="s">
        <v>430</v>
      </c>
    </row>
    <row r="411" spans="2:6" ht="15" customHeight="1">
      <c r="B411" s="125">
        <v>495</v>
      </c>
      <c r="D411" s="127" t="s">
        <v>1232</v>
      </c>
      <c r="E411" s="127" t="s">
        <v>1233</v>
      </c>
      <c r="F411" s="127" t="s">
        <v>1233</v>
      </c>
    </row>
    <row r="412" spans="2:6" ht="15" customHeight="1">
      <c r="B412" s="125">
        <v>496</v>
      </c>
      <c r="C412" s="126" t="s">
        <v>548</v>
      </c>
      <c r="D412" s="127" t="s">
        <v>1234</v>
      </c>
      <c r="E412" s="127" t="s">
        <v>381</v>
      </c>
      <c r="F412" s="127" t="s">
        <v>381</v>
      </c>
    </row>
    <row r="413" spans="2:6" ht="15" customHeight="1">
      <c r="B413" s="125">
        <v>497</v>
      </c>
      <c r="D413" s="127" t="s">
        <v>1235</v>
      </c>
      <c r="E413" s="127" t="s">
        <v>1236</v>
      </c>
      <c r="F413" s="127" t="s">
        <v>1236</v>
      </c>
    </row>
    <row r="414" spans="2:6" ht="45" customHeight="1">
      <c r="B414" s="125">
        <v>498</v>
      </c>
      <c r="D414" s="127" t="s">
        <v>1237</v>
      </c>
      <c r="E414" s="127" t="s">
        <v>1238</v>
      </c>
      <c r="F414" s="127" t="s">
        <v>1238</v>
      </c>
    </row>
    <row r="415" spans="2:6" ht="15" customHeight="1">
      <c r="B415" s="125">
        <v>499</v>
      </c>
      <c r="D415" s="127" t="s">
        <v>1239</v>
      </c>
      <c r="E415" s="127" t="s">
        <v>1240</v>
      </c>
      <c r="F415" s="127" t="s">
        <v>1240</v>
      </c>
    </row>
    <row r="416" spans="2:6" ht="26.1" customHeight="1">
      <c r="B416" s="125">
        <v>500</v>
      </c>
      <c r="D416" s="127" t="s">
        <v>1241</v>
      </c>
      <c r="E416" s="127" t="s">
        <v>1242</v>
      </c>
      <c r="F416" s="127" t="s">
        <v>1242</v>
      </c>
    </row>
    <row r="417" spans="2:6" ht="12.95" customHeight="1">
      <c r="B417" s="125">
        <v>501</v>
      </c>
      <c r="D417" s="127" t="s">
        <v>1243</v>
      </c>
      <c r="E417" s="127" t="s">
        <v>1244</v>
      </c>
      <c r="F417" s="127" t="s">
        <v>1244</v>
      </c>
    </row>
    <row r="418" spans="2:6" ht="26.1" customHeight="1">
      <c r="B418" s="125">
        <v>502</v>
      </c>
      <c r="D418" s="127" t="s">
        <v>1245</v>
      </c>
      <c r="E418" s="127" t="s">
        <v>1246</v>
      </c>
      <c r="F418" s="127" t="s">
        <v>1246</v>
      </c>
    </row>
    <row r="419" spans="2:6" ht="26.1" customHeight="1">
      <c r="B419" s="125">
        <v>503</v>
      </c>
      <c r="D419" s="127" t="s">
        <v>1247</v>
      </c>
      <c r="E419" s="127" t="s">
        <v>1248</v>
      </c>
      <c r="F419" s="127" t="s">
        <v>1248</v>
      </c>
    </row>
    <row r="420" spans="2:6" ht="26.1" customHeight="1">
      <c r="B420" s="125">
        <v>504</v>
      </c>
      <c r="D420" s="127" t="s">
        <v>1249</v>
      </c>
      <c r="E420" s="127" t="s">
        <v>1250</v>
      </c>
      <c r="F420" s="127" t="s">
        <v>1250</v>
      </c>
    </row>
    <row r="421" spans="2:6" ht="26.1" customHeight="1">
      <c r="B421" s="125">
        <v>505</v>
      </c>
      <c r="D421" s="127" t="s">
        <v>1251</v>
      </c>
      <c r="E421" s="127" t="s">
        <v>1252</v>
      </c>
      <c r="F421" s="127" t="s">
        <v>1252</v>
      </c>
    </row>
    <row r="422" spans="2:6" ht="26.1" customHeight="1">
      <c r="B422" s="125">
        <v>506</v>
      </c>
      <c r="D422" s="127" t="s">
        <v>1253</v>
      </c>
      <c r="E422" s="127" t="s">
        <v>1254</v>
      </c>
      <c r="F422" s="127" t="s">
        <v>1254</v>
      </c>
    </row>
    <row r="423" spans="2:6" ht="26.1" customHeight="1">
      <c r="B423" s="125">
        <v>507</v>
      </c>
      <c r="D423" s="127" t="s">
        <v>1255</v>
      </c>
      <c r="E423" s="127" t="s">
        <v>1256</v>
      </c>
      <c r="F423" s="127" t="s">
        <v>1256</v>
      </c>
    </row>
    <row r="424" spans="2:6" ht="26.1" customHeight="1">
      <c r="B424" s="125">
        <v>508</v>
      </c>
      <c r="D424" s="127" t="s">
        <v>1257</v>
      </c>
      <c r="E424" s="127" t="s">
        <v>1258</v>
      </c>
      <c r="F424" s="127" t="s">
        <v>1258</v>
      </c>
    </row>
    <row r="425" spans="2:6" ht="26.1" customHeight="1">
      <c r="B425" s="125">
        <v>509</v>
      </c>
      <c r="D425" s="127" t="s">
        <v>1259</v>
      </c>
      <c r="E425" s="127" t="s">
        <v>1260</v>
      </c>
      <c r="F425" s="127" t="s">
        <v>1260</v>
      </c>
    </row>
    <row r="426" spans="2:6" ht="26.1" customHeight="1">
      <c r="B426" s="125">
        <v>510</v>
      </c>
      <c r="D426" s="127" t="s">
        <v>1261</v>
      </c>
      <c r="E426" s="127" t="s">
        <v>1262</v>
      </c>
      <c r="F426" s="127" t="s">
        <v>1262</v>
      </c>
    </row>
    <row r="427" spans="2:6" ht="26.1" customHeight="1">
      <c r="B427" s="125">
        <v>511</v>
      </c>
      <c r="D427" s="127" t="s">
        <v>1263</v>
      </c>
      <c r="E427" s="127" t="s">
        <v>1264</v>
      </c>
      <c r="F427" s="127" t="s">
        <v>1264</v>
      </c>
    </row>
    <row r="428" spans="2:6" ht="26.1" customHeight="1">
      <c r="B428" s="125">
        <v>512</v>
      </c>
      <c r="D428" s="127" t="s">
        <v>1265</v>
      </c>
      <c r="E428" s="127" t="s">
        <v>1266</v>
      </c>
      <c r="F428" s="127" t="s">
        <v>1266</v>
      </c>
    </row>
    <row r="429" spans="2:6" ht="26.1" customHeight="1">
      <c r="B429" s="125">
        <v>513</v>
      </c>
      <c r="D429" s="127" t="s">
        <v>1267</v>
      </c>
      <c r="E429" s="127" t="s">
        <v>1268</v>
      </c>
      <c r="F429" s="127" t="s">
        <v>1268</v>
      </c>
    </row>
    <row r="430" spans="2:6" ht="26.1" customHeight="1">
      <c r="B430" s="125">
        <v>514</v>
      </c>
      <c r="D430" s="127" t="s">
        <v>1269</v>
      </c>
      <c r="E430" s="127" t="s">
        <v>1270</v>
      </c>
      <c r="F430" s="127" t="s">
        <v>1270</v>
      </c>
    </row>
    <row r="431" spans="2:6" ht="26.1" customHeight="1">
      <c r="B431" s="125">
        <v>515</v>
      </c>
      <c r="D431" s="127" t="s">
        <v>1271</v>
      </c>
      <c r="E431" s="127" t="s">
        <v>1272</v>
      </c>
      <c r="F431" s="127" t="s">
        <v>1272</v>
      </c>
    </row>
    <row r="432" spans="2:6" ht="26.1" customHeight="1">
      <c r="B432" s="125">
        <v>516</v>
      </c>
      <c r="D432" s="127" t="s">
        <v>1273</v>
      </c>
      <c r="E432" s="127" t="s">
        <v>1274</v>
      </c>
      <c r="F432" s="127" t="s">
        <v>1274</v>
      </c>
    </row>
    <row r="433" spans="1:27" ht="26.1" customHeight="1">
      <c r="B433" s="125">
        <v>517</v>
      </c>
      <c r="D433" s="127" t="s">
        <v>1275</v>
      </c>
      <c r="E433" s="127" t="s">
        <v>1276</v>
      </c>
      <c r="F433" s="127" t="s">
        <v>1276</v>
      </c>
    </row>
    <row r="434" spans="1:27" ht="26.1" customHeight="1">
      <c r="B434" s="125">
        <v>518</v>
      </c>
      <c r="D434" s="127" t="s">
        <v>1277</v>
      </c>
      <c r="E434" s="127" t="s">
        <v>1278</v>
      </c>
      <c r="F434" s="127" t="s">
        <v>1278</v>
      </c>
    </row>
    <row r="435" spans="1:27" ht="26.1" customHeight="1">
      <c r="B435" s="125">
        <v>519</v>
      </c>
      <c r="D435" s="127" t="s">
        <v>1279</v>
      </c>
      <c r="E435" s="127" t="s">
        <v>1280</v>
      </c>
      <c r="F435" s="127" t="s">
        <v>1280</v>
      </c>
    </row>
    <row r="436" spans="1:27" ht="26.1" customHeight="1">
      <c r="B436" s="125">
        <v>520</v>
      </c>
      <c r="D436" s="127" t="s">
        <v>1281</v>
      </c>
      <c r="E436" s="127" t="s">
        <v>1282</v>
      </c>
      <c r="F436" s="127" t="s">
        <v>1282</v>
      </c>
    </row>
    <row r="437" spans="1:27" ht="26.1" customHeight="1">
      <c r="B437" s="125">
        <v>521</v>
      </c>
      <c r="D437" s="127" t="s">
        <v>1283</v>
      </c>
      <c r="E437" s="127" t="s">
        <v>1284</v>
      </c>
      <c r="F437" s="127" t="s">
        <v>1284</v>
      </c>
    </row>
    <row r="438" spans="1:27" ht="26.1" customHeight="1">
      <c r="B438" s="125">
        <v>522</v>
      </c>
      <c r="D438" s="127" t="s">
        <v>1285</v>
      </c>
      <c r="E438" s="127" t="s">
        <v>1284</v>
      </c>
      <c r="F438" s="127" t="s">
        <v>1284</v>
      </c>
    </row>
    <row r="439" spans="1:27" ht="30" customHeight="1">
      <c r="B439" s="125">
        <v>523</v>
      </c>
      <c r="D439" s="127" t="s">
        <v>1286</v>
      </c>
      <c r="E439" s="127" t="s">
        <v>1287</v>
      </c>
      <c r="F439" s="127" t="s">
        <v>1287</v>
      </c>
    </row>
    <row r="440" spans="1:27" ht="26.1" customHeight="1">
      <c r="B440" s="125">
        <v>524</v>
      </c>
      <c r="D440" s="127" t="s">
        <v>1288</v>
      </c>
      <c r="E440" s="127" t="s">
        <v>1289</v>
      </c>
      <c r="F440" s="127" t="s">
        <v>1289</v>
      </c>
    </row>
    <row r="441" spans="1:27" ht="30" customHeight="1">
      <c r="B441" s="125">
        <v>525</v>
      </c>
      <c r="D441" s="127" t="s">
        <v>1290</v>
      </c>
      <c r="E441" s="127" t="s">
        <v>1291</v>
      </c>
      <c r="F441" s="127" t="s">
        <v>1291</v>
      </c>
    </row>
    <row r="442" spans="1:27" ht="26.1" customHeight="1">
      <c r="B442" s="125">
        <v>526</v>
      </c>
      <c r="D442" s="127" t="s">
        <v>1292</v>
      </c>
      <c r="E442" s="127" t="s">
        <v>1293</v>
      </c>
      <c r="F442" s="127" t="s">
        <v>1293</v>
      </c>
    </row>
    <row r="443" spans="1:27" ht="26.1" customHeight="1">
      <c r="B443" s="125">
        <v>527</v>
      </c>
      <c r="D443" s="127" t="s">
        <v>1294</v>
      </c>
      <c r="E443" s="127" t="s">
        <v>1295</v>
      </c>
      <c r="F443" s="127" t="s">
        <v>1295</v>
      </c>
    </row>
    <row r="444" spans="1:27" s="128" customFormat="1" ht="26.1" customHeight="1">
      <c r="A444" s="124"/>
      <c r="B444" s="125">
        <v>528</v>
      </c>
      <c r="C444" s="126"/>
      <c r="D444" s="127" t="s">
        <v>1296</v>
      </c>
      <c r="E444" s="127" t="s">
        <v>1297</v>
      </c>
      <c r="F444" s="127" t="s">
        <v>1297</v>
      </c>
      <c r="G444" s="124"/>
      <c r="H444" s="124"/>
      <c r="I444" s="124"/>
      <c r="J444" s="124"/>
      <c r="K444" s="124"/>
      <c r="L444" s="124"/>
      <c r="M444" s="124"/>
      <c r="N444" s="124"/>
      <c r="O444" s="124"/>
      <c r="P444" s="124"/>
      <c r="Q444" s="124"/>
      <c r="R444" s="124"/>
      <c r="S444" s="124"/>
      <c r="T444" s="124"/>
      <c r="U444" s="124"/>
      <c r="V444" s="124"/>
      <c r="W444" s="124"/>
      <c r="X444" s="124"/>
      <c r="Y444" s="124"/>
      <c r="Z444" s="124"/>
      <c r="AA444" s="124"/>
    </row>
    <row r="445" spans="1:27" s="128" customFormat="1" ht="15" customHeight="1">
      <c r="A445" s="124"/>
      <c r="B445" s="125">
        <v>529</v>
      </c>
      <c r="C445" s="126"/>
      <c r="D445" s="127" t="s">
        <v>1298</v>
      </c>
      <c r="E445" s="127" t="s">
        <v>1299</v>
      </c>
      <c r="F445" s="127" t="s">
        <v>1299</v>
      </c>
      <c r="G445" s="124"/>
      <c r="H445" s="124"/>
      <c r="I445" s="124"/>
      <c r="J445" s="124"/>
      <c r="K445" s="124"/>
      <c r="L445" s="124"/>
      <c r="M445" s="124"/>
      <c r="N445" s="124"/>
      <c r="O445" s="124"/>
      <c r="P445" s="124"/>
      <c r="Q445" s="124"/>
      <c r="R445" s="124"/>
      <c r="S445" s="124"/>
      <c r="T445" s="124"/>
      <c r="U445" s="124"/>
      <c r="V445" s="124"/>
      <c r="W445" s="124"/>
      <c r="X445" s="124"/>
      <c r="Y445" s="124"/>
      <c r="Z445" s="124"/>
      <c r="AA445" s="124"/>
    </row>
    <row r="446" spans="1:27" s="129" customFormat="1" ht="30" customHeight="1">
      <c r="A446" s="124"/>
      <c r="B446" s="125">
        <v>530</v>
      </c>
      <c r="C446" s="126"/>
      <c r="D446" s="127" t="s">
        <v>1300</v>
      </c>
      <c r="E446" s="127" t="s">
        <v>1301</v>
      </c>
      <c r="F446" s="127" t="s">
        <v>1301</v>
      </c>
      <c r="G446" s="124"/>
      <c r="H446" s="124"/>
      <c r="I446" s="124"/>
      <c r="J446" s="124"/>
      <c r="K446" s="124"/>
      <c r="L446" s="124"/>
      <c r="M446" s="124"/>
      <c r="N446" s="124"/>
      <c r="O446" s="124"/>
      <c r="P446" s="124"/>
      <c r="Q446" s="124"/>
      <c r="R446" s="124"/>
      <c r="S446" s="124"/>
      <c r="T446" s="124"/>
      <c r="U446" s="124"/>
      <c r="V446" s="124"/>
      <c r="W446" s="124"/>
      <c r="X446" s="124"/>
      <c r="Y446" s="124"/>
      <c r="Z446" s="124"/>
      <c r="AA446" s="124"/>
    </row>
    <row r="447" spans="1:27" s="129" customFormat="1" ht="15" customHeight="1">
      <c r="A447" s="124"/>
      <c r="B447" s="125">
        <v>531</v>
      </c>
      <c r="C447" s="126"/>
      <c r="D447" s="127" t="s">
        <v>1302</v>
      </c>
      <c r="E447" s="127" t="s">
        <v>1303</v>
      </c>
      <c r="F447" s="127" t="s">
        <v>1303</v>
      </c>
      <c r="G447" s="124"/>
      <c r="H447" s="124"/>
      <c r="I447" s="124"/>
      <c r="J447" s="124"/>
      <c r="K447" s="124"/>
      <c r="L447" s="124"/>
      <c r="M447" s="124"/>
      <c r="N447" s="124"/>
      <c r="O447" s="124"/>
      <c r="P447" s="124"/>
      <c r="Q447" s="124"/>
      <c r="R447" s="124"/>
      <c r="S447" s="124"/>
      <c r="T447" s="124"/>
      <c r="U447" s="124"/>
      <c r="V447" s="124"/>
      <c r="W447" s="124"/>
      <c r="X447" s="124"/>
      <c r="Y447" s="124"/>
      <c r="Z447" s="124"/>
      <c r="AA447" s="124"/>
    </row>
    <row r="448" spans="1:27" s="129" customFormat="1" ht="45" customHeight="1">
      <c r="A448" s="124"/>
      <c r="B448" s="125">
        <v>532</v>
      </c>
      <c r="C448" s="126"/>
      <c r="D448" s="127" t="s">
        <v>1304</v>
      </c>
      <c r="E448" s="127" t="s">
        <v>1305</v>
      </c>
      <c r="F448" s="127" t="s">
        <v>1305</v>
      </c>
      <c r="G448" s="124"/>
      <c r="H448" s="124"/>
      <c r="I448" s="124"/>
      <c r="J448" s="124"/>
      <c r="K448" s="124"/>
      <c r="L448" s="124"/>
      <c r="M448" s="124"/>
      <c r="N448" s="124"/>
      <c r="O448" s="124"/>
      <c r="P448" s="124"/>
      <c r="Q448" s="124"/>
      <c r="R448" s="124"/>
      <c r="S448" s="124"/>
      <c r="T448" s="124"/>
      <c r="U448" s="124"/>
      <c r="V448" s="124"/>
      <c r="W448" s="124"/>
      <c r="X448" s="124"/>
      <c r="Y448" s="124"/>
      <c r="Z448" s="124"/>
      <c r="AA448" s="124"/>
    </row>
    <row r="449" spans="1:27" s="129" customFormat="1" ht="15" customHeight="1">
      <c r="A449" s="124"/>
      <c r="B449" s="125">
        <v>533</v>
      </c>
      <c r="C449" s="126"/>
      <c r="D449" s="127" t="s">
        <v>1306</v>
      </c>
      <c r="E449" s="127" t="s">
        <v>1307</v>
      </c>
      <c r="F449" s="127" t="s">
        <v>1307</v>
      </c>
      <c r="G449" s="124"/>
      <c r="H449" s="124"/>
      <c r="I449" s="124"/>
      <c r="J449" s="124"/>
      <c r="K449" s="124"/>
      <c r="L449" s="124"/>
      <c r="M449" s="124"/>
      <c r="N449" s="124"/>
      <c r="O449" s="124"/>
      <c r="P449" s="124"/>
      <c r="Q449" s="124"/>
      <c r="R449" s="124"/>
      <c r="S449" s="124"/>
      <c r="T449" s="124"/>
      <c r="U449" s="124"/>
      <c r="V449" s="124"/>
      <c r="W449" s="124"/>
      <c r="X449" s="124"/>
      <c r="Y449" s="124"/>
      <c r="Z449" s="124"/>
      <c r="AA449" s="124"/>
    </row>
    <row r="450" spans="1:27" s="129" customFormat="1" ht="26.1" customHeight="1">
      <c r="A450" s="124"/>
      <c r="B450" s="125">
        <v>534</v>
      </c>
      <c r="C450" s="126"/>
      <c r="D450" s="127" t="s">
        <v>1308</v>
      </c>
      <c r="E450" s="127" t="s">
        <v>1309</v>
      </c>
      <c r="F450" s="127" t="s">
        <v>1309</v>
      </c>
      <c r="G450" s="124"/>
      <c r="H450" s="124"/>
      <c r="I450" s="124"/>
      <c r="J450" s="124"/>
      <c r="K450" s="124"/>
      <c r="L450" s="124"/>
      <c r="M450" s="124"/>
      <c r="N450" s="124"/>
      <c r="O450" s="124"/>
      <c r="P450" s="124"/>
      <c r="Q450" s="124"/>
      <c r="R450" s="124"/>
      <c r="S450" s="124"/>
      <c r="T450" s="124"/>
      <c r="U450" s="124"/>
      <c r="V450" s="124"/>
      <c r="W450" s="124"/>
      <c r="X450" s="124"/>
      <c r="Y450" s="124"/>
      <c r="Z450" s="124"/>
      <c r="AA450" s="124"/>
    </row>
    <row r="451" spans="1:27" s="129" customFormat="1" ht="30" customHeight="1">
      <c r="A451" s="124"/>
      <c r="B451" s="125">
        <v>535</v>
      </c>
      <c r="C451" s="126"/>
      <c r="D451" s="127" t="s">
        <v>1310</v>
      </c>
      <c r="E451" s="127" t="s">
        <v>1311</v>
      </c>
      <c r="F451" s="127" t="s">
        <v>1311</v>
      </c>
      <c r="G451" s="124"/>
      <c r="H451" s="124"/>
      <c r="I451" s="124"/>
      <c r="J451" s="124"/>
      <c r="K451" s="124"/>
      <c r="L451" s="124"/>
      <c r="M451" s="124"/>
      <c r="N451" s="124"/>
      <c r="O451" s="124"/>
      <c r="P451" s="124"/>
      <c r="Q451" s="124"/>
      <c r="R451" s="124"/>
      <c r="S451" s="124"/>
      <c r="T451" s="124"/>
      <c r="U451" s="124"/>
      <c r="V451" s="124"/>
      <c r="W451" s="124"/>
      <c r="X451" s="124"/>
      <c r="Y451" s="124"/>
      <c r="Z451" s="124"/>
      <c r="AA451" s="124"/>
    </row>
    <row r="452" spans="1:27" s="129" customFormat="1" ht="30" customHeight="1">
      <c r="A452" s="124"/>
      <c r="B452" s="125">
        <v>536</v>
      </c>
      <c r="C452" s="126"/>
      <c r="D452" s="127" t="s">
        <v>1312</v>
      </c>
      <c r="E452" s="127" t="s">
        <v>1313</v>
      </c>
      <c r="F452" s="127" t="s">
        <v>1313</v>
      </c>
      <c r="G452" s="124"/>
      <c r="H452" s="124"/>
      <c r="I452" s="124"/>
      <c r="J452" s="124"/>
      <c r="K452" s="124"/>
      <c r="L452" s="124"/>
      <c r="M452" s="124"/>
      <c r="N452" s="124"/>
      <c r="O452" s="124"/>
      <c r="P452" s="124"/>
      <c r="Q452" s="124"/>
      <c r="R452" s="124"/>
      <c r="S452" s="124"/>
      <c r="T452" s="124"/>
      <c r="U452" s="124"/>
      <c r="V452" s="124"/>
      <c r="W452" s="124"/>
      <c r="X452" s="124"/>
      <c r="Y452" s="124"/>
      <c r="Z452" s="124"/>
      <c r="AA452" s="124"/>
    </row>
    <row r="453" spans="1:27" s="129" customFormat="1" ht="15" customHeight="1">
      <c r="A453" s="124"/>
      <c r="B453" s="125">
        <v>537</v>
      </c>
      <c r="C453" s="126"/>
      <c r="D453" s="127" t="s">
        <v>1314</v>
      </c>
      <c r="E453" s="127" t="s">
        <v>1315</v>
      </c>
      <c r="F453" s="127" t="s">
        <v>1315</v>
      </c>
      <c r="G453" s="124"/>
      <c r="H453" s="124"/>
      <c r="I453" s="124"/>
      <c r="J453" s="124"/>
      <c r="K453" s="124"/>
      <c r="L453" s="124"/>
      <c r="M453" s="124"/>
      <c r="N453" s="124"/>
      <c r="O453" s="124"/>
      <c r="P453" s="124"/>
      <c r="Q453" s="124"/>
      <c r="R453" s="124"/>
      <c r="S453" s="124"/>
      <c r="T453" s="124"/>
      <c r="U453" s="124"/>
      <c r="V453" s="124"/>
      <c r="W453" s="124"/>
      <c r="X453" s="124"/>
      <c r="Y453" s="124"/>
      <c r="Z453" s="124"/>
      <c r="AA453" s="124"/>
    </row>
    <row r="454" spans="1:27" s="129" customFormat="1" ht="15" customHeight="1">
      <c r="A454" s="124"/>
      <c r="B454" s="125">
        <v>538</v>
      </c>
      <c r="C454" s="126"/>
      <c r="D454" s="127" t="s">
        <v>1316</v>
      </c>
      <c r="E454" s="127" t="s">
        <v>1317</v>
      </c>
      <c r="F454" s="127" t="s">
        <v>1317</v>
      </c>
      <c r="G454" s="124"/>
      <c r="H454" s="124"/>
      <c r="I454" s="124"/>
      <c r="J454" s="124"/>
      <c r="K454" s="124"/>
      <c r="L454" s="124"/>
      <c r="M454" s="124"/>
      <c r="N454" s="124"/>
      <c r="O454" s="124"/>
      <c r="P454" s="124"/>
      <c r="Q454" s="124"/>
      <c r="R454" s="124"/>
      <c r="S454" s="124"/>
      <c r="T454" s="124"/>
      <c r="U454" s="124"/>
      <c r="V454" s="124"/>
      <c r="W454" s="124"/>
      <c r="X454" s="124"/>
      <c r="Y454" s="124"/>
      <c r="Z454" s="124"/>
      <c r="AA454" s="124"/>
    </row>
    <row r="455" spans="1:27" s="129" customFormat="1" ht="26.1" customHeight="1">
      <c r="A455" s="124"/>
      <c r="B455" s="125">
        <v>539</v>
      </c>
      <c r="C455" s="126"/>
      <c r="D455" s="127" t="s">
        <v>1318</v>
      </c>
      <c r="E455" s="127" t="s">
        <v>1319</v>
      </c>
      <c r="F455" s="127" t="s">
        <v>1319</v>
      </c>
      <c r="G455" s="124"/>
      <c r="H455" s="124"/>
      <c r="I455" s="124"/>
      <c r="J455" s="124"/>
      <c r="K455" s="124"/>
      <c r="L455" s="124"/>
      <c r="M455" s="124"/>
      <c r="N455" s="124"/>
      <c r="O455" s="124"/>
      <c r="P455" s="124"/>
      <c r="Q455" s="124"/>
      <c r="R455" s="124"/>
      <c r="S455" s="124"/>
      <c r="T455" s="124"/>
      <c r="U455" s="124"/>
      <c r="V455" s="124"/>
      <c r="W455" s="124"/>
      <c r="X455" s="124"/>
      <c r="Y455" s="124"/>
      <c r="Z455" s="124"/>
      <c r="AA455" s="124"/>
    </row>
    <row r="456" spans="1:27" s="129" customFormat="1" ht="15" customHeight="1">
      <c r="A456" s="124"/>
      <c r="B456" s="125">
        <v>540</v>
      </c>
      <c r="C456" s="126"/>
      <c r="D456" s="127" t="s">
        <v>1320</v>
      </c>
      <c r="E456" s="127" t="s">
        <v>1321</v>
      </c>
      <c r="F456" s="127" t="s">
        <v>1321</v>
      </c>
      <c r="G456" s="124"/>
      <c r="H456" s="124"/>
      <c r="I456" s="124"/>
      <c r="J456" s="124"/>
      <c r="K456" s="124"/>
      <c r="L456" s="124"/>
      <c r="M456" s="124"/>
      <c r="N456" s="124"/>
      <c r="O456" s="124"/>
      <c r="P456" s="124"/>
      <c r="Q456" s="124"/>
      <c r="R456" s="124"/>
      <c r="S456" s="124"/>
      <c r="T456" s="124"/>
      <c r="U456" s="124"/>
      <c r="V456" s="124"/>
      <c r="W456" s="124"/>
      <c r="X456" s="124"/>
      <c r="Y456" s="124"/>
      <c r="Z456" s="124"/>
      <c r="AA456" s="124"/>
    </row>
    <row r="457" spans="1:27" ht="15" customHeight="1">
      <c r="B457" s="125">
        <v>541</v>
      </c>
      <c r="D457" s="127" t="s">
        <v>1322</v>
      </c>
      <c r="E457" s="127" t="s">
        <v>1323</v>
      </c>
      <c r="F457" s="127" t="s">
        <v>1323</v>
      </c>
    </row>
    <row r="458" spans="1:27" ht="15" customHeight="1">
      <c r="B458" s="125">
        <v>542</v>
      </c>
      <c r="D458" s="127" t="s">
        <v>1324</v>
      </c>
      <c r="E458" s="127" t="s">
        <v>1325</v>
      </c>
      <c r="F458" s="127" t="s">
        <v>1325</v>
      </c>
    </row>
    <row r="459" spans="1:27" ht="26.1" customHeight="1">
      <c r="B459" s="125">
        <v>543</v>
      </c>
      <c r="D459" s="127" t="s">
        <v>1326</v>
      </c>
      <c r="E459" s="127" t="s">
        <v>1327</v>
      </c>
      <c r="F459" s="127" t="s">
        <v>1327</v>
      </c>
    </row>
    <row r="460" spans="1:27" ht="51.95" customHeight="1">
      <c r="A460" s="128"/>
      <c r="B460" s="125">
        <v>544</v>
      </c>
      <c r="C460" s="134" t="s">
        <v>590</v>
      </c>
      <c r="D460" s="128" t="s">
        <v>1328</v>
      </c>
      <c r="E460" s="128" t="s">
        <v>1329</v>
      </c>
      <c r="F460" s="128" t="s">
        <v>1329</v>
      </c>
    </row>
    <row r="461" spans="1:27" ht="45" customHeight="1">
      <c r="B461" s="125">
        <v>545</v>
      </c>
      <c r="D461" s="127" t="s">
        <v>1330</v>
      </c>
      <c r="E461" s="127" t="s">
        <v>1331</v>
      </c>
      <c r="F461" s="127" t="s">
        <v>1331</v>
      </c>
    </row>
    <row r="462" spans="1:27" ht="15" customHeight="1">
      <c r="B462" s="125">
        <v>546</v>
      </c>
      <c r="D462" s="127" t="s">
        <v>1332</v>
      </c>
      <c r="E462" s="127" t="s">
        <v>1333</v>
      </c>
      <c r="F462" s="127" t="s">
        <v>1333</v>
      </c>
    </row>
    <row r="463" spans="1:27" ht="15" customHeight="1">
      <c r="B463" s="125">
        <v>547</v>
      </c>
      <c r="D463" s="127" t="s">
        <v>1334</v>
      </c>
      <c r="E463" s="127" t="s">
        <v>1335</v>
      </c>
      <c r="F463" s="127" t="s">
        <v>1335</v>
      </c>
    </row>
    <row r="464" spans="1:27" ht="15" customHeight="1">
      <c r="B464" s="125">
        <v>548</v>
      </c>
      <c r="D464" s="127" t="s">
        <v>1336</v>
      </c>
      <c r="E464" s="127" t="s">
        <v>1337</v>
      </c>
      <c r="F464" s="127" t="s">
        <v>1337</v>
      </c>
    </row>
    <row r="465" spans="2:6" ht="26.1" customHeight="1">
      <c r="B465" s="125">
        <v>549</v>
      </c>
      <c r="D465" s="127" t="s">
        <v>1338</v>
      </c>
      <c r="E465" s="127" t="s">
        <v>1339</v>
      </c>
      <c r="F465" s="127" t="s">
        <v>1339</v>
      </c>
    </row>
    <row r="466" spans="2:6" ht="15" customHeight="1">
      <c r="B466" s="125">
        <v>550</v>
      </c>
      <c r="D466" s="127" t="s">
        <v>1340</v>
      </c>
      <c r="E466" s="127" t="s">
        <v>1341</v>
      </c>
      <c r="F466" s="127" t="s">
        <v>1341</v>
      </c>
    </row>
    <row r="467" spans="2:6" ht="15" customHeight="1">
      <c r="B467" s="125">
        <v>551</v>
      </c>
      <c r="D467" s="127" t="s">
        <v>1342</v>
      </c>
      <c r="E467" s="127" t="s">
        <v>1343</v>
      </c>
      <c r="F467" s="127" t="s">
        <v>1343</v>
      </c>
    </row>
    <row r="468" spans="2:6" ht="15" customHeight="1">
      <c r="B468" s="125">
        <v>552</v>
      </c>
      <c r="D468" s="127" t="s">
        <v>1344</v>
      </c>
      <c r="E468" s="127" t="s">
        <v>1345</v>
      </c>
      <c r="F468" s="127" t="s">
        <v>1345</v>
      </c>
    </row>
    <row r="469" spans="2:6" ht="26.1" customHeight="1">
      <c r="B469" s="125">
        <v>553</v>
      </c>
      <c r="D469" s="127" t="s">
        <v>1346</v>
      </c>
      <c r="E469" s="127" t="s">
        <v>1347</v>
      </c>
      <c r="F469" s="127" t="s">
        <v>1347</v>
      </c>
    </row>
    <row r="470" spans="2:6" ht="15" customHeight="1">
      <c r="B470" s="125">
        <v>554</v>
      </c>
      <c r="D470" s="127" t="s">
        <v>1348</v>
      </c>
      <c r="E470" s="127" t="s">
        <v>1349</v>
      </c>
      <c r="F470" s="127" t="s">
        <v>1349</v>
      </c>
    </row>
    <row r="471" spans="2:6" ht="15" customHeight="1">
      <c r="B471" s="125">
        <v>555</v>
      </c>
      <c r="D471" s="127" t="s">
        <v>1350</v>
      </c>
      <c r="E471" s="127" t="s">
        <v>1351</v>
      </c>
      <c r="F471" s="127" t="s">
        <v>1351</v>
      </c>
    </row>
    <row r="472" spans="2:6" ht="15" customHeight="1">
      <c r="B472" s="125">
        <v>556</v>
      </c>
      <c r="D472" s="127" t="s">
        <v>1352</v>
      </c>
      <c r="E472" s="127" t="s">
        <v>1353</v>
      </c>
      <c r="F472" s="127" t="s">
        <v>1353</v>
      </c>
    </row>
    <row r="473" spans="2:6" ht="26.1" customHeight="1">
      <c r="B473" s="125">
        <v>557</v>
      </c>
      <c r="D473" s="127" t="s">
        <v>1354</v>
      </c>
      <c r="E473" s="127" t="s">
        <v>1355</v>
      </c>
      <c r="F473" s="127" t="s">
        <v>1355</v>
      </c>
    </row>
    <row r="474" spans="2:6" ht="26.1" customHeight="1">
      <c r="B474" s="125">
        <v>558</v>
      </c>
      <c r="D474" s="127" t="s">
        <v>1356</v>
      </c>
      <c r="E474" s="127" t="s">
        <v>1357</v>
      </c>
      <c r="F474" s="127" t="s">
        <v>1357</v>
      </c>
    </row>
    <row r="475" spans="2:6" ht="30" customHeight="1">
      <c r="B475" s="125">
        <v>559</v>
      </c>
      <c r="D475" s="127" t="s">
        <v>1358</v>
      </c>
      <c r="E475" s="127" t="s">
        <v>1359</v>
      </c>
      <c r="F475" s="127" t="s">
        <v>1359</v>
      </c>
    </row>
    <row r="476" spans="2:6" ht="15" customHeight="1">
      <c r="B476" s="125">
        <v>560</v>
      </c>
      <c r="D476" s="127" t="s">
        <v>1360</v>
      </c>
      <c r="E476" s="127" t="s">
        <v>1361</v>
      </c>
      <c r="F476" s="127" t="s">
        <v>1361</v>
      </c>
    </row>
    <row r="477" spans="2:6" ht="15" customHeight="1">
      <c r="B477" s="125">
        <v>561</v>
      </c>
      <c r="C477" s="126" t="s">
        <v>1039</v>
      </c>
      <c r="D477" s="127" t="s">
        <v>1362</v>
      </c>
      <c r="E477" s="127" t="s">
        <v>1363</v>
      </c>
      <c r="F477" s="127" t="s">
        <v>1363</v>
      </c>
    </row>
    <row r="478" spans="2:6" ht="30" customHeight="1">
      <c r="B478" s="125">
        <v>562</v>
      </c>
      <c r="C478" s="126" t="s">
        <v>1039</v>
      </c>
      <c r="D478" s="127" t="s">
        <v>1364</v>
      </c>
      <c r="E478" s="127" t="s">
        <v>1365</v>
      </c>
      <c r="F478" s="127" t="s">
        <v>1365</v>
      </c>
    </row>
    <row r="479" spans="2:6" ht="12.95" customHeight="1">
      <c r="B479" s="125">
        <v>563</v>
      </c>
      <c r="D479" s="127" t="s">
        <v>1366</v>
      </c>
      <c r="E479" s="127" t="s">
        <v>1367</v>
      </c>
      <c r="F479" s="127" t="s">
        <v>1367</v>
      </c>
    </row>
    <row r="480" spans="2:6" ht="15" customHeight="1">
      <c r="B480" s="125">
        <v>564</v>
      </c>
      <c r="D480" s="127" t="s">
        <v>1368</v>
      </c>
      <c r="E480" s="127" t="s">
        <v>1369</v>
      </c>
      <c r="F480" s="127" t="s">
        <v>1369</v>
      </c>
    </row>
    <row r="481" spans="2:6" ht="39" customHeight="1">
      <c r="B481" s="125">
        <v>565</v>
      </c>
      <c r="D481" s="127" t="s">
        <v>1370</v>
      </c>
      <c r="E481" s="127" t="s">
        <v>1371</v>
      </c>
      <c r="F481" s="127" t="s">
        <v>1371</v>
      </c>
    </row>
    <row r="482" spans="2:6" ht="15" customHeight="1">
      <c r="B482" s="125">
        <v>566</v>
      </c>
      <c r="D482" s="127" t="s">
        <v>1372</v>
      </c>
      <c r="E482" s="127" t="s">
        <v>1373</v>
      </c>
      <c r="F482" s="127" t="s">
        <v>1373</v>
      </c>
    </row>
    <row r="483" spans="2:6" ht="15" customHeight="1">
      <c r="B483" s="125">
        <v>567</v>
      </c>
      <c r="D483" s="127" t="s">
        <v>1374</v>
      </c>
      <c r="E483" s="127" t="s">
        <v>1375</v>
      </c>
      <c r="F483" s="127" t="s">
        <v>1375</v>
      </c>
    </row>
    <row r="484" spans="2:6" ht="15" customHeight="1">
      <c r="B484" s="125">
        <v>568</v>
      </c>
      <c r="D484" s="127" t="s">
        <v>1376</v>
      </c>
      <c r="E484" s="127" t="s">
        <v>1377</v>
      </c>
      <c r="F484" s="127" t="s">
        <v>1377</v>
      </c>
    </row>
    <row r="485" spans="2:6" ht="15" customHeight="1">
      <c r="B485" s="125">
        <v>569</v>
      </c>
      <c r="D485" s="127" t="s">
        <v>1378</v>
      </c>
      <c r="E485" s="127" t="s">
        <v>1379</v>
      </c>
      <c r="F485" s="127" t="s">
        <v>1379</v>
      </c>
    </row>
    <row r="486" spans="2:6" ht="15" customHeight="1">
      <c r="B486" s="125">
        <v>570</v>
      </c>
      <c r="D486" s="127" t="s">
        <v>1380</v>
      </c>
      <c r="E486" s="127" t="s">
        <v>1381</v>
      </c>
      <c r="F486" s="127" t="s">
        <v>1381</v>
      </c>
    </row>
    <row r="487" spans="2:6" ht="39" customHeight="1">
      <c r="B487" s="125">
        <v>571</v>
      </c>
      <c r="D487" s="127" t="s">
        <v>1382</v>
      </c>
      <c r="E487" s="127" t="s">
        <v>1383</v>
      </c>
      <c r="F487" s="127" t="s">
        <v>1383</v>
      </c>
    </row>
    <row r="488" spans="2:6" ht="15" customHeight="1">
      <c r="B488" s="125">
        <v>572</v>
      </c>
      <c r="D488" s="127" t="s">
        <v>1384</v>
      </c>
      <c r="E488" s="127" t="s">
        <v>1385</v>
      </c>
      <c r="F488" s="127" t="s">
        <v>1385</v>
      </c>
    </row>
    <row r="489" spans="2:6" ht="15" customHeight="1">
      <c r="B489" s="125">
        <v>573</v>
      </c>
      <c r="D489" s="127" t="s">
        <v>1386</v>
      </c>
      <c r="E489" s="127" t="s">
        <v>1387</v>
      </c>
      <c r="F489" s="127" t="s">
        <v>1387</v>
      </c>
    </row>
    <row r="490" spans="2:6" ht="15" customHeight="1">
      <c r="B490" s="125">
        <v>574</v>
      </c>
      <c r="D490" s="127" t="s">
        <v>1388</v>
      </c>
      <c r="E490" s="127" t="s">
        <v>1389</v>
      </c>
      <c r="F490" s="127" t="s">
        <v>1389</v>
      </c>
    </row>
    <row r="491" spans="2:6" ht="30" customHeight="1">
      <c r="B491" s="125">
        <v>575</v>
      </c>
      <c r="D491" s="127" t="s">
        <v>1390</v>
      </c>
      <c r="E491" s="127" t="s">
        <v>1391</v>
      </c>
      <c r="F491" s="127" t="s">
        <v>1391</v>
      </c>
    </row>
    <row r="492" spans="2:6" ht="15" customHeight="1">
      <c r="B492" s="125">
        <v>576</v>
      </c>
      <c r="D492" s="127" t="s">
        <v>1392</v>
      </c>
      <c r="E492" s="127" t="s">
        <v>1393</v>
      </c>
      <c r="F492" s="127" t="s">
        <v>1393</v>
      </c>
    </row>
    <row r="493" spans="2:6" ht="15" customHeight="1">
      <c r="B493" s="125">
        <v>577</v>
      </c>
      <c r="D493" s="127" t="s">
        <v>1394</v>
      </c>
      <c r="E493" s="127" t="s">
        <v>1395</v>
      </c>
      <c r="F493" s="127" t="s">
        <v>1395</v>
      </c>
    </row>
    <row r="494" spans="2:6" ht="15" customHeight="1">
      <c r="B494" s="125">
        <v>578</v>
      </c>
      <c r="D494" s="127" t="s">
        <v>1396</v>
      </c>
      <c r="E494" s="127" t="s">
        <v>1397</v>
      </c>
      <c r="F494" s="127" t="s">
        <v>1397</v>
      </c>
    </row>
    <row r="495" spans="2:6" ht="15" customHeight="1">
      <c r="B495" s="125">
        <v>579</v>
      </c>
      <c r="D495" s="127" t="s">
        <v>1398</v>
      </c>
      <c r="E495" s="127" t="s">
        <v>1399</v>
      </c>
      <c r="F495" s="127" t="s">
        <v>1399</v>
      </c>
    </row>
    <row r="496" spans="2:6" ht="15" customHeight="1">
      <c r="B496" s="125">
        <v>580</v>
      </c>
      <c r="D496" s="127" t="s">
        <v>1400</v>
      </c>
      <c r="E496" s="127" t="s">
        <v>1401</v>
      </c>
      <c r="F496" s="127" t="s">
        <v>1401</v>
      </c>
    </row>
    <row r="497" spans="1:6" ht="15" customHeight="1">
      <c r="B497" s="125">
        <v>581</v>
      </c>
      <c r="D497" s="127" t="s">
        <v>1402</v>
      </c>
      <c r="E497" s="127" t="s">
        <v>1403</v>
      </c>
      <c r="F497" s="127" t="s">
        <v>1403</v>
      </c>
    </row>
    <row r="498" spans="1:6" ht="45" customHeight="1">
      <c r="B498" s="125">
        <v>582</v>
      </c>
      <c r="D498" s="127" t="s">
        <v>1404</v>
      </c>
      <c r="E498" s="127" t="s">
        <v>1405</v>
      </c>
      <c r="F498" s="127" t="s">
        <v>1405</v>
      </c>
    </row>
    <row r="499" spans="1:6" ht="15" customHeight="1">
      <c r="B499" s="125">
        <v>583</v>
      </c>
      <c r="D499" s="127" t="s">
        <v>1406</v>
      </c>
      <c r="E499" s="127" t="s">
        <v>1407</v>
      </c>
      <c r="F499" s="127" t="s">
        <v>1407</v>
      </c>
    </row>
    <row r="500" spans="1:6" ht="15" customHeight="1">
      <c r="B500" s="125">
        <v>584</v>
      </c>
      <c r="D500" s="127" t="s">
        <v>1408</v>
      </c>
      <c r="E500" s="127" t="s">
        <v>1409</v>
      </c>
      <c r="F500" s="127" t="s">
        <v>1409</v>
      </c>
    </row>
    <row r="501" spans="1:6" ht="14.1" customHeight="1">
      <c r="B501" s="125">
        <v>585</v>
      </c>
      <c r="C501" s="126" t="s">
        <v>597</v>
      </c>
      <c r="D501" s="124" t="s">
        <v>1410</v>
      </c>
      <c r="E501" s="132" t="s">
        <v>1411</v>
      </c>
      <c r="F501" s="132" t="s">
        <v>1411</v>
      </c>
    </row>
    <row r="502" spans="1:6" ht="14.1" customHeight="1">
      <c r="B502" s="125">
        <v>586</v>
      </c>
      <c r="C502" s="126" t="s">
        <v>597</v>
      </c>
      <c r="D502" s="127" t="s">
        <v>1412</v>
      </c>
      <c r="E502" s="132" t="s">
        <v>1413</v>
      </c>
      <c r="F502" s="132" t="s">
        <v>1413</v>
      </c>
    </row>
    <row r="503" spans="1:6" ht="15" customHeight="1">
      <c r="B503" s="125">
        <v>587</v>
      </c>
      <c r="D503" s="127" t="s">
        <v>1414</v>
      </c>
      <c r="E503" s="127" t="s">
        <v>1415</v>
      </c>
      <c r="F503" s="127" t="s">
        <v>1415</v>
      </c>
    </row>
    <row r="504" spans="1:6" ht="39" customHeight="1">
      <c r="B504" s="125">
        <v>588</v>
      </c>
      <c r="D504" s="127" t="s">
        <v>1416</v>
      </c>
      <c r="E504" s="127" t="s">
        <v>1417</v>
      </c>
      <c r="F504" s="127" t="s">
        <v>1417</v>
      </c>
    </row>
    <row r="505" spans="1:6" ht="15" customHeight="1">
      <c r="B505" s="125">
        <v>589</v>
      </c>
      <c r="D505" s="127" t="s">
        <v>1418</v>
      </c>
      <c r="E505" s="127" t="s">
        <v>412</v>
      </c>
      <c r="F505" s="127" t="s">
        <v>412</v>
      </c>
    </row>
    <row r="506" spans="1:6" ht="15" customHeight="1">
      <c r="A506" s="129"/>
      <c r="B506" s="125">
        <v>590</v>
      </c>
      <c r="C506" s="130" t="s">
        <v>544</v>
      </c>
      <c r="D506" s="128" t="s">
        <v>1419</v>
      </c>
      <c r="E506" s="128" t="s">
        <v>1420</v>
      </c>
      <c r="F506" s="128" t="s">
        <v>1420</v>
      </c>
    </row>
    <row r="507" spans="1:6" ht="15" customHeight="1">
      <c r="A507" s="129"/>
      <c r="B507" s="125">
        <v>591</v>
      </c>
      <c r="C507" s="130" t="s">
        <v>544</v>
      </c>
      <c r="D507" s="128" t="s">
        <v>1421</v>
      </c>
      <c r="E507" s="128" t="s">
        <v>1422</v>
      </c>
      <c r="F507" s="128" t="s">
        <v>1422</v>
      </c>
    </row>
    <row r="508" spans="1:6" ht="15" customHeight="1">
      <c r="B508" s="125">
        <v>592</v>
      </c>
      <c r="D508" s="127" t="s">
        <v>1423</v>
      </c>
      <c r="E508" s="128" t="s">
        <v>1424</v>
      </c>
      <c r="F508" s="128" t="s">
        <v>1424</v>
      </c>
    </row>
    <row r="509" spans="1:6" ht="15" customHeight="1">
      <c r="B509" s="125">
        <v>593</v>
      </c>
      <c r="D509" s="127" t="s">
        <v>1425</v>
      </c>
      <c r="E509" s="127" t="s">
        <v>1426</v>
      </c>
      <c r="F509" s="127" t="s">
        <v>1426</v>
      </c>
    </row>
    <row r="510" spans="1:6" ht="15" customHeight="1">
      <c r="B510" s="125">
        <v>594</v>
      </c>
      <c r="D510" s="127" t="s">
        <v>1427</v>
      </c>
      <c r="E510" s="127" t="s">
        <v>1428</v>
      </c>
      <c r="F510" s="127" t="s">
        <v>1428</v>
      </c>
    </row>
    <row r="511" spans="1:6" ht="26.1" customHeight="1">
      <c r="B511" s="125">
        <v>595</v>
      </c>
      <c r="D511" s="127" t="s">
        <v>1429</v>
      </c>
      <c r="E511" s="127" t="s">
        <v>1430</v>
      </c>
      <c r="F511" s="127" t="s">
        <v>1430</v>
      </c>
    </row>
    <row r="512" spans="1:6" ht="15" customHeight="1">
      <c r="B512" s="125">
        <v>596</v>
      </c>
      <c r="D512" s="127" t="s">
        <v>1431</v>
      </c>
      <c r="E512" s="127" t="s">
        <v>1432</v>
      </c>
      <c r="F512" s="127" t="s">
        <v>1432</v>
      </c>
    </row>
    <row r="513" spans="2:6" ht="39" customHeight="1">
      <c r="B513" s="125">
        <v>597</v>
      </c>
      <c r="D513" s="127" t="s">
        <v>1433</v>
      </c>
      <c r="E513" s="127" t="s">
        <v>1434</v>
      </c>
      <c r="F513" s="127" t="s">
        <v>1434</v>
      </c>
    </row>
    <row r="514" spans="2:6" ht="15" customHeight="1">
      <c r="B514" s="125">
        <v>598</v>
      </c>
      <c r="D514" s="127" t="s">
        <v>1435</v>
      </c>
      <c r="E514" s="127" t="s">
        <v>1436</v>
      </c>
      <c r="F514" s="127" t="s">
        <v>1436</v>
      </c>
    </row>
    <row r="515" spans="2:6" ht="15" customHeight="1">
      <c r="B515" s="125">
        <v>599</v>
      </c>
      <c r="D515" s="127" t="s">
        <v>1437</v>
      </c>
      <c r="E515" s="127" t="s">
        <v>1438</v>
      </c>
      <c r="F515" s="127" t="s">
        <v>1438</v>
      </c>
    </row>
    <row r="516" spans="2:6" ht="15" customHeight="1">
      <c r="B516" s="125">
        <v>600</v>
      </c>
      <c r="D516" s="127" t="s">
        <v>1439</v>
      </c>
      <c r="E516" s="127" t="s">
        <v>1440</v>
      </c>
      <c r="F516" s="127" t="s">
        <v>1440</v>
      </c>
    </row>
    <row r="517" spans="2:6" ht="15" customHeight="1">
      <c r="B517" s="125">
        <v>601</v>
      </c>
      <c r="D517" s="127" t="s">
        <v>1441</v>
      </c>
      <c r="E517" s="127" t="s">
        <v>459</v>
      </c>
      <c r="F517" s="127" t="s">
        <v>459</v>
      </c>
    </row>
    <row r="518" spans="2:6" ht="15" customHeight="1">
      <c r="B518" s="125">
        <v>602</v>
      </c>
      <c r="D518" s="127" t="s">
        <v>1442</v>
      </c>
      <c r="E518" s="127" t="s">
        <v>460</v>
      </c>
      <c r="F518" s="127" t="s">
        <v>460</v>
      </c>
    </row>
    <row r="519" spans="2:6" ht="15" customHeight="1">
      <c r="B519" s="125">
        <v>603</v>
      </c>
      <c r="D519" s="127" t="s">
        <v>1443</v>
      </c>
      <c r="E519" s="127" t="s">
        <v>439</v>
      </c>
      <c r="F519" s="127" t="s">
        <v>439</v>
      </c>
    </row>
    <row r="520" spans="2:6" ht="12.95" customHeight="1">
      <c r="B520" s="125">
        <v>604</v>
      </c>
      <c r="D520" s="127" t="s">
        <v>15</v>
      </c>
      <c r="E520" s="127" t="s">
        <v>15</v>
      </c>
      <c r="F520" s="127" t="s">
        <v>15</v>
      </c>
    </row>
    <row r="521" spans="2:6" ht="15" customHeight="1">
      <c r="B521" s="125">
        <v>605</v>
      </c>
      <c r="D521" s="127" t="s">
        <v>1444</v>
      </c>
      <c r="E521" s="127" t="s">
        <v>1445</v>
      </c>
      <c r="F521" s="127" t="s">
        <v>1445</v>
      </c>
    </row>
    <row r="522" spans="2:6" ht="30" customHeight="1">
      <c r="B522" s="125">
        <v>606</v>
      </c>
      <c r="D522" s="127" t="s">
        <v>1446</v>
      </c>
      <c r="E522" s="127" t="s">
        <v>1447</v>
      </c>
      <c r="F522" s="127" t="s">
        <v>1447</v>
      </c>
    </row>
    <row r="523" spans="2:6" ht="12.95" customHeight="1">
      <c r="B523" s="125">
        <v>607</v>
      </c>
      <c r="D523" s="127" t="s">
        <v>1448</v>
      </c>
      <c r="E523" s="127" t="s">
        <v>1448</v>
      </c>
      <c r="F523" s="127" t="s">
        <v>1448</v>
      </c>
    </row>
    <row r="524" spans="2:6" ht="15" customHeight="1">
      <c r="B524" s="125">
        <v>608</v>
      </c>
      <c r="D524" s="127" t="s">
        <v>1449</v>
      </c>
      <c r="E524" s="127" t="s">
        <v>1450</v>
      </c>
      <c r="F524" s="127" t="s">
        <v>1450</v>
      </c>
    </row>
    <row r="525" spans="2:6" ht="15" customHeight="1">
      <c r="B525" s="125">
        <v>609</v>
      </c>
      <c r="D525" s="127" t="s">
        <v>1451</v>
      </c>
      <c r="E525" s="127" t="s">
        <v>1452</v>
      </c>
      <c r="F525" s="127" t="s">
        <v>1452</v>
      </c>
    </row>
    <row r="526" spans="2:6" ht="12.95" customHeight="1">
      <c r="B526" s="125">
        <v>610</v>
      </c>
      <c r="D526" s="127" t="s">
        <v>1453</v>
      </c>
      <c r="F526" s="127"/>
    </row>
    <row r="527" spans="2:6" ht="15" customHeight="1">
      <c r="B527" s="125">
        <v>611</v>
      </c>
      <c r="D527" s="127" t="s">
        <v>1454</v>
      </c>
      <c r="E527" s="127" t="s">
        <v>1455</v>
      </c>
      <c r="F527" s="127" t="s">
        <v>1455</v>
      </c>
    </row>
    <row r="528" spans="2:6" ht="15" customHeight="1">
      <c r="B528" s="125">
        <v>612</v>
      </c>
      <c r="C528" s="126" t="s">
        <v>1039</v>
      </c>
      <c r="D528" s="127" t="s">
        <v>1456</v>
      </c>
      <c r="E528" s="127" t="s">
        <v>1457</v>
      </c>
      <c r="F528" s="127" t="s">
        <v>1457</v>
      </c>
    </row>
    <row r="529" spans="2:6" ht="15" customHeight="1">
      <c r="B529" s="125">
        <v>613</v>
      </c>
      <c r="D529" s="127" t="s">
        <v>1458</v>
      </c>
      <c r="E529" s="127" t="s">
        <v>1459</v>
      </c>
      <c r="F529" s="127" t="s">
        <v>1459</v>
      </c>
    </row>
    <row r="530" spans="2:6" ht="15" customHeight="1">
      <c r="B530" s="125">
        <v>614</v>
      </c>
      <c r="D530" s="127" t="s">
        <v>1460</v>
      </c>
      <c r="E530" s="127" t="s">
        <v>1461</v>
      </c>
      <c r="F530" s="127" t="s">
        <v>1461</v>
      </c>
    </row>
    <row r="531" spans="2:6" ht="15" customHeight="1">
      <c r="B531" s="125">
        <v>615</v>
      </c>
      <c r="D531" s="127" t="s">
        <v>1462</v>
      </c>
      <c r="E531" s="127" t="s">
        <v>1459</v>
      </c>
      <c r="F531" s="127" t="s">
        <v>1459</v>
      </c>
    </row>
    <row r="532" spans="2:6" ht="12.95" customHeight="1">
      <c r="B532" s="125">
        <v>616</v>
      </c>
      <c r="D532" s="127" t="s">
        <v>1463</v>
      </c>
      <c r="E532" s="127" t="s">
        <v>18</v>
      </c>
      <c r="F532" s="127" t="s">
        <v>18</v>
      </c>
    </row>
    <row r="533" spans="2:6" ht="12.95" customHeight="1">
      <c r="B533" s="125">
        <v>617</v>
      </c>
      <c r="D533" s="127" t="s">
        <v>1464</v>
      </c>
      <c r="E533" s="127" t="s">
        <v>1465</v>
      </c>
      <c r="F533" s="127" t="s">
        <v>1465</v>
      </c>
    </row>
    <row r="534" spans="2:6" ht="12.95" customHeight="1">
      <c r="B534" s="125">
        <v>618</v>
      </c>
      <c r="D534" s="127" t="s">
        <v>1466</v>
      </c>
      <c r="E534" s="127" t="s">
        <v>1467</v>
      </c>
      <c r="F534" s="127" t="s">
        <v>1467</v>
      </c>
    </row>
    <row r="535" spans="2:6" ht="15" customHeight="1">
      <c r="B535" s="125">
        <v>619</v>
      </c>
      <c r="D535" s="127" t="s">
        <v>1468</v>
      </c>
      <c r="E535" s="127" t="s">
        <v>1469</v>
      </c>
      <c r="F535" s="127" t="s">
        <v>1469</v>
      </c>
    </row>
    <row r="536" spans="2:6" ht="15" customHeight="1">
      <c r="B536" s="125">
        <v>620</v>
      </c>
      <c r="D536" s="127" t="s">
        <v>1470</v>
      </c>
      <c r="E536" s="127" t="s">
        <v>1471</v>
      </c>
      <c r="F536" s="127" t="s">
        <v>1471</v>
      </c>
    </row>
    <row r="537" spans="2:6" ht="26.1" customHeight="1">
      <c r="B537" s="125">
        <v>621</v>
      </c>
      <c r="C537" s="126" t="s">
        <v>548</v>
      </c>
      <c r="D537" s="127" t="s">
        <v>1472</v>
      </c>
      <c r="E537" s="127" t="s">
        <v>367</v>
      </c>
      <c r="F537" s="127" t="s">
        <v>367</v>
      </c>
    </row>
    <row r="538" spans="2:6" ht="39" customHeight="1">
      <c r="B538" s="125">
        <v>622</v>
      </c>
      <c r="C538" s="126" t="s">
        <v>548</v>
      </c>
      <c r="D538" s="127" t="s">
        <v>1473</v>
      </c>
      <c r="E538" s="127" t="s">
        <v>382</v>
      </c>
      <c r="F538" s="127" t="s">
        <v>382</v>
      </c>
    </row>
    <row r="539" spans="2:6" ht="15" customHeight="1">
      <c r="B539" s="125">
        <v>623</v>
      </c>
      <c r="D539" s="127" t="s">
        <v>1474</v>
      </c>
      <c r="E539" s="127" t="s">
        <v>1475</v>
      </c>
      <c r="F539" s="127" t="s">
        <v>1475</v>
      </c>
    </row>
    <row r="540" spans="2:6" ht="15" customHeight="1">
      <c r="B540" s="125">
        <v>624</v>
      </c>
      <c r="D540" s="127" t="s">
        <v>1476</v>
      </c>
      <c r="E540" s="127" t="s">
        <v>401</v>
      </c>
      <c r="F540" s="127" t="s">
        <v>401</v>
      </c>
    </row>
    <row r="541" spans="2:6" ht="12.95" customHeight="1">
      <c r="B541" s="125">
        <v>625</v>
      </c>
      <c r="D541" s="127" t="s">
        <v>1477</v>
      </c>
      <c r="E541" s="127" t="s">
        <v>1477</v>
      </c>
      <c r="F541" s="127" t="s">
        <v>1477</v>
      </c>
    </row>
    <row r="542" spans="2:6" ht="12.95" customHeight="1">
      <c r="B542" s="125">
        <v>626</v>
      </c>
      <c r="D542" s="127" t="s">
        <v>1478</v>
      </c>
      <c r="F542" s="127"/>
    </row>
    <row r="543" spans="2:6" ht="12.95" customHeight="1">
      <c r="B543" s="125">
        <v>627</v>
      </c>
      <c r="D543" s="127" t="s">
        <v>1479</v>
      </c>
      <c r="F543" s="127"/>
    </row>
    <row r="544" spans="2:6" ht="12.95" customHeight="1">
      <c r="B544" s="125">
        <v>628</v>
      </c>
      <c r="D544" s="127" t="s">
        <v>1480</v>
      </c>
      <c r="E544" s="127" t="s">
        <v>1481</v>
      </c>
      <c r="F544" s="127" t="s">
        <v>1481</v>
      </c>
    </row>
    <row r="545" spans="1:6" ht="15" customHeight="1">
      <c r="B545" s="125">
        <v>629</v>
      </c>
      <c r="D545" s="127" t="s">
        <v>1482</v>
      </c>
      <c r="E545" s="127" t="s">
        <v>1483</v>
      </c>
      <c r="F545" s="127" t="s">
        <v>1483</v>
      </c>
    </row>
    <row r="546" spans="1:6" ht="15" customHeight="1">
      <c r="B546" s="125">
        <v>630</v>
      </c>
      <c r="D546" s="127" t="s">
        <v>1484</v>
      </c>
      <c r="E546" s="127" t="s">
        <v>1485</v>
      </c>
      <c r="F546" s="127" t="s">
        <v>1485</v>
      </c>
    </row>
    <row r="547" spans="1:6" ht="15" customHeight="1">
      <c r="B547" s="125">
        <v>631</v>
      </c>
      <c r="D547" s="127" t="s">
        <v>1486</v>
      </c>
      <c r="E547" s="127" t="s">
        <v>1487</v>
      </c>
      <c r="F547" s="127" t="s">
        <v>1487</v>
      </c>
    </row>
    <row r="548" spans="1:6" ht="15" customHeight="1">
      <c r="B548" s="125">
        <v>632</v>
      </c>
      <c r="D548" s="127" t="s">
        <v>1488</v>
      </c>
      <c r="E548" s="127" t="s">
        <v>1489</v>
      </c>
      <c r="F548" s="127" t="s">
        <v>1489</v>
      </c>
    </row>
    <row r="549" spans="1:6" ht="15" customHeight="1">
      <c r="B549" s="125">
        <v>633</v>
      </c>
      <c r="D549" s="127" t="s">
        <v>1490</v>
      </c>
      <c r="E549" s="127" t="s">
        <v>1491</v>
      </c>
      <c r="F549" s="127" t="s">
        <v>1491</v>
      </c>
    </row>
    <row r="550" spans="1:6" ht="30" customHeight="1">
      <c r="A550" s="128"/>
      <c r="B550" s="125">
        <v>634</v>
      </c>
      <c r="C550" s="128"/>
      <c r="D550" s="128" t="s">
        <v>1492</v>
      </c>
      <c r="E550" s="128" t="s">
        <v>1493</v>
      </c>
      <c r="F550" s="128" t="s">
        <v>1493</v>
      </c>
    </row>
    <row r="551" spans="1:6" ht="15" customHeight="1">
      <c r="B551" s="125">
        <v>635</v>
      </c>
      <c r="C551" s="126" t="s">
        <v>548</v>
      </c>
      <c r="D551" s="127" t="s">
        <v>1494</v>
      </c>
      <c r="E551" s="127" t="s">
        <v>361</v>
      </c>
      <c r="F551" s="127" t="s">
        <v>361</v>
      </c>
    </row>
    <row r="552" spans="1:6" ht="15" customHeight="1">
      <c r="B552" s="125">
        <v>636</v>
      </c>
      <c r="C552" s="126" t="s">
        <v>548</v>
      </c>
      <c r="D552" s="127" t="s">
        <v>1495</v>
      </c>
      <c r="E552" s="127" t="s">
        <v>1496</v>
      </c>
      <c r="F552" s="127" t="s">
        <v>1496</v>
      </c>
    </row>
    <row r="553" spans="1:6" ht="12.95" customHeight="1">
      <c r="B553" s="125">
        <v>637</v>
      </c>
      <c r="D553" s="127" t="s">
        <v>1497</v>
      </c>
      <c r="E553" s="127" t="s">
        <v>1497</v>
      </c>
      <c r="F553" s="127" t="s">
        <v>1497</v>
      </c>
    </row>
    <row r="554" spans="1:6" ht="15" customHeight="1">
      <c r="B554" s="125">
        <v>638</v>
      </c>
      <c r="D554" s="127" t="s">
        <v>1498</v>
      </c>
      <c r="E554" s="127" t="s">
        <v>1499</v>
      </c>
      <c r="F554" s="127" t="s">
        <v>1499</v>
      </c>
    </row>
    <row r="555" spans="1:6" ht="15" customHeight="1">
      <c r="B555" s="125">
        <v>639</v>
      </c>
      <c r="D555" s="127" t="s">
        <v>1500</v>
      </c>
      <c r="E555" s="127" t="s">
        <v>1501</v>
      </c>
      <c r="F555" s="127" t="s">
        <v>1501</v>
      </c>
    </row>
    <row r="556" spans="1:6" ht="15" customHeight="1">
      <c r="B556" s="125">
        <v>640</v>
      </c>
      <c r="D556" s="127" t="s">
        <v>1502</v>
      </c>
      <c r="E556" s="127" t="s">
        <v>1503</v>
      </c>
      <c r="F556" s="127" t="s">
        <v>1503</v>
      </c>
    </row>
    <row r="557" spans="1:6" ht="26.1" customHeight="1">
      <c r="B557" s="125">
        <v>641</v>
      </c>
      <c r="C557" s="126" t="s">
        <v>548</v>
      </c>
      <c r="D557" s="127" t="s">
        <v>1504</v>
      </c>
      <c r="E557" s="127" t="s">
        <v>384</v>
      </c>
      <c r="F557" s="127" t="s">
        <v>384</v>
      </c>
    </row>
    <row r="558" spans="1:6" ht="15" customHeight="1">
      <c r="B558" s="125">
        <v>642</v>
      </c>
      <c r="D558" s="127" t="s">
        <v>1505</v>
      </c>
      <c r="E558" s="127" t="s">
        <v>1506</v>
      </c>
      <c r="F558" s="127" t="s">
        <v>1506</v>
      </c>
    </row>
    <row r="559" spans="1:6" ht="45" customHeight="1">
      <c r="B559" s="125">
        <v>643</v>
      </c>
      <c r="C559" s="126" t="s">
        <v>548</v>
      </c>
      <c r="D559" s="127" t="s">
        <v>1507</v>
      </c>
      <c r="E559" s="127" t="s">
        <v>400</v>
      </c>
      <c r="F559" s="127" t="s">
        <v>400</v>
      </c>
    </row>
    <row r="560" spans="1:6" ht="15" customHeight="1">
      <c r="B560" s="125">
        <v>644</v>
      </c>
      <c r="D560" s="127" t="s">
        <v>1508</v>
      </c>
      <c r="E560" s="127" t="s">
        <v>1509</v>
      </c>
      <c r="F560" s="127" t="s">
        <v>1509</v>
      </c>
    </row>
    <row r="561" spans="2:27" ht="15" customHeight="1">
      <c r="B561" s="125">
        <v>645</v>
      </c>
      <c r="D561" s="127" t="s">
        <v>1510</v>
      </c>
      <c r="E561" s="127" t="s">
        <v>1511</v>
      </c>
      <c r="F561" s="127" t="s">
        <v>1511</v>
      </c>
    </row>
    <row r="562" spans="2:27" ht="15" customHeight="1">
      <c r="B562" s="125">
        <v>646</v>
      </c>
      <c r="D562" s="127" t="s">
        <v>1512</v>
      </c>
      <c r="E562" s="127" t="s">
        <v>1513</v>
      </c>
      <c r="F562" s="127" t="s">
        <v>1513</v>
      </c>
    </row>
    <row r="563" spans="2:27" ht="30" customHeight="1">
      <c r="B563" s="125">
        <v>647</v>
      </c>
      <c r="D563" s="127" t="s">
        <v>1514</v>
      </c>
      <c r="E563" s="127" t="s">
        <v>1515</v>
      </c>
      <c r="F563" s="127" t="s">
        <v>1515</v>
      </c>
    </row>
    <row r="564" spans="2:27" ht="15" customHeight="1">
      <c r="B564" s="125">
        <v>648</v>
      </c>
      <c r="D564" s="127" t="s">
        <v>1516</v>
      </c>
      <c r="E564" s="127" t="s">
        <v>1511</v>
      </c>
      <c r="F564" s="127" t="s">
        <v>1511</v>
      </c>
    </row>
    <row r="565" spans="2:27" ht="15" customHeight="1">
      <c r="B565" s="125">
        <v>649</v>
      </c>
      <c r="D565" s="127" t="s">
        <v>1517</v>
      </c>
      <c r="E565" s="127" t="s">
        <v>489</v>
      </c>
      <c r="F565" s="127" t="s">
        <v>489</v>
      </c>
    </row>
    <row r="566" spans="2:27" ht="15" customHeight="1">
      <c r="B566" s="125">
        <v>650</v>
      </c>
      <c r="D566" s="127" t="s">
        <v>1518</v>
      </c>
      <c r="E566" s="127" t="s">
        <v>1519</v>
      </c>
      <c r="F566" s="127" t="s">
        <v>1519</v>
      </c>
    </row>
    <row r="567" spans="2:27" ht="15" customHeight="1">
      <c r="B567" s="125">
        <v>651</v>
      </c>
      <c r="D567" s="127" t="s">
        <v>1520</v>
      </c>
      <c r="E567" s="127" t="s">
        <v>1521</v>
      </c>
      <c r="F567" s="127" t="s">
        <v>1521</v>
      </c>
    </row>
    <row r="568" spans="2:27" ht="15" customHeight="1">
      <c r="B568" s="125">
        <v>652</v>
      </c>
      <c r="D568" s="127" t="s">
        <v>1522</v>
      </c>
      <c r="E568" s="127" t="s">
        <v>1523</v>
      </c>
      <c r="F568" s="127" t="s">
        <v>1523</v>
      </c>
      <c r="H568" s="128"/>
      <c r="I568" s="128"/>
      <c r="J568" s="128"/>
      <c r="K568" s="128"/>
      <c r="L568" s="128"/>
      <c r="M568" s="128"/>
      <c r="N568" s="128"/>
      <c r="O568" s="128"/>
      <c r="P568" s="128"/>
      <c r="Q568" s="128"/>
      <c r="R568" s="128"/>
      <c r="S568" s="128"/>
      <c r="T568" s="128"/>
      <c r="U568" s="128"/>
      <c r="V568" s="128"/>
      <c r="W568" s="128"/>
      <c r="X568" s="128"/>
      <c r="Y568" s="128"/>
      <c r="Z568" s="128"/>
      <c r="AA568" s="128"/>
    </row>
    <row r="569" spans="2:27" ht="26.1" customHeight="1">
      <c r="B569" s="125">
        <v>653</v>
      </c>
      <c r="D569" s="127" t="s">
        <v>1524</v>
      </c>
      <c r="E569" s="127" t="s">
        <v>1525</v>
      </c>
      <c r="F569" s="127" t="s">
        <v>1525</v>
      </c>
      <c r="H569" s="128"/>
      <c r="I569" s="128"/>
      <c r="J569" s="128"/>
      <c r="K569" s="128"/>
      <c r="L569" s="128"/>
      <c r="M569" s="128"/>
      <c r="N569" s="128"/>
      <c r="O569" s="128"/>
      <c r="P569" s="128"/>
      <c r="Q569" s="128"/>
      <c r="R569" s="128"/>
      <c r="S569" s="128"/>
      <c r="T569" s="128"/>
      <c r="U569" s="128"/>
      <c r="V569" s="128"/>
      <c r="W569" s="128"/>
      <c r="X569" s="128"/>
      <c r="Y569" s="128"/>
      <c r="Z569" s="128"/>
      <c r="AA569" s="128"/>
    </row>
    <row r="570" spans="2:27" ht="15" customHeight="1">
      <c r="B570" s="125">
        <v>654</v>
      </c>
      <c r="D570" s="127" t="s">
        <v>1526</v>
      </c>
      <c r="E570" s="127" t="s">
        <v>1509</v>
      </c>
      <c r="F570" s="127" t="s">
        <v>1509</v>
      </c>
      <c r="H570" s="129"/>
      <c r="I570" s="129"/>
      <c r="J570" s="129"/>
      <c r="K570" s="129"/>
      <c r="L570" s="129"/>
      <c r="M570" s="129"/>
      <c r="N570" s="129"/>
      <c r="O570" s="129"/>
      <c r="P570" s="129"/>
      <c r="Q570" s="129"/>
      <c r="R570" s="129"/>
      <c r="S570" s="129"/>
      <c r="T570" s="129"/>
      <c r="U570" s="129"/>
      <c r="V570" s="129"/>
      <c r="W570" s="129"/>
      <c r="X570" s="129"/>
      <c r="Y570" s="129"/>
      <c r="Z570" s="129"/>
      <c r="AA570" s="129"/>
    </row>
    <row r="571" spans="2:27" ht="12.95" customHeight="1">
      <c r="B571" s="125">
        <v>655</v>
      </c>
      <c r="C571" s="126" t="s">
        <v>548</v>
      </c>
      <c r="D571" s="127" t="s">
        <v>1527</v>
      </c>
      <c r="E571" s="127" t="s">
        <v>386</v>
      </c>
      <c r="F571" s="127" t="s">
        <v>386</v>
      </c>
    </row>
    <row r="572" spans="2:27" ht="30" customHeight="1">
      <c r="B572" s="125">
        <v>656</v>
      </c>
      <c r="D572" s="127" t="s">
        <v>1528</v>
      </c>
      <c r="E572" s="127" t="s">
        <v>1529</v>
      </c>
      <c r="F572" s="127" t="s">
        <v>1529</v>
      </c>
      <c r="H572" s="129"/>
      <c r="I572" s="129"/>
      <c r="J572" s="129"/>
      <c r="K572" s="129"/>
      <c r="L572" s="129"/>
      <c r="M572" s="129"/>
      <c r="N572" s="129"/>
      <c r="O572" s="129"/>
      <c r="P572" s="129"/>
      <c r="Q572" s="129"/>
      <c r="R572" s="129"/>
      <c r="S572" s="129"/>
      <c r="T572" s="129"/>
      <c r="U572" s="129"/>
      <c r="V572" s="129"/>
      <c r="W572" s="129"/>
      <c r="X572" s="129"/>
      <c r="Y572" s="129"/>
      <c r="Z572" s="129"/>
      <c r="AA572" s="129"/>
    </row>
    <row r="573" spans="2:27" ht="45" customHeight="1">
      <c r="B573" s="125">
        <v>657</v>
      </c>
      <c r="D573" s="127" t="s">
        <v>1530</v>
      </c>
      <c r="E573" s="127" t="s">
        <v>1531</v>
      </c>
      <c r="F573" s="127" t="s">
        <v>1531</v>
      </c>
      <c r="H573" s="129"/>
      <c r="I573" s="129"/>
      <c r="J573" s="129"/>
      <c r="K573" s="129"/>
      <c r="L573" s="129"/>
      <c r="M573" s="129"/>
      <c r="N573" s="129"/>
      <c r="O573" s="129"/>
      <c r="P573" s="129"/>
      <c r="Q573" s="129"/>
      <c r="R573" s="129"/>
      <c r="S573" s="129"/>
      <c r="T573" s="129"/>
      <c r="U573" s="129"/>
      <c r="V573" s="129"/>
      <c r="W573" s="129"/>
      <c r="X573" s="129"/>
      <c r="Y573" s="129"/>
      <c r="Z573" s="129"/>
      <c r="AA573" s="129"/>
    </row>
    <row r="574" spans="2:27" ht="15" customHeight="1">
      <c r="B574" s="125">
        <v>658</v>
      </c>
      <c r="D574" s="127" t="s">
        <v>1532</v>
      </c>
      <c r="E574" s="127" t="s">
        <v>1533</v>
      </c>
      <c r="F574" s="127" t="s">
        <v>1533</v>
      </c>
      <c r="H574" s="129"/>
      <c r="I574" s="129"/>
      <c r="J574" s="129"/>
      <c r="K574" s="129"/>
      <c r="L574" s="129"/>
      <c r="M574" s="129"/>
      <c r="N574" s="129"/>
      <c r="O574" s="129"/>
      <c r="P574" s="129"/>
      <c r="Q574" s="129"/>
      <c r="R574" s="129"/>
      <c r="S574" s="129"/>
      <c r="T574" s="129"/>
      <c r="U574" s="129"/>
      <c r="V574" s="129"/>
      <c r="W574" s="129"/>
      <c r="X574" s="129"/>
      <c r="Y574" s="129"/>
      <c r="Z574" s="129"/>
      <c r="AA574" s="129"/>
    </row>
    <row r="575" spans="2:27" ht="45" customHeight="1">
      <c r="B575" s="125">
        <v>659</v>
      </c>
      <c r="D575" s="127" t="s">
        <v>1534</v>
      </c>
      <c r="E575" s="127" t="s">
        <v>1535</v>
      </c>
      <c r="F575" s="127" t="s">
        <v>1535</v>
      </c>
      <c r="H575" s="129"/>
      <c r="I575" s="129"/>
      <c r="J575" s="129"/>
      <c r="K575" s="129"/>
      <c r="L575" s="129"/>
      <c r="M575" s="129"/>
      <c r="N575" s="129"/>
      <c r="O575" s="129"/>
      <c r="P575" s="129"/>
      <c r="Q575" s="129"/>
      <c r="R575" s="129"/>
      <c r="S575" s="129"/>
      <c r="T575" s="129"/>
      <c r="U575" s="129"/>
      <c r="V575" s="129"/>
      <c r="W575" s="129"/>
      <c r="X575" s="129"/>
      <c r="Y575" s="129"/>
      <c r="Z575" s="129"/>
      <c r="AA575" s="129"/>
    </row>
    <row r="576" spans="2:27" ht="15" customHeight="1">
      <c r="B576" s="125">
        <v>660</v>
      </c>
      <c r="D576" s="127" t="s">
        <v>1536</v>
      </c>
      <c r="E576" s="127" t="s">
        <v>1537</v>
      </c>
      <c r="F576" s="127" t="s">
        <v>1537</v>
      </c>
      <c r="H576" s="129"/>
      <c r="I576" s="129"/>
      <c r="J576" s="129"/>
      <c r="K576" s="129"/>
      <c r="L576" s="129"/>
      <c r="M576" s="129"/>
      <c r="N576" s="129"/>
      <c r="O576" s="129"/>
      <c r="P576" s="129"/>
      <c r="Q576" s="129"/>
      <c r="R576" s="129"/>
      <c r="S576" s="129"/>
      <c r="T576" s="129"/>
      <c r="U576" s="129"/>
      <c r="V576" s="129"/>
      <c r="W576" s="129"/>
      <c r="X576" s="129"/>
      <c r="Y576" s="129"/>
      <c r="Z576" s="129"/>
      <c r="AA576" s="129"/>
    </row>
    <row r="577" spans="2:27" ht="15" customHeight="1">
      <c r="B577" s="125">
        <v>661</v>
      </c>
      <c r="D577" s="127" t="s">
        <v>1538</v>
      </c>
      <c r="E577" s="127" t="s">
        <v>1539</v>
      </c>
      <c r="F577" s="127" t="s">
        <v>1539</v>
      </c>
      <c r="H577" s="129"/>
      <c r="I577" s="129"/>
      <c r="J577" s="129"/>
      <c r="K577" s="129"/>
      <c r="L577" s="129"/>
      <c r="M577" s="129"/>
      <c r="N577" s="129"/>
      <c r="O577" s="129"/>
      <c r="P577" s="129"/>
      <c r="Q577" s="129"/>
      <c r="R577" s="129"/>
      <c r="S577" s="129"/>
      <c r="T577" s="129"/>
      <c r="U577" s="129"/>
      <c r="V577" s="129"/>
      <c r="W577" s="129"/>
      <c r="X577" s="129"/>
      <c r="Y577" s="129"/>
      <c r="Z577" s="129"/>
      <c r="AA577" s="129"/>
    </row>
    <row r="578" spans="2:27" ht="15" customHeight="1">
      <c r="B578" s="125">
        <v>662</v>
      </c>
      <c r="D578" s="127" t="s">
        <v>1540</v>
      </c>
      <c r="E578" s="127" t="s">
        <v>1541</v>
      </c>
      <c r="F578" s="127" t="s">
        <v>1541</v>
      </c>
      <c r="H578" s="129"/>
      <c r="I578" s="129"/>
      <c r="J578" s="129"/>
      <c r="K578" s="129"/>
      <c r="L578" s="129"/>
      <c r="M578" s="129"/>
      <c r="N578" s="129"/>
      <c r="O578" s="129"/>
      <c r="P578" s="129"/>
      <c r="Q578" s="129"/>
      <c r="R578" s="129"/>
      <c r="S578" s="129"/>
      <c r="T578" s="129"/>
      <c r="U578" s="129"/>
      <c r="V578" s="129"/>
      <c r="W578" s="129"/>
      <c r="X578" s="129"/>
      <c r="Y578" s="129"/>
      <c r="Z578" s="129"/>
      <c r="AA578" s="129"/>
    </row>
    <row r="579" spans="2:27" ht="15" customHeight="1">
      <c r="B579" s="125">
        <v>663</v>
      </c>
      <c r="D579" s="127" t="s">
        <v>1542</v>
      </c>
      <c r="E579" s="127" t="s">
        <v>1543</v>
      </c>
      <c r="F579" s="127" t="s">
        <v>1543</v>
      </c>
      <c r="H579" s="129"/>
      <c r="I579" s="129"/>
      <c r="J579" s="129"/>
      <c r="K579" s="129"/>
      <c r="L579" s="129"/>
      <c r="M579" s="129"/>
      <c r="N579" s="129"/>
      <c r="O579" s="129"/>
      <c r="P579" s="129"/>
      <c r="Q579" s="129"/>
      <c r="R579" s="129"/>
      <c r="S579" s="129"/>
      <c r="T579" s="129"/>
      <c r="U579" s="129"/>
      <c r="V579" s="129"/>
      <c r="W579" s="129"/>
      <c r="X579" s="129"/>
      <c r="Y579" s="129"/>
      <c r="Z579" s="129"/>
      <c r="AA579" s="129"/>
    </row>
    <row r="580" spans="2:27" ht="15" customHeight="1">
      <c r="B580" s="125">
        <v>664</v>
      </c>
      <c r="D580" s="127" t="s">
        <v>1544</v>
      </c>
      <c r="E580" s="127" t="s">
        <v>1545</v>
      </c>
      <c r="F580" s="127" t="s">
        <v>1545</v>
      </c>
      <c r="H580" s="129"/>
      <c r="I580" s="129"/>
      <c r="J580" s="129"/>
      <c r="K580" s="129"/>
      <c r="L580" s="129"/>
      <c r="M580" s="129"/>
      <c r="N580" s="129"/>
      <c r="O580" s="129"/>
      <c r="P580" s="129"/>
      <c r="Q580" s="129"/>
      <c r="R580" s="129"/>
      <c r="S580" s="129"/>
      <c r="T580" s="129"/>
      <c r="U580" s="129"/>
      <c r="V580" s="129"/>
      <c r="W580" s="129"/>
      <c r="X580" s="129"/>
      <c r="Y580" s="129"/>
      <c r="Z580" s="129"/>
      <c r="AA580" s="129"/>
    </row>
    <row r="581" spans="2:27" ht="15" customHeight="1">
      <c r="B581" s="125">
        <v>665</v>
      </c>
      <c r="D581" s="127" t="s">
        <v>1546</v>
      </c>
      <c r="E581" s="127" t="s">
        <v>1547</v>
      </c>
      <c r="F581" s="127" t="s">
        <v>1547</v>
      </c>
      <c r="H581" s="129"/>
      <c r="I581" s="129"/>
      <c r="J581" s="129"/>
      <c r="K581" s="129"/>
      <c r="L581" s="129"/>
      <c r="M581" s="129"/>
      <c r="N581" s="129"/>
      <c r="O581" s="129"/>
      <c r="P581" s="129"/>
      <c r="Q581" s="129"/>
      <c r="R581" s="129"/>
      <c r="S581" s="129"/>
      <c r="T581" s="129"/>
      <c r="U581" s="129"/>
      <c r="V581" s="129"/>
      <c r="W581" s="129"/>
      <c r="X581" s="129"/>
      <c r="Y581" s="129"/>
      <c r="Z581" s="129"/>
      <c r="AA581" s="129"/>
    </row>
    <row r="582" spans="2:27" ht="15" customHeight="1">
      <c r="B582" s="125">
        <v>666</v>
      </c>
      <c r="D582" s="127" t="s">
        <v>1548</v>
      </c>
      <c r="E582" s="127" t="s">
        <v>445</v>
      </c>
      <c r="F582" s="127" t="s">
        <v>445</v>
      </c>
    </row>
    <row r="583" spans="2:27" ht="15" customHeight="1">
      <c r="B583" s="125">
        <v>667</v>
      </c>
      <c r="D583" s="127" t="s">
        <v>1549</v>
      </c>
      <c r="E583" s="127" t="s">
        <v>1550</v>
      </c>
      <c r="F583" s="127" t="s">
        <v>1550</v>
      </c>
    </row>
    <row r="584" spans="2:27" ht="15" customHeight="1">
      <c r="B584" s="125">
        <v>668</v>
      </c>
      <c r="D584" s="127" t="s">
        <v>1551</v>
      </c>
      <c r="E584" s="127" t="s">
        <v>1552</v>
      </c>
      <c r="F584" s="127" t="s">
        <v>1552</v>
      </c>
    </row>
    <row r="585" spans="2:27" ht="15" customHeight="1">
      <c r="B585" s="125">
        <v>669</v>
      </c>
      <c r="D585" s="127" t="s">
        <v>1553</v>
      </c>
      <c r="E585" s="127" t="s">
        <v>1554</v>
      </c>
      <c r="F585" s="127" t="s">
        <v>1554</v>
      </c>
    </row>
    <row r="586" spans="2:27" ht="15" customHeight="1">
      <c r="B586" s="125">
        <v>670</v>
      </c>
      <c r="D586" s="127" t="s">
        <v>1555</v>
      </c>
      <c r="E586" s="127" t="s">
        <v>1556</v>
      </c>
      <c r="F586" s="127" t="s">
        <v>1556</v>
      </c>
    </row>
    <row r="587" spans="2:27" ht="15" customHeight="1">
      <c r="B587" s="125">
        <v>671</v>
      </c>
      <c r="D587" s="127" t="s">
        <v>1557</v>
      </c>
      <c r="E587" s="127" t="s">
        <v>1558</v>
      </c>
      <c r="F587" s="127" t="s">
        <v>1558</v>
      </c>
    </row>
    <row r="588" spans="2:27" ht="15" customHeight="1">
      <c r="B588" s="125">
        <v>672</v>
      </c>
      <c r="D588" s="127" t="s">
        <v>1559</v>
      </c>
      <c r="E588" s="127" t="s">
        <v>1560</v>
      </c>
      <c r="F588" s="127" t="s">
        <v>1560</v>
      </c>
    </row>
    <row r="589" spans="2:27" ht="15" customHeight="1">
      <c r="B589" s="125">
        <v>673</v>
      </c>
      <c r="D589" s="127" t="s">
        <v>1561</v>
      </c>
      <c r="E589" s="127" t="s">
        <v>1562</v>
      </c>
      <c r="F589" s="127" t="s">
        <v>1562</v>
      </c>
    </row>
    <row r="590" spans="2:27" ht="15" customHeight="1">
      <c r="B590" s="125">
        <v>674</v>
      </c>
      <c r="D590" s="127" t="s">
        <v>1563</v>
      </c>
      <c r="E590" s="127" t="s">
        <v>1564</v>
      </c>
      <c r="F590" s="127" t="s">
        <v>1564</v>
      </c>
    </row>
    <row r="591" spans="2:27" ht="15" customHeight="1">
      <c r="B591" s="125">
        <v>675</v>
      </c>
      <c r="D591" s="127" t="s">
        <v>1565</v>
      </c>
      <c r="E591" s="127" t="s">
        <v>1566</v>
      </c>
      <c r="F591" s="127" t="s">
        <v>1566</v>
      </c>
    </row>
    <row r="592" spans="2:27" ht="15" customHeight="1">
      <c r="B592" s="125">
        <v>676</v>
      </c>
      <c r="D592" s="127" t="s">
        <v>1567</v>
      </c>
      <c r="E592" s="127" t="s">
        <v>1568</v>
      </c>
      <c r="F592" s="127" t="s">
        <v>1568</v>
      </c>
    </row>
    <row r="593" spans="2:6" ht="15" customHeight="1">
      <c r="B593" s="125">
        <v>677</v>
      </c>
      <c r="D593" s="127" t="s">
        <v>1569</v>
      </c>
      <c r="E593" s="127" t="s">
        <v>1570</v>
      </c>
      <c r="F593" s="124" t="s">
        <v>1570</v>
      </c>
    </row>
    <row r="594" spans="2:6" ht="15" customHeight="1">
      <c r="B594" s="125">
        <v>678</v>
      </c>
      <c r="D594" s="127" t="s">
        <v>1571</v>
      </c>
      <c r="E594" s="127" t="s">
        <v>1572</v>
      </c>
      <c r="F594" s="127" t="s">
        <v>1572</v>
      </c>
    </row>
    <row r="595" spans="2:6" ht="15" customHeight="1">
      <c r="B595" s="125">
        <v>679</v>
      </c>
      <c r="D595" s="127" t="s">
        <v>1573</v>
      </c>
      <c r="E595" s="127" t="s">
        <v>403</v>
      </c>
      <c r="F595" s="127" t="s">
        <v>403</v>
      </c>
    </row>
    <row r="596" spans="2:6" ht="15" customHeight="1">
      <c r="B596" s="125">
        <v>680</v>
      </c>
      <c r="D596" s="127" t="s">
        <v>1574</v>
      </c>
      <c r="E596" s="142" t="s">
        <v>402</v>
      </c>
      <c r="F596" s="142" t="s">
        <v>402</v>
      </c>
    </row>
    <row r="597" spans="2:6" ht="15" customHeight="1">
      <c r="B597" s="125">
        <v>681</v>
      </c>
      <c r="D597" s="127" t="s">
        <v>1575</v>
      </c>
      <c r="E597" s="142" t="s">
        <v>404</v>
      </c>
      <c r="F597" s="142" t="s">
        <v>404</v>
      </c>
    </row>
    <row r="598" spans="2:6" ht="15" customHeight="1">
      <c r="B598" s="125">
        <v>682</v>
      </c>
      <c r="D598" s="127" t="s">
        <v>1576</v>
      </c>
      <c r="E598" s="144" t="s">
        <v>405</v>
      </c>
      <c r="F598" s="144" t="s">
        <v>405</v>
      </c>
    </row>
    <row r="599" spans="2:6" ht="15" customHeight="1">
      <c r="B599" s="125">
        <v>683</v>
      </c>
      <c r="D599" s="127" t="s">
        <v>1577</v>
      </c>
      <c r="E599" s="144" t="s">
        <v>406</v>
      </c>
      <c r="F599" s="144" t="s">
        <v>406</v>
      </c>
    </row>
    <row r="600" spans="2:6" ht="12.95" customHeight="1">
      <c r="B600" s="125">
        <v>684</v>
      </c>
      <c r="D600" s="127" t="s">
        <v>1578</v>
      </c>
      <c r="E600" s="127" t="s">
        <v>1579</v>
      </c>
      <c r="F600" s="127" t="s">
        <v>1579</v>
      </c>
    </row>
    <row r="601" spans="2:6" ht="15" customHeight="1">
      <c r="B601" s="125">
        <v>685</v>
      </c>
      <c r="D601" s="127" t="s">
        <v>1580</v>
      </c>
      <c r="E601" s="143" t="s">
        <v>1581</v>
      </c>
      <c r="F601" s="143" t="s">
        <v>1581</v>
      </c>
    </row>
    <row r="602" spans="2:6" ht="15" customHeight="1">
      <c r="B602" s="125">
        <v>686</v>
      </c>
      <c r="D602" s="127" t="s">
        <v>1582</v>
      </c>
      <c r="E602" s="150" t="s">
        <v>1583</v>
      </c>
      <c r="F602" s="150" t="s">
        <v>1583</v>
      </c>
    </row>
    <row r="603" spans="2:6" ht="15" customHeight="1">
      <c r="B603" s="125">
        <v>687</v>
      </c>
      <c r="D603" s="127" t="s">
        <v>1584</v>
      </c>
      <c r="E603" s="142" t="s">
        <v>1585</v>
      </c>
      <c r="F603" s="142" t="s">
        <v>1585</v>
      </c>
    </row>
    <row r="604" spans="2:6" ht="15" customHeight="1">
      <c r="B604" s="125">
        <v>688</v>
      </c>
      <c r="D604" s="127" t="s">
        <v>1586</v>
      </c>
      <c r="E604" s="158" t="s">
        <v>1587</v>
      </c>
      <c r="F604" s="158" t="s">
        <v>1587</v>
      </c>
    </row>
    <row r="605" spans="2:6" ht="39" customHeight="1">
      <c r="B605" s="125">
        <v>689</v>
      </c>
      <c r="D605" s="127" t="s">
        <v>1588</v>
      </c>
      <c r="E605" s="176" t="s">
        <v>1589</v>
      </c>
      <c r="F605" s="176" t="s">
        <v>1589</v>
      </c>
    </row>
    <row r="606" spans="2:6" ht="15" customHeight="1">
      <c r="B606" s="125">
        <v>690</v>
      </c>
      <c r="D606" s="127" t="s">
        <v>636</v>
      </c>
      <c r="E606" s="143" t="s">
        <v>1590</v>
      </c>
      <c r="F606" s="143" t="s">
        <v>1590</v>
      </c>
    </row>
    <row r="607" spans="2:6" ht="15" customHeight="1">
      <c r="B607" s="125">
        <v>691</v>
      </c>
      <c r="D607" s="127" t="s">
        <v>637</v>
      </c>
      <c r="E607" s="143" t="s">
        <v>1591</v>
      </c>
      <c r="F607" s="143" t="s">
        <v>1591</v>
      </c>
    </row>
    <row r="608" spans="2:6" ht="15" customHeight="1">
      <c r="B608" s="125">
        <v>692</v>
      </c>
      <c r="D608" s="127" t="s">
        <v>638</v>
      </c>
      <c r="E608" s="143" t="s">
        <v>1592</v>
      </c>
      <c r="F608" s="143" t="s">
        <v>1592</v>
      </c>
    </row>
    <row r="609" spans="2:6" ht="15" customHeight="1">
      <c r="B609" s="125">
        <v>693</v>
      </c>
      <c r="D609" s="127" t="s">
        <v>1593</v>
      </c>
      <c r="E609" s="143" t="s">
        <v>1594</v>
      </c>
      <c r="F609" s="143" t="s">
        <v>1594</v>
      </c>
    </row>
    <row r="610" spans="2:6" ht="15" customHeight="1">
      <c r="B610" s="125">
        <v>694</v>
      </c>
      <c r="D610" s="127" t="s">
        <v>1595</v>
      </c>
      <c r="E610" s="182" t="s">
        <v>1596</v>
      </c>
      <c r="F610" s="182" t="s">
        <v>1596</v>
      </c>
    </row>
    <row r="611" spans="2:6" ht="30" customHeight="1">
      <c r="B611" s="125">
        <v>695</v>
      </c>
      <c r="D611" s="127" t="s">
        <v>1597</v>
      </c>
      <c r="E611" s="181" t="s">
        <v>1598</v>
      </c>
      <c r="F611" s="181" t="s">
        <v>1598</v>
      </c>
    </row>
    <row r="612" spans="2:6" ht="15" customHeight="1">
      <c r="B612" s="125">
        <v>696</v>
      </c>
      <c r="D612" s="127" t="s">
        <v>1599</v>
      </c>
      <c r="E612" s="142" t="s">
        <v>1600</v>
      </c>
      <c r="F612" s="142" t="s">
        <v>1600</v>
      </c>
    </row>
    <row r="613" spans="2:6" ht="15" customHeight="1">
      <c r="B613" s="125">
        <v>697</v>
      </c>
      <c r="D613" s="127" t="s">
        <v>1601</v>
      </c>
      <c r="E613" s="142" t="s">
        <v>1602</v>
      </c>
      <c r="F613" s="142" t="s">
        <v>1602</v>
      </c>
    </row>
    <row r="614" spans="2:6" ht="15" customHeight="1">
      <c r="B614" s="125">
        <v>698</v>
      </c>
      <c r="D614" s="127" t="s">
        <v>1603</v>
      </c>
      <c r="E614" s="142" t="s">
        <v>1604</v>
      </c>
      <c r="F614" s="142" t="s">
        <v>1604</v>
      </c>
    </row>
    <row r="615" spans="2:6" ht="15" customHeight="1">
      <c r="B615" s="125">
        <v>699</v>
      </c>
      <c r="D615" s="127" t="s">
        <v>1605</v>
      </c>
      <c r="E615" s="176" t="s">
        <v>1606</v>
      </c>
      <c r="F615" s="176" t="s">
        <v>1606</v>
      </c>
    </row>
    <row r="616" spans="2:6" ht="14.1" customHeight="1">
      <c r="B616" s="125">
        <v>700</v>
      </c>
      <c r="D616" s="127" t="s">
        <v>1607</v>
      </c>
      <c r="E616" s="176" t="s">
        <v>1608</v>
      </c>
      <c r="F616" s="176" t="s">
        <v>1608</v>
      </c>
    </row>
    <row r="617" spans="2:6" ht="14.1" customHeight="1">
      <c r="B617" s="125">
        <v>701</v>
      </c>
      <c r="D617" s="127" t="s">
        <v>1609</v>
      </c>
      <c r="E617" s="176" t="s">
        <v>1610</v>
      </c>
      <c r="F617" s="176" t="s">
        <v>1610</v>
      </c>
    </row>
    <row r="618" spans="2:6" ht="15" customHeight="1">
      <c r="B618" s="125">
        <v>702</v>
      </c>
      <c r="D618" s="127" t="s">
        <v>1611</v>
      </c>
      <c r="E618" s="143" t="s">
        <v>1612</v>
      </c>
      <c r="F618" s="143" t="s">
        <v>1612</v>
      </c>
    </row>
    <row r="619" spans="2:6" ht="15" customHeight="1">
      <c r="B619" s="125">
        <v>703</v>
      </c>
      <c r="D619" s="127" t="s">
        <v>1613</v>
      </c>
      <c r="E619" s="143" t="s">
        <v>1614</v>
      </c>
      <c r="F619" s="143" t="s">
        <v>1614</v>
      </c>
    </row>
    <row r="620" spans="2:6" ht="15" customHeight="1">
      <c r="B620" s="125">
        <v>704</v>
      </c>
      <c r="D620" s="127" t="s">
        <v>1615</v>
      </c>
      <c r="E620" s="143" t="s">
        <v>1616</v>
      </c>
      <c r="F620" s="143" t="s">
        <v>1616</v>
      </c>
    </row>
    <row r="621" spans="2:6" ht="15" customHeight="1">
      <c r="B621" s="125">
        <v>705</v>
      </c>
      <c r="D621" s="127" t="s">
        <v>1617</v>
      </c>
      <c r="E621" s="142" t="s">
        <v>1618</v>
      </c>
      <c r="F621" s="142" t="s">
        <v>1618</v>
      </c>
    </row>
    <row r="622" spans="2:6" ht="15" customHeight="1">
      <c r="B622" s="125">
        <v>706</v>
      </c>
      <c r="D622" s="127" t="s">
        <v>1619</v>
      </c>
      <c r="E622" s="142" t="s">
        <v>446</v>
      </c>
      <c r="F622" s="142" t="s">
        <v>446</v>
      </c>
    </row>
    <row r="623" spans="2:6" ht="12.95" customHeight="1">
      <c r="B623" s="125">
        <v>707</v>
      </c>
      <c r="D623" s="127" t="s">
        <v>1620</v>
      </c>
      <c r="E623" s="127" t="s">
        <v>447</v>
      </c>
      <c r="F623" s="127" t="s">
        <v>447</v>
      </c>
    </row>
    <row r="624" spans="2:6" ht="12.95" customHeight="1">
      <c r="B624" s="125">
        <v>708</v>
      </c>
      <c r="D624" s="127" t="s">
        <v>1621</v>
      </c>
      <c r="E624" s="127" t="s">
        <v>450</v>
      </c>
      <c r="F624" s="127" t="s">
        <v>450</v>
      </c>
    </row>
    <row r="625" spans="2:6" ht="15" customHeight="1">
      <c r="B625" s="125">
        <v>709</v>
      </c>
      <c r="D625" s="127" t="s">
        <v>1622</v>
      </c>
      <c r="E625" s="143" t="s">
        <v>453</v>
      </c>
      <c r="F625" s="127" t="s">
        <v>1623</v>
      </c>
    </row>
    <row r="626" spans="2:6" ht="15" customHeight="1">
      <c r="B626" s="125">
        <v>710</v>
      </c>
      <c r="D626" s="127" t="s">
        <v>1624</v>
      </c>
      <c r="E626" s="142" t="s">
        <v>1625</v>
      </c>
      <c r="F626" s="142" t="s">
        <v>1625</v>
      </c>
    </row>
    <row r="627" spans="2:6" ht="30" customHeight="1">
      <c r="B627" s="125">
        <v>711</v>
      </c>
      <c r="D627" s="127" t="s">
        <v>1626</v>
      </c>
      <c r="E627" s="176" t="s">
        <v>374</v>
      </c>
      <c r="F627" s="176" t="s">
        <v>374</v>
      </c>
    </row>
    <row r="628" spans="2:6" s="195" customFormat="1" ht="15" customHeight="1">
      <c r="B628" s="125">
        <v>712</v>
      </c>
      <c r="C628" s="196" t="s">
        <v>548</v>
      </c>
      <c r="D628" s="197" t="s">
        <v>1627</v>
      </c>
      <c r="E628" s="197" t="s">
        <v>381</v>
      </c>
      <c r="F628" s="197" t="s">
        <v>381</v>
      </c>
    </row>
  </sheetData>
  <phoneticPr fontId="1" type="noConversion"/>
  <hyperlinks>
    <hyperlink ref="E600" r:id="rId1" xr:uid="{00000000-0004-0000-0600-000000000000}"/>
    <hyperlink ref="F600" r:id="rId2" xr:uid="{00000000-0004-0000-0600-000001000000}"/>
  </hyperlink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125" style="68" customWidth="1"/>
    <col min="2" max="2" width="33.125" style="68" bestFit="1" customWidth="1"/>
    <col min="3" max="3" width="20.125" style="67" customWidth="1"/>
    <col min="4" max="4" width="23.125" style="67" customWidth="1"/>
    <col min="5" max="5" width="10" style="67" customWidth="1"/>
    <col min="6" max="6" width="15.125" style="67" customWidth="1"/>
    <col min="7" max="7" width="21.125" style="67" bestFit="1" customWidth="1"/>
    <col min="8" max="8" width="40.375" style="68" customWidth="1"/>
    <col min="9" max="9" width="23.625" style="68" bestFit="1" customWidth="1"/>
    <col min="10" max="10" width="9.5" style="68" bestFit="1" customWidth="1"/>
    <col min="11" max="11" width="22.5" style="68" bestFit="1" customWidth="1"/>
    <col min="12" max="12" width="60.625" style="68" bestFit="1" customWidth="1"/>
    <col min="13" max="13" width="25.125" style="68" bestFit="1" customWidth="1"/>
    <col min="14" max="14" width="4.625" style="68" bestFit="1" customWidth="1"/>
    <col min="15" max="15" width="23" style="68" bestFit="1" customWidth="1"/>
    <col min="16" max="16" width="8" style="68" bestFit="1" customWidth="1"/>
    <col min="17" max="17" width="28.375" style="68" bestFit="1" customWidth="1"/>
    <col min="18" max="18" width="6" style="68" bestFit="1" customWidth="1"/>
    <col min="19" max="19" width="27.625" style="68" bestFit="1" customWidth="1"/>
    <col min="20" max="20" width="4.625" style="68" bestFit="1" customWidth="1"/>
    <col min="21" max="21" width="24.375" style="68" bestFit="1" customWidth="1"/>
    <col min="22" max="22" width="4.1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625" style="68" bestFit="1" customWidth="1"/>
    <col min="30" max="30" width="4.125" style="68" bestFit="1" customWidth="1"/>
    <col min="31" max="31" width="15.375" style="68" bestFit="1" customWidth="1"/>
    <col min="32" max="32" width="39.625" style="68" bestFit="1" customWidth="1"/>
    <col min="33" max="33" width="35.625" style="68" bestFit="1" customWidth="1"/>
    <col min="34" max="34" width="4.875" style="68" bestFit="1" customWidth="1"/>
    <col min="35" max="35" width="24.125" style="68" bestFit="1" customWidth="1"/>
    <col min="36" max="36" width="8.62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1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ustomWidth="1"/>
    <col min="67" max="67" width="33.625" style="68" bestFit="1" customWidth="1"/>
    <col min="68" max="68" width="10" style="68" customWidth="1"/>
    <col min="69" max="16384" width="10" style="68"/>
  </cols>
  <sheetData>
    <row r="1" spans="1:8" s="67" customFormat="1">
      <c r="A1" s="66" t="s">
        <v>1628</v>
      </c>
      <c r="B1" s="66" t="s">
        <v>1629</v>
      </c>
      <c r="C1" s="66" t="s">
        <v>1630</v>
      </c>
      <c r="D1" s="66" t="s">
        <v>1631</v>
      </c>
      <c r="E1" s="66" t="s">
        <v>1632</v>
      </c>
      <c r="F1" s="66" t="s">
        <v>1633</v>
      </c>
      <c r="G1" s="66" t="s">
        <v>1634</v>
      </c>
      <c r="H1" s="66" t="s">
        <v>1635</v>
      </c>
    </row>
    <row r="2" spans="1:8">
      <c r="A2" s="120" t="s">
        <v>1636</v>
      </c>
      <c r="B2" s="120" t="s">
        <v>1637</v>
      </c>
      <c r="C2" s="121" t="s">
        <v>1638</v>
      </c>
      <c r="D2" s="121"/>
      <c r="E2" s="121"/>
      <c r="F2" s="121"/>
      <c r="G2" s="121"/>
      <c r="H2" s="121" t="s">
        <v>1639</v>
      </c>
    </row>
    <row r="3" spans="1:8">
      <c r="A3" s="120" t="s">
        <v>1636</v>
      </c>
      <c r="B3" s="120" t="s">
        <v>1640</v>
      </c>
      <c r="C3" s="121" t="s">
        <v>1638</v>
      </c>
      <c r="D3" s="121"/>
      <c r="E3" s="121"/>
      <c r="F3" s="121"/>
      <c r="G3" s="121"/>
      <c r="H3" s="121" t="s">
        <v>1639</v>
      </c>
    </row>
    <row r="4" spans="1:8">
      <c r="A4" s="120" t="s">
        <v>1636</v>
      </c>
      <c r="B4" s="120" t="s">
        <v>1641</v>
      </c>
      <c r="C4" s="136" t="s">
        <v>1642</v>
      </c>
      <c r="D4" s="121"/>
      <c r="E4" s="121"/>
      <c r="F4" s="121"/>
      <c r="G4" s="121"/>
      <c r="H4" s="121" t="s">
        <v>1639</v>
      </c>
    </row>
    <row r="5" spans="1:8">
      <c r="A5" s="120" t="s">
        <v>1636</v>
      </c>
      <c r="B5" s="120" t="s">
        <v>1643</v>
      </c>
      <c r="C5" s="121" t="s">
        <v>1644</v>
      </c>
      <c r="D5" s="121"/>
      <c r="E5" s="121"/>
      <c r="F5" s="121"/>
      <c r="G5" s="121"/>
      <c r="H5" s="121" t="s">
        <v>1639</v>
      </c>
    </row>
    <row r="6" spans="1:8" ht="13.5">
      <c r="A6" s="120" t="s">
        <v>1636</v>
      </c>
      <c r="B6" s="120" t="s">
        <v>1645</v>
      </c>
      <c r="C6" s="137" t="s">
        <v>902</v>
      </c>
      <c r="D6" s="121"/>
      <c r="E6" s="121"/>
      <c r="F6" s="121"/>
      <c r="G6" s="121"/>
      <c r="H6" s="121" t="s">
        <v>1639</v>
      </c>
    </row>
    <row r="7" spans="1:8">
      <c r="A7" s="120" t="s">
        <v>1636</v>
      </c>
      <c r="B7" s="120" t="s">
        <v>1646</v>
      </c>
      <c r="C7" s="120" t="s">
        <v>1638</v>
      </c>
      <c r="D7" s="121"/>
      <c r="E7" s="121"/>
      <c r="F7" s="121"/>
      <c r="G7" s="121"/>
      <c r="H7" s="121" t="s">
        <v>1639</v>
      </c>
    </row>
    <row r="8" spans="1:8">
      <c r="A8" s="139" t="s">
        <v>1636</v>
      </c>
      <c r="B8" s="139" t="s">
        <v>1647</v>
      </c>
      <c r="C8" s="140" t="s">
        <v>1648</v>
      </c>
      <c r="D8" s="141" t="s">
        <v>1793</v>
      </c>
      <c r="E8" s="141">
        <v>82</v>
      </c>
      <c r="F8" s="141"/>
      <c r="G8" s="139"/>
      <c r="H8" s="141" t="s">
        <v>1649</v>
      </c>
    </row>
    <row r="9" spans="1:8">
      <c r="A9" s="120" t="s">
        <v>1636</v>
      </c>
      <c r="B9" s="120" t="s">
        <v>1650</v>
      </c>
      <c r="C9" s="138">
        <v>46119</v>
      </c>
      <c r="D9" s="121"/>
      <c r="E9" s="121"/>
      <c r="F9" s="121"/>
      <c r="G9" s="121"/>
      <c r="H9" s="121" t="s">
        <v>1639</v>
      </c>
    </row>
    <row r="10" spans="1:8">
      <c r="A10" s="120" t="s">
        <v>1636</v>
      </c>
      <c r="B10" s="120" t="s">
        <v>1651</v>
      </c>
      <c r="C10" s="121" t="s">
        <v>1652</v>
      </c>
      <c r="D10" s="121"/>
      <c r="E10" s="121"/>
      <c r="F10" s="121"/>
      <c r="G10" s="121"/>
      <c r="H10" s="121" t="s">
        <v>1639</v>
      </c>
    </row>
    <row r="11" spans="1:8">
      <c r="A11" s="68" t="s">
        <v>1653</v>
      </c>
      <c r="B11" s="68" t="s">
        <v>1654</v>
      </c>
      <c r="C11" s="67">
        <v>1</v>
      </c>
      <c r="G11" s="70">
        <v>46254.700914351852</v>
      </c>
    </row>
    <row r="12" spans="1:8">
      <c r="A12" s="68" t="s">
        <v>1653</v>
      </c>
      <c r="B12" s="68" t="s">
        <v>1655</v>
      </c>
      <c r="C12" s="67">
        <v>1</v>
      </c>
    </row>
    <row r="13" spans="1:8">
      <c r="A13" s="68" t="s">
        <v>1653</v>
      </c>
      <c r="B13" s="68" t="s">
        <v>1656</v>
      </c>
      <c r="C13" s="67">
        <v>1</v>
      </c>
      <c r="G13" s="70">
        <v>46254.700914351852</v>
      </c>
    </row>
    <row r="14" spans="1:8">
      <c r="A14" s="68" t="s">
        <v>1653</v>
      </c>
      <c r="B14" s="68" t="s">
        <v>1657</v>
      </c>
      <c r="C14" s="67">
        <v>0</v>
      </c>
      <c r="G14" s="70">
        <v>46254.700914351852</v>
      </c>
    </row>
    <row r="15" spans="1:8">
      <c r="A15" s="68" t="s">
        <v>1653</v>
      </c>
      <c r="B15" s="68" t="s">
        <v>1658</v>
      </c>
      <c r="C15" s="67">
        <v>1</v>
      </c>
      <c r="G15" s="70">
        <v>46254.700914351852</v>
      </c>
    </row>
    <row r="16" spans="1:8">
      <c r="A16" s="68" t="s">
        <v>1653</v>
      </c>
      <c r="B16" s="68" t="s">
        <v>1659</v>
      </c>
      <c r="C16" s="67">
        <v>1</v>
      </c>
      <c r="G16" s="70">
        <v>46254.700914351852</v>
      </c>
    </row>
    <row r="17" spans="1:7">
      <c r="A17" s="68" t="s">
        <v>1653</v>
      </c>
      <c r="B17" s="68" t="s">
        <v>1660</v>
      </c>
      <c r="C17" s="67">
        <v>1</v>
      </c>
      <c r="G17" s="70">
        <v>46254.700914351852</v>
      </c>
    </row>
    <row r="18" spans="1:7">
      <c r="A18" s="68" t="s">
        <v>1653</v>
      </c>
      <c r="B18" s="68" t="s">
        <v>1661</v>
      </c>
      <c r="C18" s="67">
        <v>1</v>
      </c>
      <c r="G18" s="70">
        <v>46254.700914351852</v>
      </c>
    </row>
    <row r="19" spans="1:7">
      <c r="A19" s="68" t="s">
        <v>1653</v>
      </c>
      <c r="B19" s="68" t="s">
        <v>1662</v>
      </c>
      <c r="C19" s="69" t="s">
        <v>1663</v>
      </c>
      <c r="G19" s="70">
        <v>46254.700914351852</v>
      </c>
    </row>
    <row r="20" spans="1:7">
      <c r="A20" s="68" t="s">
        <v>1653</v>
      </c>
      <c r="B20" s="68" t="s">
        <v>1664</v>
      </c>
      <c r="C20" s="67">
        <v>0</v>
      </c>
      <c r="G20" s="70">
        <v>46254.700914351852</v>
      </c>
    </row>
    <row r="21" spans="1:7">
      <c r="A21" s="68" t="s">
        <v>1653</v>
      </c>
      <c r="B21" s="68" t="s">
        <v>1665</v>
      </c>
      <c r="C21" s="67">
        <v>0</v>
      </c>
      <c r="G21" s="70">
        <v>46254.700914351852</v>
      </c>
    </row>
    <row r="22" spans="1:7">
      <c r="A22" s="68" t="s">
        <v>1653</v>
      </c>
      <c r="B22" s="68" t="s">
        <v>1666</v>
      </c>
      <c r="C22" s="67">
        <v>1</v>
      </c>
      <c r="G22" s="70">
        <v>46254.700914351852</v>
      </c>
    </row>
    <row r="23" spans="1:7">
      <c r="A23" s="68" t="s">
        <v>1653</v>
      </c>
      <c r="B23" s="68" t="s">
        <v>1667</v>
      </c>
      <c r="C23" s="67">
        <v>1</v>
      </c>
      <c r="G23" s="70">
        <v>46254.700914351852</v>
      </c>
    </row>
    <row r="24" spans="1:7">
      <c r="A24" s="68" t="s">
        <v>1653</v>
      </c>
      <c r="B24" s="68" t="s">
        <v>1668</v>
      </c>
      <c r="C24" s="69">
        <v>46560</v>
      </c>
      <c r="G24" s="70">
        <v>46254.700914351852</v>
      </c>
    </row>
    <row r="25" spans="1:7">
      <c r="A25" s="68" t="s">
        <v>1653</v>
      </c>
      <c r="B25" s="68" t="s">
        <v>1669</v>
      </c>
      <c r="C25" s="67" t="s">
        <v>1670</v>
      </c>
      <c r="G25" s="70">
        <v>46254.700914351852</v>
      </c>
    </row>
    <row r="26" spans="1:7">
      <c r="A26" s="68" t="s">
        <v>1653</v>
      </c>
      <c r="B26" s="68" t="s">
        <v>1671</v>
      </c>
      <c r="C26" s="69">
        <v>46196</v>
      </c>
      <c r="G26" s="70">
        <v>46254.700914351852</v>
      </c>
    </row>
    <row r="27" spans="1:7">
      <c r="A27" s="68" t="s">
        <v>1653</v>
      </c>
      <c r="B27" s="68" t="s">
        <v>1672</v>
      </c>
      <c r="C27" s="67" t="s">
        <v>1794</v>
      </c>
      <c r="G27" s="70">
        <v>46267.598449074074</v>
      </c>
    </row>
    <row r="28" spans="1:7">
      <c r="A28" s="68" t="s">
        <v>1653</v>
      </c>
      <c r="B28" s="68" t="s">
        <v>1673</v>
      </c>
      <c r="C28" s="67">
        <v>0</v>
      </c>
      <c r="G28" s="70">
        <v>46254.700914351852</v>
      </c>
    </row>
    <row r="29" spans="1:7">
      <c r="A29" s="68" t="s">
        <v>1653</v>
      </c>
      <c r="B29" s="68" t="s">
        <v>1674</v>
      </c>
      <c r="C29" s="67">
        <v>20</v>
      </c>
      <c r="G29" s="70">
        <v>46254.700914351852</v>
      </c>
    </row>
    <row r="30" spans="1:7">
      <c r="A30" s="68" t="s">
        <v>1653</v>
      </c>
      <c r="B30" s="68" t="s">
        <v>1675</v>
      </c>
      <c r="C30" s="67">
        <v>10</v>
      </c>
      <c r="G30" s="70">
        <v>46254.700914351852</v>
      </c>
    </row>
    <row r="31" spans="1:7">
      <c r="A31" s="68" t="s">
        <v>1653</v>
      </c>
      <c r="B31" s="68" t="s">
        <v>1676</v>
      </c>
      <c r="C31" s="67">
        <v>-4135</v>
      </c>
      <c r="F31" s="70"/>
      <c r="G31" s="70">
        <v>46267.642372685186</v>
      </c>
    </row>
    <row r="32" spans="1:7">
      <c r="A32" s="68" t="s">
        <v>1677</v>
      </c>
      <c r="B32" s="68" t="s">
        <v>1678</v>
      </c>
      <c r="C32" s="67">
        <v>1</v>
      </c>
      <c r="G32" s="70">
        <v>46254.700914351852</v>
      </c>
    </row>
    <row r="33" spans="1:7">
      <c r="A33" s="68" t="s">
        <v>1677</v>
      </c>
      <c r="B33" s="68" t="s">
        <v>1679</v>
      </c>
      <c r="C33" s="67">
        <v>0</v>
      </c>
    </row>
    <row r="34" spans="1:7">
      <c r="A34" s="68" t="s">
        <v>1677</v>
      </c>
      <c r="B34" s="68" t="s">
        <v>1680</v>
      </c>
      <c r="C34" s="67">
        <v>1</v>
      </c>
      <c r="G34" s="70">
        <v>46254.700914351852</v>
      </c>
    </row>
    <row r="35" spans="1:7">
      <c r="A35" s="68" t="s">
        <v>1677</v>
      </c>
      <c r="B35" s="68" t="s">
        <v>1681</v>
      </c>
      <c r="C35" s="67">
        <v>1</v>
      </c>
      <c r="G35" s="70">
        <v>46254.700914351852</v>
      </c>
    </row>
    <row r="36" spans="1:7">
      <c r="A36" s="68" t="s">
        <v>1677</v>
      </c>
      <c r="B36" s="68" t="s">
        <v>1682</v>
      </c>
      <c r="C36" s="67">
        <v>1</v>
      </c>
      <c r="G36" s="70">
        <v>46254.700914351852</v>
      </c>
    </row>
    <row r="37" spans="1:7">
      <c r="A37" s="68" t="s">
        <v>1677</v>
      </c>
      <c r="B37" s="68" t="s">
        <v>1683</v>
      </c>
      <c r="C37" s="67">
        <v>0</v>
      </c>
      <c r="G37" s="70">
        <v>46254.700914351852</v>
      </c>
    </row>
    <row r="38" spans="1:7">
      <c r="A38" s="68" t="s">
        <v>1677</v>
      </c>
      <c r="B38" s="68" t="s">
        <v>1684</v>
      </c>
      <c r="C38" s="67">
        <v>1</v>
      </c>
      <c r="G38" s="70">
        <v>46254.700914351852</v>
      </c>
    </row>
    <row r="39" spans="1:7">
      <c r="A39" s="68" t="s">
        <v>1677</v>
      </c>
      <c r="B39" s="68" t="s">
        <v>1685</v>
      </c>
      <c r="C39" s="67">
        <v>2</v>
      </c>
      <c r="G39" s="70">
        <v>46254.700914351852</v>
      </c>
    </row>
    <row r="40" spans="1:7">
      <c r="A40" s="68" t="s">
        <v>1677</v>
      </c>
      <c r="B40" s="68" t="s">
        <v>1686</v>
      </c>
      <c r="C40" s="67">
        <v>0.7</v>
      </c>
    </row>
    <row r="41" spans="1:7">
      <c r="A41" s="68" t="s">
        <v>1677</v>
      </c>
      <c r="B41" s="68" t="s">
        <v>1687</v>
      </c>
      <c r="C41" s="67">
        <v>1</v>
      </c>
      <c r="G41" s="70">
        <v>46254.700914351852</v>
      </c>
    </row>
    <row r="42" spans="1:7">
      <c r="A42" s="68" t="s">
        <v>1677</v>
      </c>
      <c r="B42" s="68" t="s">
        <v>1688</v>
      </c>
      <c r="C42" s="67">
        <v>1</v>
      </c>
      <c r="G42" s="70">
        <v>46254.700914351852</v>
      </c>
    </row>
    <row r="43" spans="1:7">
      <c r="A43" s="68" t="s">
        <v>1677</v>
      </c>
      <c r="B43" s="68" t="s">
        <v>1689</v>
      </c>
      <c r="C43" s="67">
        <v>-4131</v>
      </c>
      <c r="G43" s="70">
        <v>46254.700914351852</v>
      </c>
    </row>
    <row r="44" spans="1:7">
      <c r="A44" s="68" t="s">
        <v>1677</v>
      </c>
      <c r="B44" s="68" t="s">
        <v>1690</v>
      </c>
      <c r="C44" s="67">
        <v>7</v>
      </c>
      <c r="G44" s="70">
        <v>46254.700914351852</v>
      </c>
    </row>
    <row r="45" spans="1:7">
      <c r="A45" s="68" t="s">
        <v>1677</v>
      </c>
      <c r="B45" s="68" t="s">
        <v>1691</v>
      </c>
      <c r="C45" s="67">
        <v>0</v>
      </c>
      <c r="G45" s="70">
        <v>46254.700914351852</v>
      </c>
    </row>
    <row r="46" spans="1:7">
      <c r="A46" s="68" t="s">
        <v>1677</v>
      </c>
      <c r="B46" s="68" t="s">
        <v>1692</v>
      </c>
      <c r="C46" s="67">
        <v>1</v>
      </c>
      <c r="G46" s="70">
        <v>46254.700914351852</v>
      </c>
    </row>
    <row r="47" spans="1:7">
      <c r="A47" s="68" t="s">
        <v>1677</v>
      </c>
      <c r="B47" s="68" t="s">
        <v>1693</v>
      </c>
      <c r="C47" s="67">
        <v>1</v>
      </c>
      <c r="G47" s="70">
        <v>46254.700914351852</v>
      </c>
    </row>
    <row r="48" spans="1:7">
      <c r="A48" s="68" t="s">
        <v>1677</v>
      </c>
      <c r="B48" s="68" t="s">
        <v>1694</v>
      </c>
      <c r="C48" s="67">
        <v>1</v>
      </c>
    </row>
    <row r="49" spans="1:7">
      <c r="A49" s="68" t="s">
        <v>1677</v>
      </c>
      <c r="B49" s="68" t="s">
        <v>1695</v>
      </c>
      <c r="C49" s="67">
        <v>0</v>
      </c>
    </row>
    <row r="50" spans="1:7">
      <c r="A50" s="68" t="s">
        <v>1677</v>
      </c>
      <c r="B50" s="68" t="s">
        <v>1696</v>
      </c>
      <c r="C50" s="67">
        <v>2</v>
      </c>
      <c r="G50" s="70">
        <v>46254.700914351852</v>
      </c>
    </row>
    <row r="51" spans="1:7">
      <c r="A51" s="68" t="s">
        <v>1677</v>
      </c>
      <c r="B51" s="68" t="s">
        <v>1697</v>
      </c>
      <c r="C51" s="67" t="s">
        <v>1698</v>
      </c>
      <c r="G51" s="70">
        <v>45811.505787037036</v>
      </c>
    </row>
    <row r="52" spans="1:7">
      <c r="A52" s="68" t="s">
        <v>1677</v>
      </c>
      <c r="B52" s="68" t="s">
        <v>1699</v>
      </c>
      <c r="C52" s="67">
        <v>100</v>
      </c>
      <c r="G52" s="70">
        <v>46254.700914351852</v>
      </c>
    </row>
    <row r="53" spans="1:7">
      <c r="A53" s="68" t="s">
        <v>1677</v>
      </c>
      <c r="B53" s="68" t="s">
        <v>1700</v>
      </c>
      <c r="C53" s="67">
        <v>9</v>
      </c>
    </row>
    <row r="54" spans="1:7">
      <c r="A54" s="68" t="s">
        <v>1677</v>
      </c>
      <c r="B54" s="68" t="s">
        <v>1701</v>
      </c>
      <c r="C54" s="67">
        <v>1</v>
      </c>
      <c r="F54" s="70">
        <v>45811.009814814817</v>
      </c>
      <c r="G54" s="70">
        <v>46254.700914351852</v>
      </c>
    </row>
    <row r="55" spans="1:7">
      <c r="A55" s="68" t="s">
        <v>1702</v>
      </c>
      <c r="B55" s="68" t="s">
        <v>1703</v>
      </c>
      <c r="C55" s="67">
        <v>1</v>
      </c>
      <c r="G55" s="70">
        <v>46254.700914351852</v>
      </c>
    </row>
    <row r="56" spans="1:7">
      <c r="A56" s="68" t="s">
        <v>1702</v>
      </c>
      <c r="B56" s="68" t="s">
        <v>1704</v>
      </c>
      <c r="C56" s="67" t="s">
        <v>1705</v>
      </c>
      <c r="G56" s="70">
        <v>46254.700914351852</v>
      </c>
    </row>
    <row r="57" spans="1:7">
      <c r="A57" s="68" t="s">
        <v>1702</v>
      </c>
      <c r="B57" s="68" t="s">
        <v>1706</v>
      </c>
      <c r="C57" s="67" t="s">
        <v>1707</v>
      </c>
      <c r="G57" s="70">
        <v>46116.969467592593</v>
      </c>
    </row>
    <row r="58" spans="1:7">
      <c r="A58" s="68" t="s">
        <v>1702</v>
      </c>
      <c r="B58" s="68" t="s">
        <v>1708</v>
      </c>
      <c r="C58" s="67" t="s">
        <v>1707</v>
      </c>
      <c r="G58" s="70">
        <v>46254.700914351852</v>
      </c>
    </row>
    <row r="59" spans="1:7">
      <c r="A59" s="68" t="s">
        <v>1709</v>
      </c>
      <c r="B59" s="68" t="s">
        <v>1710</v>
      </c>
      <c r="C59" s="67">
        <v>82</v>
      </c>
      <c r="G59" s="70">
        <v>46254.700914351852</v>
      </c>
    </row>
    <row r="60" spans="1:7">
      <c r="A60" s="68" t="s">
        <v>1709</v>
      </c>
      <c r="B60" s="68" t="s">
        <v>1711</v>
      </c>
      <c r="C60" s="67">
        <v>1</v>
      </c>
      <c r="G60" s="70">
        <v>46254.700914351852</v>
      </c>
    </row>
    <row r="61" spans="1:7">
      <c r="A61" s="68" t="s">
        <v>1709</v>
      </c>
      <c r="B61" s="68" t="s">
        <v>1712</v>
      </c>
      <c r="C61" s="67">
        <v>82</v>
      </c>
      <c r="G61" s="70">
        <v>46118.934374999997</v>
      </c>
    </row>
    <row r="62" spans="1:7">
      <c r="A62" s="68" t="s">
        <v>1709</v>
      </c>
      <c r="B62" s="68" t="s">
        <v>1713</v>
      </c>
      <c r="C62" s="67" t="s">
        <v>1714</v>
      </c>
      <c r="G62" s="70">
        <v>46254.700914351852</v>
      </c>
    </row>
    <row r="63" spans="1:7">
      <c r="A63" s="68" t="s">
        <v>1715</v>
      </c>
      <c r="B63" s="68" t="s">
        <v>1716</v>
      </c>
      <c r="C63" s="67" t="b">
        <v>0</v>
      </c>
      <c r="G63" s="70">
        <v>46254.700914351852</v>
      </c>
    </row>
    <row r="64" spans="1:7">
      <c r="A64" s="68" t="s">
        <v>1715</v>
      </c>
      <c r="B64" s="68" t="s">
        <v>1717</v>
      </c>
      <c r="C64" s="67" t="b">
        <v>0</v>
      </c>
      <c r="G64" s="70">
        <v>46254.700914351852</v>
      </c>
    </row>
    <row r="65" spans="1:7">
      <c r="A65" s="68" t="s">
        <v>1715</v>
      </c>
      <c r="B65" s="68" t="s">
        <v>1718</v>
      </c>
      <c r="C65" s="67" t="b">
        <v>1</v>
      </c>
      <c r="G65" s="70">
        <v>46254.700914351852</v>
      </c>
    </row>
    <row r="66" spans="1:7">
      <c r="A66" s="68" t="s">
        <v>1715</v>
      </c>
      <c r="B66" s="68" t="s">
        <v>1719</v>
      </c>
      <c r="C66" s="67" t="b">
        <v>1</v>
      </c>
      <c r="G66" s="70">
        <v>46254.700914351852</v>
      </c>
    </row>
    <row r="67" spans="1:7">
      <c r="A67" s="68" t="s">
        <v>1715</v>
      </c>
      <c r="B67" s="68" t="s">
        <v>1720</v>
      </c>
      <c r="C67" s="67" t="b">
        <v>1</v>
      </c>
      <c r="G67" s="70">
        <v>46254.700914351852</v>
      </c>
    </row>
    <row r="68" spans="1:7">
      <c r="A68" s="68" t="s">
        <v>1715</v>
      </c>
      <c r="B68" s="68" t="s">
        <v>1721</v>
      </c>
      <c r="C68" s="67" t="b">
        <v>1</v>
      </c>
      <c r="G68" s="70">
        <v>46254.700914351852</v>
      </c>
    </row>
    <row r="69" spans="1:7">
      <c r="A69" s="68" t="s">
        <v>1715</v>
      </c>
      <c r="B69" s="68" t="s">
        <v>1722</v>
      </c>
      <c r="C69" s="67" t="b">
        <v>1</v>
      </c>
      <c r="G69" s="70">
        <v>46254.700914351852</v>
      </c>
    </row>
    <row r="70" spans="1:7">
      <c r="A70" s="68" t="s">
        <v>1715</v>
      </c>
      <c r="B70" s="68" t="s">
        <v>1723</v>
      </c>
      <c r="G70" s="70">
        <v>46254.700914351852</v>
      </c>
    </row>
    <row r="71" spans="1:7">
      <c r="A71" s="68" t="s">
        <v>1715</v>
      </c>
      <c r="B71" s="68" t="s">
        <v>1724</v>
      </c>
      <c r="C71" s="67" t="s">
        <v>1725</v>
      </c>
      <c r="G71" s="70">
        <v>46254.700914351852</v>
      </c>
    </row>
    <row r="72" spans="1:7">
      <c r="A72" s="68" t="s">
        <v>1715</v>
      </c>
      <c r="B72" s="68" t="s">
        <v>1726</v>
      </c>
      <c r="C72" s="67" t="s">
        <v>1727</v>
      </c>
      <c r="G72" s="70">
        <v>46254.700914351852</v>
      </c>
    </row>
    <row r="73" spans="1:7">
      <c r="A73" s="68" t="s">
        <v>1715</v>
      </c>
      <c r="B73" s="68" t="s">
        <v>1728</v>
      </c>
      <c r="C73" s="67" t="s">
        <v>1729</v>
      </c>
      <c r="G73" s="70">
        <v>46254.700914351852</v>
      </c>
    </row>
    <row r="74" spans="1:7">
      <c r="A74" s="68" t="s">
        <v>1715</v>
      </c>
      <c r="B74" s="68" t="s">
        <v>1730</v>
      </c>
      <c r="C74" s="67" t="s">
        <v>1731</v>
      </c>
      <c r="G74" s="70">
        <v>46254.700914351852</v>
      </c>
    </row>
    <row r="75" spans="1:7">
      <c r="A75" s="68" t="s">
        <v>1715</v>
      </c>
      <c r="B75" s="68" t="s">
        <v>1732</v>
      </c>
      <c r="C75" s="67" t="s">
        <v>1733</v>
      </c>
      <c r="G75" s="70">
        <v>46254.700914351852</v>
      </c>
    </row>
    <row r="76" spans="1:7">
      <c r="A76" s="68" t="s">
        <v>1715</v>
      </c>
      <c r="B76" s="68" t="s">
        <v>1734</v>
      </c>
      <c r="C76" s="67" t="s">
        <v>1735</v>
      </c>
      <c r="G76" s="70">
        <v>46254.700914351852</v>
      </c>
    </row>
    <row r="77" spans="1:7">
      <c r="A77" s="68" t="s">
        <v>1715</v>
      </c>
      <c r="B77" s="68" t="s">
        <v>1736</v>
      </c>
      <c r="C77" s="67" t="s">
        <v>1737</v>
      </c>
      <c r="G77" s="70">
        <v>46254.700914351852</v>
      </c>
    </row>
    <row r="78" spans="1:7">
      <c r="A78" s="68" t="s">
        <v>1715</v>
      </c>
      <c r="B78" s="68" t="s">
        <v>1738</v>
      </c>
      <c r="G78" s="70">
        <v>46254.700914351852</v>
      </c>
    </row>
    <row r="79" spans="1:7">
      <c r="A79" s="68" t="s">
        <v>1715</v>
      </c>
      <c r="B79" s="68" t="s">
        <v>1739</v>
      </c>
      <c r="C79" s="67" t="s">
        <v>1120</v>
      </c>
      <c r="G79" s="70">
        <v>46254.700914351852</v>
      </c>
    </row>
    <row r="80" spans="1:7">
      <c r="A80" s="68" t="s">
        <v>1715</v>
      </c>
      <c r="B80" s="68" t="s">
        <v>1740</v>
      </c>
      <c r="C80" s="67" t="s">
        <v>1475</v>
      </c>
      <c r="G80" s="70">
        <v>46254.700914351852</v>
      </c>
    </row>
    <row r="81" spans="1:7">
      <c r="A81" s="68" t="s">
        <v>1715</v>
      </c>
      <c r="B81" s="68" t="s">
        <v>1741</v>
      </c>
      <c r="C81" s="67" t="s">
        <v>845</v>
      </c>
      <c r="G81" s="70">
        <v>46254.700914351852</v>
      </c>
    </row>
    <row r="82" spans="1:7">
      <c r="A82" s="68" t="s">
        <v>1715</v>
      </c>
      <c r="B82" s="68" t="s">
        <v>1742</v>
      </c>
      <c r="C82" s="67" t="s">
        <v>1743</v>
      </c>
      <c r="G82" s="70">
        <v>46254.700914351852</v>
      </c>
    </row>
    <row r="83" spans="1:7">
      <c r="A83" s="68" t="s">
        <v>1715</v>
      </c>
      <c r="B83" s="68" t="s">
        <v>1744</v>
      </c>
      <c r="C83" s="67" t="s">
        <v>1745</v>
      </c>
      <c r="G83" s="70">
        <v>46254.700914351852</v>
      </c>
    </row>
    <row r="84" spans="1:7">
      <c r="A84" s="68" t="s">
        <v>1715</v>
      </c>
      <c r="B84" s="68" t="s">
        <v>1746</v>
      </c>
      <c r="C84" s="67" t="s">
        <v>1747</v>
      </c>
      <c r="G84" s="70">
        <v>46254.700914351852</v>
      </c>
    </row>
    <row r="85" spans="1:7">
      <c r="A85" s="68" t="s">
        <v>1715</v>
      </c>
      <c r="B85" s="68" t="s">
        <v>1748</v>
      </c>
      <c r="C85" s="67" t="s">
        <v>1749</v>
      </c>
      <c r="G85" s="70">
        <v>46254.700914351852</v>
      </c>
    </row>
    <row r="86" spans="1:7">
      <c r="A86" s="68" t="s">
        <v>1715</v>
      </c>
      <c r="B86" s="68" t="s">
        <v>1750</v>
      </c>
      <c r="G86" s="70">
        <v>46254.700914351852</v>
      </c>
    </row>
    <row r="87" spans="1:7">
      <c r="A87" s="68" t="s">
        <v>1715</v>
      </c>
      <c r="B87" s="68" t="s">
        <v>1751</v>
      </c>
      <c r="C87" s="67" t="s">
        <v>693</v>
      </c>
      <c r="G87" s="70">
        <v>46254.700914351852</v>
      </c>
    </row>
    <row r="88" spans="1:7">
      <c r="A88" s="68" t="s">
        <v>1715</v>
      </c>
      <c r="B88" s="68" t="s">
        <v>1752</v>
      </c>
      <c r="C88" s="67" t="s">
        <v>693</v>
      </c>
      <c r="G88" s="70">
        <v>46254.700914351852</v>
      </c>
    </row>
    <row r="89" spans="1:7">
      <c r="A89" s="68" t="s">
        <v>1715</v>
      </c>
      <c r="B89" s="68" t="s">
        <v>1753</v>
      </c>
      <c r="C89" s="67" t="s">
        <v>693</v>
      </c>
      <c r="G89" s="70">
        <v>46254.700914351852</v>
      </c>
    </row>
    <row r="90" spans="1:7">
      <c r="A90" s="68" t="s">
        <v>1715</v>
      </c>
      <c r="B90" s="68" t="s">
        <v>1754</v>
      </c>
      <c r="C90" s="67" t="s">
        <v>1755</v>
      </c>
      <c r="G90" s="70">
        <v>46254.700914351852</v>
      </c>
    </row>
    <row r="91" spans="1:7">
      <c r="A91" s="68" t="s">
        <v>1715</v>
      </c>
      <c r="B91" s="68" t="s">
        <v>1756</v>
      </c>
      <c r="C91" s="67" t="s">
        <v>1757</v>
      </c>
      <c r="G91" s="70">
        <v>46254.700914351852</v>
      </c>
    </row>
    <row r="92" spans="1:7">
      <c r="A92" s="68" t="s">
        <v>1715</v>
      </c>
      <c r="B92" s="68" t="s">
        <v>1758</v>
      </c>
      <c r="C92" s="67" t="s">
        <v>1759</v>
      </c>
      <c r="G92" s="70">
        <v>46254.700914351852</v>
      </c>
    </row>
    <row r="93" spans="1:7">
      <c r="A93" s="68" t="s">
        <v>1715</v>
      </c>
      <c r="B93" s="68" t="s">
        <v>1760</v>
      </c>
      <c r="C93" s="67" t="s">
        <v>1761</v>
      </c>
      <c r="G93" s="70">
        <v>46254.700914351852</v>
      </c>
    </row>
    <row r="94" spans="1:7">
      <c r="A94" s="68" t="s">
        <v>1715</v>
      </c>
      <c r="B94" s="68" t="s">
        <v>1762</v>
      </c>
      <c r="G94" s="70">
        <v>46254.700914351852</v>
      </c>
    </row>
    <row r="95" spans="1:7">
      <c r="A95" s="68" t="s">
        <v>1763</v>
      </c>
      <c r="B95" s="68" t="s">
        <v>1764</v>
      </c>
      <c r="C95" s="67" t="b">
        <v>1</v>
      </c>
      <c r="F95" s="70"/>
      <c r="G95" s="70">
        <v>46119.037141203713</v>
      </c>
    </row>
    <row r="96" spans="1:7">
      <c r="A96" s="68" t="s">
        <v>1763</v>
      </c>
      <c r="B96" s="68" t="s">
        <v>1765</v>
      </c>
      <c r="C96" s="67" t="b">
        <v>1</v>
      </c>
      <c r="F96" s="70"/>
      <c r="G96" s="70">
        <v>46119.037141203713</v>
      </c>
    </row>
    <row r="97" spans="1:7">
      <c r="A97" s="68" t="s">
        <v>1763</v>
      </c>
      <c r="B97" s="68" t="s">
        <v>1766</v>
      </c>
      <c r="C97" s="67" t="b">
        <v>0</v>
      </c>
      <c r="F97" s="70"/>
      <c r="G97" s="70">
        <v>46119.037141203713</v>
      </c>
    </row>
    <row r="98" spans="1:7">
      <c r="A98" s="68" t="s">
        <v>1763</v>
      </c>
      <c r="B98" s="68" t="s">
        <v>1767</v>
      </c>
      <c r="C98" s="67" t="b">
        <v>0</v>
      </c>
      <c r="F98" s="70"/>
      <c r="G98" s="70">
        <v>46119.037141203713</v>
      </c>
    </row>
    <row r="99" spans="1:7">
      <c r="A99" s="68" t="s">
        <v>1763</v>
      </c>
      <c r="B99" s="68" t="s">
        <v>1768</v>
      </c>
      <c r="C99" s="67" t="b">
        <v>0</v>
      </c>
      <c r="F99" s="70"/>
      <c r="G99" s="70">
        <v>46119.037141203713</v>
      </c>
    </row>
    <row r="100" spans="1:7">
      <c r="A100" s="68" t="s">
        <v>1763</v>
      </c>
      <c r="B100" s="68" t="s">
        <v>1769</v>
      </c>
      <c r="C100" s="67" t="b">
        <v>1</v>
      </c>
      <c r="F100" s="70"/>
      <c r="G100" s="70">
        <v>46119.037141203713</v>
      </c>
    </row>
    <row r="101" spans="1:7">
      <c r="A101" s="68" t="s">
        <v>1763</v>
      </c>
      <c r="B101" s="68" t="s">
        <v>1770</v>
      </c>
      <c r="C101" s="67" t="b">
        <v>0</v>
      </c>
      <c r="F101" s="70"/>
      <c r="G101" s="70">
        <v>46119.037141203713</v>
      </c>
    </row>
    <row r="102" spans="1:7">
      <c r="A102" s="68" t="s">
        <v>1763</v>
      </c>
      <c r="B102" s="68" t="s">
        <v>1771</v>
      </c>
      <c r="C102" s="67" t="b">
        <v>0</v>
      </c>
      <c r="F102" s="70"/>
      <c r="G102" s="70">
        <v>46119.037141203713</v>
      </c>
    </row>
    <row r="103" spans="1:7">
      <c r="A103" s="68" t="s">
        <v>1763</v>
      </c>
      <c r="B103" s="68" t="s">
        <v>1772</v>
      </c>
      <c r="C103" s="67" t="b">
        <v>0</v>
      </c>
      <c r="F103" s="70"/>
      <c r="G103" s="70">
        <v>46119.037141203713</v>
      </c>
    </row>
    <row r="104" spans="1:7">
      <c r="A104" s="68" t="s">
        <v>1763</v>
      </c>
      <c r="B104" s="68" t="s">
        <v>1773</v>
      </c>
      <c r="C104" s="67" t="b">
        <v>0</v>
      </c>
      <c r="F104" s="70"/>
      <c r="G104" s="70">
        <v>46119.037141203713</v>
      </c>
    </row>
    <row r="105" spans="1:7">
      <c r="A105" s="68" t="s">
        <v>1763</v>
      </c>
      <c r="B105" s="68" t="s">
        <v>1774</v>
      </c>
      <c r="C105" s="67" t="b">
        <v>0</v>
      </c>
      <c r="F105" s="70"/>
      <c r="G105" s="70">
        <v>46119.037141203713</v>
      </c>
    </row>
    <row r="106" spans="1:7">
      <c r="A106" s="68" t="s">
        <v>1763</v>
      </c>
      <c r="B106" s="68" t="s">
        <v>1775</v>
      </c>
      <c r="C106" s="67">
        <v>0</v>
      </c>
      <c r="F106" s="70"/>
      <c r="G106" s="70">
        <v>46119.037141203713</v>
      </c>
    </row>
    <row r="107" spans="1:7">
      <c r="A107" s="68" t="s">
        <v>1763</v>
      </c>
      <c r="B107" s="68" t="s">
        <v>1776</v>
      </c>
      <c r="C107" s="67">
        <v>80</v>
      </c>
      <c r="F107" s="70"/>
      <c r="G107" s="70">
        <v>46119.037141203713</v>
      </c>
    </row>
    <row r="108" spans="1:7">
      <c r="A108" s="68" t="s">
        <v>1763</v>
      </c>
      <c r="B108" s="68" t="s">
        <v>1777</v>
      </c>
      <c r="F108" s="70"/>
      <c r="G108" s="70">
        <v>46119.037141203713</v>
      </c>
    </row>
    <row r="109" spans="1:7">
      <c r="A109" s="68" t="s">
        <v>1763</v>
      </c>
      <c r="B109" s="68" t="s">
        <v>1778</v>
      </c>
      <c r="C109" s="69">
        <v>45930</v>
      </c>
      <c r="F109" s="70"/>
      <c r="G109" s="70">
        <v>46119.037141203713</v>
      </c>
    </row>
    <row r="110" spans="1:7">
      <c r="A110" s="68" t="s">
        <v>1763</v>
      </c>
      <c r="B110" s="68" t="s">
        <v>1779</v>
      </c>
      <c r="C110" s="69">
        <v>45910</v>
      </c>
      <c r="F110" s="70"/>
      <c r="G110" s="70">
        <v>46119.037141203713</v>
      </c>
    </row>
    <row r="111" spans="1:7">
      <c r="A111" s="68" t="s">
        <v>1677</v>
      </c>
      <c r="B111" s="68" t="s">
        <v>1780</v>
      </c>
      <c r="C111" s="67">
        <v>10</v>
      </c>
      <c r="F111" s="70">
        <v>45811.505243055559</v>
      </c>
      <c r="G111" s="70">
        <v>46254.700914351852</v>
      </c>
    </row>
    <row r="112" spans="1:7">
      <c r="A112" s="68" t="s">
        <v>1677</v>
      </c>
      <c r="B112" s="68" t="s">
        <v>1781</v>
      </c>
      <c r="C112" s="67">
        <v>1</v>
      </c>
      <c r="F112" s="70">
        <v>45811.536481481482</v>
      </c>
      <c r="G112" s="70">
        <v>46254.700914351852</v>
      </c>
    </row>
    <row r="113" spans="1:7">
      <c r="A113" s="68" t="s">
        <v>1677</v>
      </c>
      <c r="B113" s="68" t="s">
        <v>1782</v>
      </c>
      <c r="C113" s="67" t="s">
        <v>1783</v>
      </c>
      <c r="F113" s="70">
        <v>45811.54414351852</v>
      </c>
      <c r="G113" s="70">
        <v>45837.805833333332</v>
      </c>
    </row>
    <row r="114" spans="1:7">
      <c r="A114" s="68" t="s">
        <v>1677</v>
      </c>
      <c r="B114" s="68" t="s">
        <v>1784</v>
      </c>
      <c r="C114" s="67" t="s">
        <v>1785</v>
      </c>
      <c r="F114" s="70">
        <v>45811.547071759262</v>
      </c>
      <c r="G114" s="70">
        <v>45830.934467592589</v>
      </c>
    </row>
    <row r="115" spans="1:7">
      <c r="A115" s="68" t="s">
        <v>1677</v>
      </c>
      <c r="B115" s="68" t="s">
        <v>1786</v>
      </c>
      <c r="C115" s="67" t="s">
        <v>1698</v>
      </c>
      <c r="F115" s="70">
        <v>45811.55704861111</v>
      </c>
      <c r="G115" s="70">
        <v>45811.948993055557</v>
      </c>
    </row>
    <row r="116" spans="1:7">
      <c r="A116" s="68" t="s">
        <v>1677</v>
      </c>
      <c r="B116" s="68" t="s">
        <v>1787</v>
      </c>
      <c r="C116" s="67" t="s">
        <v>1788</v>
      </c>
      <c r="F116" s="70">
        <v>45811.714004629634</v>
      </c>
      <c r="G116" s="70">
        <v>45830.934884259259</v>
      </c>
    </row>
    <row r="117" spans="1:7">
      <c r="A117" s="68" t="s">
        <v>1677</v>
      </c>
      <c r="B117" s="68" t="s">
        <v>1789</v>
      </c>
      <c r="C117" s="67" t="s">
        <v>1790</v>
      </c>
      <c r="F117" s="70">
        <v>45811.740520833337</v>
      </c>
      <c r="G117" s="70">
        <v>45830.935648148137</v>
      </c>
    </row>
    <row r="118" spans="1:7">
      <c r="A118" s="68" t="s">
        <v>1677</v>
      </c>
      <c r="B118" s="68" t="s">
        <v>1791</v>
      </c>
      <c r="C118" s="67">
        <v>1</v>
      </c>
      <c r="F118" s="70">
        <v>46096.867928240739</v>
      </c>
      <c r="G118" s="70">
        <v>46254.700914351852</v>
      </c>
    </row>
    <row r="119" spans="1:7">
      <c r="A119" s="68" t="s">
        <v>1653</v>
      </c>
      <c r="B119" s="68" t="s">
        <v>1792</v>
      </c>
      <c r="C119" s="67">
        <v>1</v>
      </c>
      <c r="F119" s="70">
        <v>46103.788634259261</v>
      </c>
      <c r="G119" s="70">
        <v>46254.700914351852</v>
      </c>
    </row>
  </sheetData>
  <phoneticPr fontId="1" type="noConversion"/>
  <hyperlinks>
    <hyperlink ref="C6" r:id="rId1" xr:uid="{00000000-0004-0000-0700-000000000000}"/>
  </hyperlinks>
  <pageMargins left="0.7" right="0.7" top="0.75" bottom="0.75" header="0.3" footer="0.3"/>
  <pageSetup paperSize="9" orientation="portrait"/>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함형민(Hyungmin Hahm)</cp:lastModifiedBy>
  <cp:lastPrinted>2022-06-05T11:24:31Z</cp:lastPrinted>
  <dcterms:created xsi:type="dcterms:W3CDTF">2018-02-18T09:45:14Z</dcterms:created>
  <dcterms:modified xsi:type="dcterms:W3CDTF">2026-09-02T06:25:03Z</dcterms:modified>
</cp:coreProperties>
</file>