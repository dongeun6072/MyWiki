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`26 WBS" sheetId="1" r:id="rId5"/>
    <sheet state="visible" name="이슈관리" sheetId="2" r:id="rId6"/>
  </sheets>
  <definedNames/>
  <calcPr/>
</workbook>
</file>

<file path=xl/sharedStrings.xml><?xml version="1.0" encoding="utf-8"?>
<sst xmlns="http://schemas.openxmlformats.org/spreadsheetml/2006/main" count="188" uniqueCount="115">
  <si>
    <t>LBS Tech 통합 WBS &amp; 연간 간트차트 대시보드</t>
  </si>
  <si>
    <t xml:space="preserve"> 
▉◥ ▉🔥</t>
  </si>
  <si>
    <t>LBS Tech WBS 수행 간 이슈관리</t>
  </si>
  <si>
    <t>WBS
Code</t>
  </si>
  <si>
    <t>대분류</t>
  </si>
  <si>
    <t>중분류</t>
  </si>
  <si>
    <t>세부 작업명</t>
  </si>
  <si>
    <t>산출물</t>
  </si>
  <si>
    <t>부서</t>
  </si>
  <si>
    <t>담당자</t>
  </si>
  <si>
    <t>시작일</t>
  </si>
  <si>
    <t>종료일</t>
  </si>
  <si>
    <t>총 기간
(Work Day)</t>
  </si>
  <si>
    <t>진행률(%)</t>
  </si>
  <si>
    <t>지연일</t>
  </si>
  <si>
    <t>지연율(%)</t>
  </si>
  <si>
    <t>월간 진척도 상황</t>
  </si>
  <si>
    <t>No.</t>
  </si>
  <si>
    <t>이슈 내용</t>
  </si>
  <si>
    <t>현상 및 문제점</t>
  </si>
  <si>
    <t>대응 방안</t>
  </si>
  <si>
    <t>목표 일정</t>
  </si>
  <si>
    <t>서울시 동행맵 2026 개발 프로세스</t>
  </si>
  <si>
    <t>현행화 날짜</t>
  </si>
  <si>
    <t>7월</t>
  </si>
  <si>
    <t>8월</t>
  </si>
  <si>
    <t>9월</t>
  </si>
  <si>
    <t>10월</t>
  </si>
  <si>
    <t>11월</t>
  </si>
  <si>
    <t>12월</t>
  </si>
  <si>
    <t>1주</t>
  </si>
  <si>
    <t>2주</t>
  </si>
  <si>
    <t>3주</t>
  </si>
  <si>
    <t>4주</t>
  </si>
  <si>
    <t>5주</t>
  </si>
  <si>
    <t>사업 운영</t>
  </si>
  <si>
    <t>전략기획실</t>
  </si>
  <si>
    <t>김태섭</t>
  </si>
  <si>
    <t>1.1.1</t>
  </si>
  <si>
    <t>착수보고</t>
  </si>
  <si>
    <t>착수보고 발표자료</t>
  </si>
  <si>
    <t>1.1.2</t>
  </si>
  <si>
    <t>중간보고</t>
  </si>
  <si>
    <t>중간보고 발표자료</t>
  </si>
  <si>
    <t>1.1.3</t>
  </si>
  <si>
    <t>산출물 및 서비스 점검</t>
  </si>
  <si>
    <t>개발 문서로 갈음</t>
  </si>
  <si>
    <t>김민재</t>
  </si>
  <si>
    <t>1.1.4</t>
  </si>
  <si>
    <t>SDK 자체 실증테스트</t>
  </si>
  <si>
    <t>-</t>
  </si>
  <si>
    <t>1.1.5</t>
  </si>
  <si>
    <t>최종보고</t>
  </si>
  <si>
    <t>최종보고서</t>
  </si>
  <si>
    <t>시스템 개발</t>
  </si>
  <si>
    <t>개발실</t>
  </si>
  <si>
    <t>김세움</t>
  </si>
  <si>
    <t>2.1.1</t>
  </si>
  <si>
    <t>공간 DB 정합성 개선</t>
  </si>
  <si>
    <t>DB 구조서</t>
  </si>
  <si>
    <t>이준형</t>
  </si>
  <si>
    <t>2.1.2</t>
  </si>
  <si>
    <t>내비게이션 알고리즘 개선</t>
  </si>
  <si>
    <t>엔진 패치 로그</t>
  </si>
  <si>
    <t>김용재</t>
  </si>
  <si>
    <t>내비게이션 SDK 개발 (KMP)</t>
  </si>
  <si>
    <t>2.2.1</t>
  </si>
  <si>
    <t>PoC — KMP 셋업 + JTS/Vincenty 골든 검증</t>
  </si>
  <si>
    <t>PoC 리포트</t>
  </si>
  <si>
    <t>2.2.2</t>
  </si>
  <si>
    <t>엔진 포팅 (navigation→commonMain, 기하 13함수·양방향큐·골든테스트)</t>
  </si>
  <si>
    <t>엔진 소스+테스트</t>
  </si>
  <si>
    <t>2.2.3</t>
  </si>
  <si>
    <t>서버 클라이언트 (Pathfinder Ktor + GeoJSON 매퍼)</t>
  </si>
  <si>
    <t>API 클라이언트</t>
  </si>
  <si>
    <t>2.2.4</t>
  </si>
  <si>
    <t>플랫폼 계층 expect/actual (위치·음성·햅틱·지도)</t>
  </si>
  <si>
    <t>플랫폼 어댑터</t>
  </si>
  <si>
    <t>2.2.5</t>
  </si>
  <si>
    <t>네이버 지도 통합 (경로선·현위치·카메라, 신규구현)</t>
  </si>
  <si>
    <t>지도 모듈</t>
  </si>
  <si>
    <t>2.2.6</t>
  </si>
  <si>
    <t>음성·햅틱 오케스트레이터 (UtteranceBuilder+3채널)</t>
  </si>
  <si>
    <t>안내 엔진</t>
  </si>
  <si>
    <t>2.2.7</t>
  </si>
  <si>
    <t>Android UI (Compose 가이던스)</t>
  </si>
  <si>
    <t>Android SDK UI</t>
  </si>
  <si>
    <t>2.2.8</t>
  </si>
  <si>
    <t>iOS UI (SwiftUI + KMP State 구독/SKIE)</t>
  </si>
  <si>
    <t>iOS SDK UI</t>
  </si>
  <si>
    <t>2.2.9</t>
  </si>
  <si>
    <t>시뮬레이션 모드</t>
  </si>
  <si>
    <t>시뮬레이터</t>
  </si>
  <si>
    <t>2.2.10</t>
  </si>
  <si>
    <t>실측 튜닝 + 통합테스트 + 빌드·문서 (AAR/XCFramework)</t>
  </si>
  <si>
    <t>릴리스 패키지</t>
  </si>
  <si>
    <t>DB 구축 , 서버 및 로직 개발</t>
  </si>
  <si>
    <t>2.3.1</t>
  </si>
  <si>
    <t>공간 DB 구축</t>
  </si>
  <si>
    <t>데이터 모형 설계서(ERD)</t>
  </si>
  <si>
    <t>2.3.2</t>
  </si>
  <si>
    <t>접점 연계 데이터 모델</t>
  </si>
  <si>
    <t>데이터 연계 정의서(ICD)</t>
  </si>
  <si>
    <t>2.3.3</t>
  </si>
  <si>
    <t>경로 탐색 엔진/로직</t>
  </si>
  <si>
    <t>경로탐색 알고리즘 설계서</t>
  </si>
  <si>
    <t>2.3.4</t>
  </si>
  <si>
    <t>api서버 대외 연결</t>
  </si>
  <si>
    <t>통합 API 명세서</t>
  </si>
  <si>
    <t>2.3.5</t>
  </si>
  <si>
    <t>보행망 갱신 파이프라인 구축</t>
  </si>
  <si>
    <t>데이터 등록부</t>
  </si>
  <si>
    <t>2.3.6</t>
  </si>
  <si>
    <t>서버 , 배포 이중화 구성</t>
  </si>
  <si>
    <t>설치 아키텍처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</si>
</sst>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yyyy. m. d"/>
  </numFmts>
  <fonts count="15">
    <font>
      <sz val="10.0"/>
      <color rgb="FF000000"/>
      <name val="Arial"/>
      <scheme val="minor"/>
    </font>
    <font>
      <b/>
      <sz val="10.0"/>
      <color rgb="FFFFFFFF"/>
      <name val="Noto Sans KR"/>
    </font>
    <font/>
    <font>
      <sz val="10.0"/>
      <color theme="1"/>
      <name val="Noto Sans KR"/>
    </font>
    <font>
      <color theme="1"/>
      <name val="Noto Sans KR"/>
    </font>
    <font>
      <b/>
      <color rgb="FF000000"/>
      <name val="Noto Sans KR"/>
    </font>
    <font>
      <b/>
      <sz val="10.0"/>
      <color theme="1"/>
      <name val="Noto Sans KR"/>
    </font>
    <font>
      <color rgb="FF000000"/>
      <name val="Noto Sans KR"/>
    </font>
    <font>
      <b/>
      <sz val="9.0"/>
      <color rgb="FFFFFFFF"/>
      <name val="Noto Sans KR"/>
    </font>
    <font>
      <b/>
      <color theme="1"/>
      <name val="Noto Sans KR"/>
    </font>
    <font>
      <b/>
      <sz val="9.0"/>
      <color theme="1"/>
      <name val="Noto Sans KR"/>
    </font>
    <font>
      <sz val="9.0"/>
      <color theme="1"/>
      <name val="Noto Sans K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FFFFFF"/>
      <name val="Noto Sans KR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right" readingOrder="0" vertical="center"/>
    </xf>
    <xf borderId="0" fillId="0" fontId="4" numFmtId="0" xfId="0" applyFont="1"/>
    <xf borderId="4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shrinkToFit="0" wrapText="0"/>
    </xf>
    <xf borderId="0" fillId="5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5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left" shrinkToFit="0" wrapText="0"/>
    </xf>
    <xf borderId="0" fillId="5" fontId="6" numFmtId="164" xfId="0" applyAlignment="1" applyFont="1" applyNumberFormat="1">
      <alignment horizontal="right" readingOrder="0" vertical="center"/>
    </xf>
    <xf borderId="5" fillId="0" fontId="7" numFmtId="0" xfId="0" applyAlignment="1" applyBorder="1" applyFont="1">
      <alignment horizontal="left"/>
    </xf>
    <xf borderId="5" fillId="0" fontId="7" numFmtId="0" xfId="0" applyAlignment="1" applyBorder="1" applyFont="1">
      <alignment horizontal="center" shrinkToFit="0" wrapText="0"/>
    </xf>
    <xf borderId="0" fillId="2" fontId="8" numFmtId="0" xfId="0" applyAlignment="1" applyFont="1">
      <alignment horizontal="center" readingOrder="0" vertical="center"/>
    </xf>
    <xf borderId="0" fillId="2" fontId="8" numFmtId="165" xfId="0" applyAlignment="1" applyFont="1" applyNumberFormat="1">
      <alignment horizontal="center" readingOrder="0" vertical="center"/>
    </xf>
    <xf borderId="0" fillId="2" fontId="8" numFmtId="164" xfId="0" applyAlignment="1" applyFont="1" applyNumberFormat="1">
      <alignment horizontal="center" readingOrder="0" vertical="center"/>
    </xf>
    <xf borderId="0" fillId="2" fontId="8" numFmtId="9" xfId="0" applyAlignment="1" applyFont="1" applyNumberFormat="1">
      <alignment horizontal="center" readingOrder="0" vertical="center"/>
    </xf>
    <xf borderId="0" fillId="2" fontId="9" numFmtId="0" xfId="0" applyAlignment="1" applyFont="1">
      <alignment horizontal="center" vertical="center"/>
    </xf>
    <xf borderId="0" fillId="6" fontId="10" numFmtId="0" xfId="0" applyAlignment="1" applyFill="1" applyFont="1">
      <alignment horizontal="center" readingOrder="0" vertical="center"/>
    </xf>
    <xf borderId="0" fillId="6" fontId="10" numFmtId="164" xfId="0" applyAlignment="1" applyFont="1" applyNumberFormat="1">
      <alignment horizontal="center" readingOrder="0" vertical="center"/>
    </xf>
    <xf borderId="5" fillId="0" fontId="4" numFmtId="0" xfId="0" applyAlignment="1" applyBorder="1" applyFont="1">
      <alignment horizontal="left" shrinkToFit="0" wrapText="0"/>
    </xf>
    <xf borderId="0" fillId="6" fontId="10" numFmtId="9" xfId="0" applyAlignment="1" applyFont="1" applyNumberFormat="1">
      <alignment horizontal="center" readingOrder="0" vertical="center"/>
    </xf>
    <xf borderId="0" fillId="6" fontId="9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horizontal="center" readingOrder="0" vertical="center"/>
    </xf>
    <xf borderId="0" fillId="7" fontId="4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7" numFmtId="0" xfId="0" applyAlignment="1" applyBorder="1" applyFont="1">
      <alignment shrinkToFit="0" vertical="bottom" wrapText="0"/>
    </xf>
    <xf borderId="0" fillId="6" fontId="8" numFmtId="9" xfId="0" applyAlignment="1" applyFont="1" applyNumberFormat="1">
      <alignment horizontal="center" readingOrder="0" vertical="center"/>
    </xf>
    <xf borderId="0" fillId="6" fontId="12" numFmtId="0" xfId="0" applyFont="1"/>
    <xf borderId="0" fillId="7" fontId="13" numFmtId="0" xfId="0" applyFont="1"/>
    <xf borderId="0" fillId="8" fontId="11" numFmtId="9" xfId="0" applyAlignment="1" applyFill="1" applyFont="1" applyNumberFormat="1">
      <alignment horizontal="center" readingOrder="0" vertical="center"/>
    </xf>
    <xf borderId="0" fillId="0" fontId="11" numFmtId="9" xfId="0" applyAlignment="1" applyFont="1" applyNumberFormat="1">
      <alignment horizontal="center" vertical="center"/>
    </xf>
    <xf borderId="0" fillId="8" fontId="4" numFmtId="0" xfId="0" applyAlignment="1" applyFont="1">
      <alignment horizontal="center" vertical="center"/>
    </xf>
    <xf borderId="0" fillId="0" fontId="14" numFmtId="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3.0" ySplit="4.0" topLeftCell="N5" activePane="bottomRight" state="frozen"/>
      <selection activeCell="N1" sqref="N1" pane="topRight"/>
      <selection activeCell="A5" sqref="A5" pane="bottomLeft"/>
      <selection activeCell="N5" sqref="N5" pane="bottomRight"/>
    </sheetView>
  </sheetViews>
  <sheetFormatPr customHeight="1" defaultColWidth="12.63" defaultRowHeight="15.75"/>
  <cols>
    <col customWidth="1" min="1" max="1" width="7.5"/>
    <col customWidth="1" min="2" max="2" width="9.0"/>
    <col customWidth="1" min="3" max="3" width="9.5"/>
    <col customWidth="1" min="4" max="4" width="53.63"/>
    <col customWidth="1" min="5" max="5" width="16.63"/>
    <col customWidth="1" min="6" max="6" width="8.13"/>
    <col customWidth="1" min="7" max="7" width="7.88"/>
    <col customWidth="1" min="8" max="10" width="10.63"/>
    <col customWidth="1" min="11" max="11" width="9.88"/>
    <col customWidth="1" min="12" max="12" width="9.25"/>
    <col customWidth="1" min="13" max="13" width="9.88"/>
    <col customWidth="1" min="14" max="41" width="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7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</row>
    <row r="3" ht="31.5" customHeight="1">
      <c r="A3" s="9" t="s">
        <v>22</v>
      </c>
      <c r="N3" s="10" t="s">
        <v>24</v>
      </c>
      <c r="S3" s="10" t="s">
        <v>25</v>
      </c>
      <c r="W3" s="10" t="s">
        <v>26</v>
      </c>
      <c r="AB3" s="10" t="s">
        <v>27</v>
      </c>
      <c r="AG3" s="10" t="s">
        <v>28</v>
      </c>
      <c r="AK3" s="10" t="s">
        <v>29</v>
      </c>
    </row>
    <row r="4" ht="31.5" customHeight="1">
      <c r="A4" s="13">
        <f> now()</f>
        <v>46227.57529</v>
      </c>
      <c r="N4" s="10" t="s">
        <v>30</v>
      </c>
      <c r="O4" s="10" t="s">
        <v>31</v>
      </c>
      <c r="P4" s="10" t="s">
        <v>32</v>
      </c>
      <c r="Q4" s="10" t="s">
        <v>33</v>
      </c>
      <c r="R4" s="10" t="s">
        <v>34</v>
      </c>
      <c r="S4" s="10" t="s">
        <v>30</v>
      </c>
      <c r="T4" s="10" t="s">
        <v>31</v>
      </c>
      <c r="U4" s="10" t="s">
        <v>32</v>
      </c>
      <c r="V4" s="10" t="s">
        <v>33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30</v>
      </c>
      <c r="AC4" s="10" t="s">
        <v>31</v>
      </c>
      <c r="AD4" s="10" t="s">
        <v>32</v>
      </c>
      <c r="AE4" s="10" t="s">
        <v>33</v>
      </c>
      <c r="AF4" s="10" t="s">
        <v>34</v>
      </c>
      <c r="AG4" s="10" t="s">
        <v>30</v>
      </c>
      <c r="AH4" s="10" t="s">
        <v>31</v>
      </c>
      <c r="AI4" s="10" t="s">
        <v>32</v>
      </c>
      <c r="AJ4" s="10" t="s">
        <v>33</v>
      </c>
      <c r="AK4" s="10" t="s">
        <v>30</v>
      </c>
      <c r="AL4" s="10" t="s">
        <v>31</v>
      </c>
      <c r="AM4" s="10" t="s">
        <v>32</v>
      </c>
      <c r="AN4" s="10" t="s">
        <v>33</v>
      </c>
      <c r="AO4" s="10" t="s">
        <v>34</v>
      </c>
    </row>
    <row r="5" ht="21.75" customHeight="1">
      <c r="A5" s="16">
        <v>1.0</v>
      </c>
      <c r="B5" s="16" t="s">
        <v>35</v>
      </c>
      <c r="H5" s="17">
        <v>46204.0</v>
      </c>
      <c r="I5" s="18">
        <v>46387.0</v>
      </c>
      <c r="J5" s="16">
        <f t="shared" ref="J5:J33" si="1">I5-H5</f>
        <v>183</v>
      </c>
      <c r="K5" s="19"/>
      <c r="L5" s="19"/>
      <c r="M5" s="19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>
      <c r="A6" s="21">
        <v>1.1</v>
      </c>
      <c r="B6" s="21" t="s">
        <v>35</v>
      </c>
      <c r="F6" s="21" t="s">
        <v>36</v>
      </c>
      <c r="G6" s="21" t="s">
        <v>37</v>
      </c>
      <c r="H6" s="22">
        <v>46204.0</v>
      </c>
      <c r="I6" s="22">
        <v>46538.0</v>
      </c>
      <c r="J6" s="21">
        <f t="shared" si="1"/>
        <v>334</v>
      </c>
      <c r="K6" s="24"/>
      <c r="L6" s="2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4"/>
      <c r="Y6" s="24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>
      <c r="A7" s="26"/>
      <c r="B7" s="26" t="s">
        <v>38</v>
      </c>
      <c r="C7" s="26"/>
      <c r="D7" s="26" t="s">
        <v>39</v>
      </c>
      <c r="E7" s="26" t="s">
        <v>40</v>
      </c>
      <c r="F7" s="26" t="s">
        <v>36</v>
      </c>
      <c r="G7" s="26" t="s">
        <v>37</v>
      </c>
      <c r="H7" s="27">
        <v>46204.0</v>
      </c>
      <c r="I7" s="28">
        <v>46234.0</v>
      </c>
      <c r="J7" s="26">
        <f t="shared" si="1"/>
        <v>30</v>
      </c>
      <c r="K7" s="29"/>
      <c r="L7" s="29"/>
      <c r="M7" s="29"/>
      <c r="N7" s="30"/>
      <c r="O7" s="30"/>
      <c r="P7" s="30"/>
      <c r="Q7" s="30"/>
      <c r="R7" s="30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</row>
    <row r="8">
      <c r="A8" s="26"/>
      <c r="B8" s="26" t="s">
        <v>41</v>
      </c>
      <c r="C8" s="26"/>
      <c r="D8" s="26" t="s">
        <v>42</v>
      </c>
      <c r="E8" s="26" t="s">
        <v>43</v>
      </c>
      <c r="F8" s="26" t="s">
        <v>36</v>
      </c>
      <c r="G8" s="26" t="s">
        <v>37</v>
      </c>
      <c r="H8" s="27">
        <v>46204.0</v>
      </c>
      <c r="I8" s="28">
        <v>46326.0</v>
      </c>
      <c r="J8" s="26">
        <f t="shared" si="1"/>
        <v>122</v>
      </c>
      <c r="K8" s="29"/>
      <c r="L8" s="29"/>
      <c r="M8" s="29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1"/>
      <c r="AJ8" s="31"/>
      <c r="AK8" s="31"/>
      <c r="AL8" s="31"/>
      <c r="AM8" s="31"/>
      <c r="AN8" s="31"/>
      <c r="AO8" s="31"/>
    </row>
    <row r="9">
      <c r="A9" s="26"/>
      <c r="B9" s="26" t="s">
        <v>44</v>
      </c>
      <c r="C9" s="26"/>
      <c r="D9" s="26" t="s">
        <v>45</v>
      </c>
      <c r="E9" s="26" t="s">
        <v>46</v>
      </c>
      <c r="F9" s="26" t="s">
        <v>36</v>
      </c>
      <c r="G9" s="26" t="s">
        <v>47</v>
      </c>
      <c r="H9" s="27">
        <v>46204.0</v>
      </c>
      <c r="I9" s="28">
        <v>46326.0</v>
      </c>
      <c r="J9" s="26">
        <f t="shared" si="1"/>
        <v>122</v>
      </c>
      <c r="K9" s="29"/>
      <c r="L9" s="29"/>
      <c r="M9" s="29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1"/>
      <c r="AJ9" s="31"/>
      <c r="AK9" s="31"/>
      <c r="AL9" s="31"/>
      <c r="AM9" s="31"/>
      <c r="AN9" s="31"/>
      <c r="AO9" s="31"/>
    </row>
    <row r="10">
      <c r="A10" s="26"/>
      <c r="B10" s="26" t="s">
        <v>48</v>
      </c>
      <c r="C10" s="26"/>
      <c r="D10" s="26" t="s">
        <v>49</v>
      </c>
      <c r="E10" s="26" t="s">
        <v>50</v>
      </c>
      <c r="F10" s="26" t="s">
        <v>36</v>
      </c>
      <c r="G10" s="26" t="s">
        <v>47</v>
      </c>
      <c r="H10" s="28">
        <v>46266.0</v>
      </c>
      <c r="I10" s="28">
        <v>46326.0</v>
      </c>
      <c r="J10" s="26">
        <f t="shared" si="1"/>
        <v>60</v>
      </c>
      <c r="K10" s="29"/>
      <c r="L10" s="29"/>
      <c r="M10" s="29"/>
      <c r="N10" s="31"/>
      <c r="O10" s="31"/>
      <c r="P10" s="31"/>
      <c r="Q10" s="31"/>
      <c r="R10" s="31"/>
      <c r="S10" s="31"/>
      <c r="T10" s="31"/>
      <c r="U10" s="31"/>
      <c r="V10" s="31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1"/>
      <c r="AH10" s="31"/>
      <c r="AI10" s="31"/>
      <c r="AJ10" s="31"/>
      <c r="AK10" s="31"/>
      <c r="AL10" s="31"/>
      <c r="AM10" s="31"/>
      <c r="AN10" s="31"/>
      <c r="AO10" s="31"/>
    </row>
    <row r="11">
      <c r="A11" s="26"/>
      <c r="B11" s="26" t="s">
        <v>51</v>
      </c>
      <c r="C11" s="26"/>
      <c r="D11" s="26" t="s">
        <v>52</v>
      </c>
      <c r="E11" s="26" t="s">
        <v>53</v>
      </c>
      <c r="F11" s="26" t="s">
        <v>36</v>
      </c>
      <c r="G11" s="26" t="s">
        <v>37</v>
      </c>
      <c r="H11" s="27">
        <v>46204.0</v>
      </c>
      <c r="I11" s="28">
        <v>46538.0</v>
      </c>
      <c r="J11" s="26">
        <f t="shared" si="1"/>
        <v>334</v>
      </c>
      <c r="K11" s="29"/>
      <c r="L11" s="29"/>
      <c r="M11" s="29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ht="21.75" customHeight="1">
      <c r="A12" s="16">
        <v>2.0</v>
      </c>
      <c r="B12" s="16" t="s">
        <v>54</v>
      </c>
      <c r="H12" s="18">
        <v>46235.0</v>
      </c>
      <c r="I12" s="18">
        <v>46326.0</v>
      </c>
      <c r="J12" s="16">
        <f t="shared" si="1"/>
        <v>91</v>
      </c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>
      <c r="A13" s="21">
        <v>2.1</v>
      </c>
      <c r="B13" s="21" t="s">
        <v>54</v>
      </c>
      <c r="F13" s="21" t="s">
        <v>55</v>
      </c>
      <c r="G13" s="21" t="s">
        <v>56</v>
      </c>
      <c r="H13" s="22">
        <v>46235.0</v>
      </c>
      <c r="I13" s="22">
        <v>46326.0</v>
      </c>
      <c r="J13" s="21">
        <f t="shared" si="1"/>
        <v>91</v>
      </c>
      <c r="K13" s="24"/>
      <c r="L13" s="24"/>
      <c r="M13" s="2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4"/>
      <c r="Z13" s="24"/>
      <c r="AA13" s="24"/>
      <c r="AB13" s="24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</row>
    <row r="14">
      <c r="A14" s="26"/>
      <c r="B14" s="26" t="s">
        <v>57</v>
      </c>
      <c r="C14" s="26"/>
      <c r="D14" s="26" t="s">
        <v>58</v>
      </c>
      <c r="E14" s="26" t="s">
        <v>59</v>
      </c>
      <c r="F14" s="26" t="s">
        <v>55</v>
      </c>
      <c r="G14" s="26" t="s">
        <v>60</v>
      </c>
      <c r="H14" s="28">
        <v>46235.0</v>
      </c>
      <c r="I14" s="28">
        <v>46295.0</v>
      </c>
      <c r="J14" s="26">
        <f t="shared" si="1"/>
        <v>60</v>
      </c>
      <c r="K14" s="29"/>
      <c r="L14" s="29"/>
      <c r="M14" s="29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</row>
    <row r="15">
      <c r="A15" s="26"/>
      <c r="B15" s="26" t="s">
        <v>61</v>
      </c>
      <c r="C15" s="26"/>
      <c r="D15" s="26" t="s">
        <v>62</v>
      </c>
      <c r="E15" s="26" t="s">
        <v>63</v>
      </c>
      <c r="F15" s="26" t="s">
        <v>55</v>
      </c>
      <c r="G15" s="26" t="s">
        <v>64</v>
      </c>
      <c r="H15" s="28">
        <v>46235.0</v>
      </c>
      <c r="I15" s="27">
        <v>46326.0</v>
      </c>
      <c r="J15" s="26">
        <f t="shared" si="1"/>
        <v>91</v>
      </c>
      <c r="K15" s="29"/>
      <c r="L15" s="29"/>
      <c r="M15" s="29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>
      <c r="A16" s="21">
        <v>2.2</v>
      </c>
      <c r="B16" s="21" t="s">
        <v>65</v>
      </c>
      <c r="F16" s="21" t="s">
        <v>55</v>
      </c>
      <c r="G16" s="21" t="s">
        <v>56</v>
      </c>
      <c r="H16" s="22">
        <v>46235.0</v>
      </c>
      <c r="I16" s="22">
        <v>46387.0</v>
      </c>
      <c r="J16" s="21">
        <f t="shared" si="1"/>
        <v>152</v>
      </c>
      <c r="K16" s="24"/>
      <c r="L16" s="33"/>
      <c r="M16" s="33"/>
      <c r="N16" s="25"/>
      <c r="O16" s="25"/>
      <c r="P16" s="25"/>
      <c r="Q16" s="25"/>
      <c r="R16" s="25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</row>
    <row r="17">
      <c r="A17" s="26"/>
      <c r="B17" s="26" t="s">
        <v>66</v>
      </c>
      <c r="C17" s="26"/>
      <c r="D17" s="26" t="s">
        <v>67</v>
      </c>
      <c r="E17" s="26" t="s">
        <v>68</v>
      </c>
      <c r="F17" s="26" t="s">
        <v>55</v>
      </c>
      <c r="G17" s="26" t="s">
        <v>56</v>
      </c>
      <c r="H17" s="28">
        <v>46235.0</v>
      </c>
      <c r="I17" s="27">
        <v>46246.0</v>
      </c>
      <c r="J17" s="26">
        <f t="shared" si="1"/>
        <v>11</v>
      </c>
      <c r="K17" s="29"/>
      <c r="L17" s="29"/>
      <c r="M17" s="29"/>
      <c r="N17" s="31"/>
      <c r="O17" s="31"/>
      <c r="P17" s="31"/>
      <c r="Q17" s="31"/>
      <c r="R17" s="31"/>
      <c r="S17" s="35"/>
      <c r="T17" s="35"/>
      <c r="U17" s="31"/>
      <c r="V17" s="31"/>
      <c r="W17" s="31"/>
      <c r="X17" s="31"/>
      <c r="Y17" s="31"/>
      <c r="Z17" s="31"/>
      <c r="AA17" s="31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1"/>
    </row>
    <row r="18">
      <c r="A18" s="26"/>
      <c r="B18" s="26" t="s">
        <v>69</v>
      </c>
      <c r="C18" s="26"/>
      <c r="D18" s="26" t="s">
        <v>70</v>
      </c>
      <c r="E18" s="26" t="s">
        <v>71</v>
      </c>
      <c r="F18" s="26" t="s">
        <v>55</v>
      </c>
      <c r="G18" s="26" t="s">
        <v>56</v>
      </c>
      <c r="H18" s="28">
        <v>46246.0</v>
      </c>
      <c r="I18" s="27">
        <v>46274.0</v>
      </c>
      <c r="J18" s="26">
        <f t="shared" si="1"/>
        <v>28</v>
      </c>
      <c r="K18" s="29"/>
      <c r="L18" s="26"/>
      <c r="M18" s="37"/>
      <c r="N18" s="31"/>
      <c r="O18" s="31"/>
      <c r="P18" s="31"/>
      <c r="Q18" s="31"/>
      <c r="R18" s="31"/>
      <c r="S18" s="31"/>
      <c r="T18" s="35"/>
      <c r="U18" s="35"/>
      <c r="V18" s="35"/>
      <c r="W18" s="35"/>
      <c r="X18" s="35"/>
      <c r="Y18" s="31"/>
      <c r="Z18" s="31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</row>
    <row r="19">
      <c r="A19" s="26"/>
      <c r="B19" s="26" t="s">
        <v>72</v>
      </c>
      <c r="C19" s="26"/>
      <c r="D19" s="26" t="s">
        <v>73</v>
      </c>
      <c r="E19" s="26" t="s">
        <v>74</v>
      </c>
      <c r="F19" s="26" t="s">
        <v>55</v>
      </c>
      <c r="G19" s="26" t="s">
        <v>56</v>
      </c>
      <c r="H19" s="28">
        <v>46274.0</v>
      </c>
      <c r="I19" s="27">
        <v>46282.0</v>
      </c>
      <c r="J19" s="26">
        <f t="shared" si="1"/>
        <v>8</v>
      </c>
      <c r="K19" s="29"/>
      <c r="L19" s="26"/>
      <c r="M19" s="37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5"/>
      <c r="Y19" s="35"/>
      <c r="Z19" s="31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</row>
    <row r="20">
      <c r="A20" s="26"/>
      <c r="B20" s="26" t="s">
        <v>75</v>
      </c>
      <c r="C20" s="26"/>
      <c r="D20" s="26" t="s">
        <v>76</v>
      </c>
      <c r="E20" s="26" t="s">
        <v>77</v>
      </c>
      <c r="F20" s="26" t="s">
        <v>55</v>
      </c>
      <c r="G20" s="26" t="s">
        <v>56</v>
      </c>
      <c r="H20" s="28">
        <v>46282.0</v>
      </c>
      <c r="I20" s="27">
        <v>46293.0</v>
      </c>
      <c r="J20" s="26">
        <f t="shared" si="1"/>
        <v>11</v>
      </c>
      <c r="K20" s="29"/>
      <c r="L20" s="26"/>
      <c r="M20" s="37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5"/>
      <c r="Z20" s="35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</row>
    <row r="21">
      <c r="A21" s="26"/>
      <c r="B21" s="26" t="s">
        <v>78</v>
      </c>
      <c r="C21" s="26"/>
      <c r="D21" s="26" t="s">
        <v>79</v>
      </c>
      <c r="E21" s="26" t="s">
        <v>80</v>
      </c>
      <c r="F21" s="26" t="s">
        <v>55</v>
      </c>
      <c r="G21" s="26" t="s">
        <v>56</v>
      </c>
      <c r="H21" s="28">
        <v>46293.0</v>
      </c>
      <c r="I21" s="27">
        <v>46301.0</v>
      </c>
      <c r="J21" s="26">
        <f t="shared" si="1"/>
        <v>8</v>
      </c>
      <c r="K21" s="29"/>
      <c r="L21" s="37"/>
      <c r="M21" s="37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5"/>
      <c r="AA21" s="35"/>
      <c r="AB21" s="35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</row>
    <row r="22">
      <c r="A22" s="26"/>
      <c r="B22" s="26" t="s">
        <v>81</v>
      </c>
      <c r="C22" s="26"/>
      <c r="D22" s="26" t="s">
        <v>82</v>
      </c>
      <c r="E22" s="26" t="s">
        <v>83</v>
      </c>
      <c r="F22" s="26" t="s">
        <v>55</v>
      </c>
      <c r="G22" s="26" t="s">
        <v>56</v>
      </c>
      <c r="H22" s="28">
        <v>46301.0</v>
      </c>
      <c r="I22" s="27">
        <v>46312.0</v>
      </c>
      <c r="J22" s="26">
        <f t="shared" si="1"/>
        <v>11</v>
      </c>
      <c r="K22" s="29"/>
      <c r="L22" s="37"/>
      <c r="M22" s="37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5"/>
      <c r="AC22" s="35"/>
      <c r="AD22" s="35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</row>
    <row r="23">
      <c r="A23" s="26"/>
      <c r="B23" s="26" t="s">
        <v>84</v>
      </c>
      <c r="C23" s="26"/>
      <c r="D23" s="26" t="s">
        <v>85</v>
      </c>
      <c r="E23" s="26" t="s">
        <v>86</v>
      </c>
      <c r="F23" s="26" t="s">
        <v>55</v>
      </c>
      <c r="G23" s="26" t="s">
        <v>56</v>
      </c>
      <c r="H23" s="28">
        <v>46312.0</v>
      </c>
      <c r="I23" s="27">
        <v>46335.0</v>
      </c>
      <c r="J23" s="26">
        <f t="shared" si="1"/>
        <v>23</v>
      </c>
      <c r="K23" s="29"/>
      <c r="L23" s="37"/>
      <c r="M23" s="37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5"/>
      <c r="AE23" s="35"/>
      <c r="AF23" s="35"/>
      <c r="AG23" s="35"/>
      <c r="AH23" s="35"/>
      <c r="AI23" s="31"/>
      <c r="AJ23" s="31"/>
      <c r="AK23" s="31"/>
      <c r="AL23" s="31"/>
      <c r="AM23" s="31"/>
      <c r="AN23" s="31"/>
      <c r="AO23" s="31"/>
    </row>
    <row r="24">
      <c r="A24" s="26"/>
      <c r="B24" s="26" t="s">
        <v>87</v>
      </c>
      <c r="C24" s="26"/>
      <c r="D24" s="26" t="s">
        <v>88</v>
      </c>
      <c r="E24" s="26" t="s">
        <v>89</v>
      </c>
      <c r="F24" s="26" t="s">
        <v>55</v>
      </c>
      <c r="G24" s="26" t="s">
        <v>56</v>
      </c>
      <c r="H24" s="28">
        <v>46335.0</v>
      </c>
      <c r="I24" s="27">
        <v>46363.0</v>
      </c>
      <c r="J24" s="26">
        <f t="shared" si="1"/>
        <v>28</v>
      </c>
      <c r="K24" s="29"/>
      <c r="L24" s="37"/>
      <c r="M24" s="37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5"/>
      <c r="AI24" s="35"/>
      <c r="AJ24" s="35"/>
      <c r="AK24" s="35"/>
      <c r="AL24" s="31"/>
      <c r="AM24" s="31"/>
      <c r="AN24" s="31"/>
      <c r="AO24" s="31"/>
    </row>
    <row r="25">
      <c r="A25" s="26"/>
      <c r="B25" s="26" t="s">
        <v>90</v>
      </c>
      <c r="C25" s="26"/>
      <c r="D25" s="26" t="s">
        <v>91</v>
      </c>
      <c r="E25" s="26" t="s">
        <v>92</v>
      </c>
      <c r="F25" s="26" t="s">
        <v>55</v>
      </c>
      <c r="G25" s="26" t="s">
        <v>56</v>
      </c>
      <c r="H25" s="28">
        <v>46363.0</v>
      </c>
      <c r="I25" s="27">
        <v>46369.0</v>
      </c>
      <c r="J25" s="26">
        <f t="shared" si="1"/>
        <v>6</v>
      </c>
      <c r="K25" s="29"/>
      <c r="L25" s="37"/>
      <c r="M25" s="37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5"/>
      <c r="AL25" s="35"/>
      <c r="AM25" s="31"/>
      <c r="AN25" s="31"/>
      <c r="AO25" s="31"/>
    </row>
    <row r="26">
      <c r="A26" s="26"/>
      <c r="B26" s="26" t="s">
        <v>93</v>
      </c>
      <c r="C26" s="26"/>
      <c r="D26" s="26" t="s">
        <v>94</v>
      </c>
      <c r="E26" s="26" t="s">
        <v>95</v>
      </c>
      <c r="F26" s="26" t="s">
        <v>55</v>
      </c>
      <c r="G26" s="26" t="s">
        <v>56</v>
      </c>
      <c r="H26" s="28">
        <v>46369.0</v>
      </c>
      <c r="I26" s="27">
        <v>46387.0</v>
      </c>
      <c r="J26" s="26">
        <f t="shared" si="1"/>
        <v>18</v>
      </c>
      <c r="K26" s="29"/>
      <c r="L26" s="37"/>
      <c r="M26" s="37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5"/>
      <c r="AM26" s="35"/>
      <c r="AN26" s="35"/>
      <c r="AO26" s="35"/>
    </row>
    <row r="27">
      <c r="A27" s="21">
        <v>2.3</v>
      </c>
      <c r="B27" s="21" t="s">
        <v>96</v>
      </c>
      <c r="F27" s="21" t="s">
        <v>55</v>
      </c>
      <c r="G27" s="21" t="s">
        <v>55</v>
      </c>
      <c r="H27" s="22">
        <v>46235.0</v>
      </c>
      <c r="I27" s="22">
        <v>46387.0</v>
      </c>
      <c r="J27" s="21">
        <f t="shared" si="1"/>
        <v>152</v>
      </c>
      <c r="K27" s="24"/>
      <c r="L27" s="33"/>
      <c r="M27" s="33"/>
      <c r="N27" s="25"/>
      <c r="O27" s="25"/>
      <c r="P27" s="25"/>
      <c r="Q27" s="25"/>
      <c r="R27" s="25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</row>
    <row r="28">
      <c r="A28" s="26"/>
      <c r="B28" s="26" t="s">
        <v>97</v>
      </c>
      <c r="C28" s="26"/>
      <c r="D28" s="26" t="s">
        <v>98</v>
      </c>
      <c r="E28" s="26" t="s">
        <v>99</v>
      </c>
      <c r="F28" s="26" t="s">
        <v>55</v>
      </c>
      <c r="G28" s="26" t="s">
        <v>60</v>
      </c>
      <c r="H28" s="28">
        <v>46235.0</v>
      </c>
      <c r="I28" s="28">
        <v>46387.0</v>
      </c>
      <c r="J28" s="26">
        <f t="shared" si="1"/>
        <v>152</v>
      </c>
      <c r="K28" s="26"/>
      <c r="L28" s="39"/>
      <c r="M28" s="39"/>
      <c r="N28" s="31"/>
      <c r="O28" s="31"/>
      <c r="P28" s="31"/>
      <c r="Q28" s="31"/>
      <c r="R28" s="31"/>
    </row>
    <row r="29">
      <c r="A29" s="26"/>
      <c r="B29" s="26" t="s">
        <v>100</v>
      </c>
      <c r="C29" s="26"/>
      <c r="D29" s="26" t="s">
        <v>101</v>
      </c>
      <c r="E29" s="26" t="s">
        <v>102</v>
      </c>
      <c r="F29" s="26" t="s">
        <v>55</v>
      </c>
      <c r="G29" s="26" t="s">
        <v>60</v>
      </c>
      <c r="H29" s="28">
        <v>46251.0</v>
      </c>
      <c r="I29" s="28">
        <v>46295.0</v>
      </c>
      <c r="J29" s="26">
        <f t="shared" si="1"/>
        <v>44</v>
      </c>
      <c r="K29" s="26"/>
      <c r="L29" s="39"/>
      <c r="M29" s="39"/>
      <c r="N29" s="31"/>
      <c r="O29" s="31"/>
      <c r="P29" s="31"/>
      <c r="Q29" s="31"/>
      <c r="R29" s="31"/>
    </row>
    <row r="30">
      <c r="A30" s="26"/>
      <c r="B30" s="26" t="s">
        <v>103</v>
      </c>
      <c r="C30" s="26"/>
      <c r="D30" s="26" t="s">
        <v>104</v>
      </c>
      <c r="E30" s="26" t="s">
        <v>105</v>
      </c>
      <c r="F30" s="26" t="s">
        <v>55</v>
      </c>
      <c r="G30" s="26" t="s">
        <v>60</v>
      </c>
      <c r="H30" s="28">
        <v>46266.0</v>
      </c>
      <c r="I30" s="28">
        <v>46325.0</v>
      </c>
      <c r="J30" s="26">
        <f t="shared" si="1"/>
        <v>59</v>
      </c>
      <c r="K30" s="26"/>
      <c r="L30" s="39"/>
      <c r="M30" s="39"/>
      <c r="N30" s="31"/>
      <c r="O30" s="31"/>
      <c r="P30" s="31"/>
      <c r="Q30" s="31"/>
      <c r="R30" s="31"/>
    </row>
    <row r="31">
      <c r="A31" s="26"/>
      <c r="B31" s="26" t="s">
        <v>106</v>
      </c>
      <c r="C31" s="26"/>
      <c r="D31" s="26" t="s">
        <v>107</v>
      </c>
      <c r="E31" s="26" t="s">
        <v>108</v>
      </c>
      <c r="F31" s="26" t="s">
        <v>55</v>
      </c>
      <c r="G31" s="26" t="s">
        <v>60</v>
      </c>
      <c r="H31" s="28">
        <v>46258.0</v>
      </c>
      <c r="I31" s="28">
        <v>46325.0</v>
      </c>
      <c r="J31" s="26">
        <f t="shared" si="1"/>
        <v>67</v>
      </c>
      <c r="K31" s="26"/>
      <c r="L31" s="39"/>
      <c r="M31" s="39"/>
      <c r="N31" s="31"/>
      <c r="O31" s="31"/>
      <c r="P31" s="31"/>
      <c r="Q31" s="31"/>
      <c r="R31" s="31"/>
    </row>
    <row r="32">
      <c r="A32" s="26"/>
      <c r="B32" s="26" t="s">
        <v>109</v>
      </c>
      <c r="C32" s="26"/>
      <c r="D32" s="26" t="s">
        <v>110</v>
      </c>
      <c r="E32" s="26" t="s">
        <v>111</v>
      </c>
      <c r="F32" s="26" t="s">
        <v>55</v>
      </c>
      <c r="G32" s="26" t="s">
        <v>60</v>
      </c>
      <c r="H32" s="28">
        <v>46300.0</v>
      </c>
      <c r="I32" s="28">
        <v>46356.0</v>
      </c>
      <c r="J32" s="26">
        <f t="shared" si="1"/>
        <v>56</v>
      </c>
      <c r="K32" s="26"/>
      <c r="L32" s="39"/>
      <c r="M32" s="39"/>
      <c r="N32" s="31"/>
      <c r="O32" s="31"/>
      <c r="P32" s="31"/>
      <c r="Q32" s="31"/>
      <c r="R32" s="31"/>
    </row>
    <row r="33">
      <c r="A33" s="26"/>
      <c r="B33" s="26" t="s">
        <v>112</v>
      </c>
      <c r="C33" s="26"/>
      <c r="D33" s="26" t="s">
        <v>113</v>
      </c>
      <c r="E33" s="26" t="s">
        <v>114</v>
      </c>
      <c r="F33" s="26" t="s">
        <v>55</v>
      </c>
      <c r="G33" s="26" t="s">
        <v>60</v>
      </c>
      <c r="H33" s="28">
        <v>46328.0</v>
      </c>
      <c r="I33" s="28">
        <v>46356.0</v>
      </c>
      <c r="J33" s="26">
        <f t="shared" si="1"/>
        <v>28</v>
      </c>
      <c r="K33" s="26"/>
      <c r="L33" s="39"/>
      <c r="M33" s="39"/>
      <c r="N33" s="31"/>
      <c r="O33" s="31"/>
      <c r="P33" s="31"/>
      <c r="Q33" s="31"/>
      <c r="R33" s="31"/>
    </row>
  </sheetData>
  <mergeCells count="17">
    <mergeCell ref="AB3:AF3"/>
    <mergeCell ref="AG3:AJ3"/>
    <mergeCell ref="A3:M3"/>
    <mergeCell ref="A4:M4"/>
    <mergeCell ref="B5:G5"/>
    <mergeCell ref="B6:E6"/>
    <mergeCell ref="B12:G12"/>
    <mergeCell ref="B13:E13"/>
    <mergeCell ref="B16:E16"/>
    <mergeCell ref="B27:E27"/>
    <mergeCell ref="A1:M1"/>
    <mergeCell ref="N1:AO1"/>
    <mergeCell ref="N2:AO2"/>
    <mergeCell ref="N3:R3"/>
    <mergeCell ref="S3:V3"/>
    <mergeCell ref="W3:AA3"/>
    <mergeCell ref="AK3:AO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5.38"/>
    <col customWidth="1" min="3" max="3" width="18.13"/>
    <col customWidth="1" min="4" max="4" width="22.75"/>
    <col customWidth="1" min="5" max="5" width="21.25"/>
    <col customWidth="1" min="6" max="6" width="19.63"/>
  </cols>
  <sheetData>
    <row r="1" ht="21.0" customHeight="1">
      <c r="A1" s="5"/>
      <c r="B1" s="1" t="s">
        <v>2</v>
      </c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6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9</v>
      </c>
      <c r="H3" s="8" t="s">
        <v>23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6.5" customHeight="1">
      <c r="A4" s="5"/>
      <c r="B4" s="11">
        <v>1.0</v>
      </c>
      <c r="C4" s="12"/>
      <c r="D4" s="14"/>
      <c r="E4" s="14"/>
      <c r="F4" s="15"/>
      <c r="G4" s="15"/>
      <c r="H4" s="1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6.5" customHeight="1">
      <c r="A5" s="5"/>
      <c r="B5" s="11">
        <v>2.0</v>
      </c>
      <c r="C5" s="12"/>
      <c r="D5" s="12"/>
      <c r="E5" s="12"/>
      <c r="F5" s="15"/>
      <c r="G5" s="15"/>
      <c r="H5" s="1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6.5" customHeight="1">
      <c r="A6" s="5"/>
      <c r="B6" s="11">
        <v>3.0</v>
      </c>
      <c r="C6" s="12"/>
      <c r="D6" s="12"/>
      <c r="E6" s="14"/>
      <c r="F6" s="15"/>
      <c r="G6" s="15"/>
      <c r="H6" s="1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6.5" customHeight="1">
      <c r="A7" s="5"/>
      <c r="B7" s="11">
        <v>4.0</v>
      </c>
      <c r="C7" s="23"/>
      <c r="D7" s="23"/>
      <c r="E7" s="12"/>
      <c r="F7" s="15"/>
      <c r="G7" s="15"/>
      <c r="H7" s="1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6.5" customHeight="1">
      <c r="A8" s="5"/>
      <c r="B8" s="11">
        <v>5.0</v>
      </c>
      <c r="C8" s="23"/>
      <c r="D8" s="23"/>
      <c r="E8" s="12"/>
      <c r="F8" s="15"/>
      <c r="G8" s="15"/>
      <c r="H8" s="1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6.5" customHeight="1">
      <c r="A9" s="5"/>
      <c r="B9" s="11">
        <v>6.0</v>
      </c>
      <c r="C9" s="23"/>
      <c r="D9" s="12"/>
      <c r="E9" s="12"/>
      <c r="F9" s="15"/>
      <c r="G9" s="15"/>
      <c r="H9" s="1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6.5" customHeight="1">
      <c r="A10" s="5"/>
      <c r="B10" s="11">
        <v>7.0</v>
      </c>
      <c r="C10" s="32"/>
      <c r="D10" s="32"/>
      <c r="E10" s="32"/>
      <c r="F10" s="15"/>
      <c r="G10" s="15"/>
      <c r="H10" s="1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6.5" customHeight="1">
      <c r="A11" s="5"/>
      <c r="B11" s="11">
        <v>8.0</v>
      </c>
      <c r="C11" s="32"/>
      <c r="D11" s="32"/>
      <c r="E11" s="32"/>
      <c r="F11" s="15"/>
      <c r="G11" s="15"/>
      <c r="H11" s="1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6.5" customHeight="1">
      <c r="A12" s="5"/>
      <c r="B12" s="11">
        <v>9.0</v>
      </c>
      <c r="C12" s="32"/>
      <c r="D12" s="32"/>
      <c r="E12" s="32"/>
      <c r="F12" s="15"/>
      <c r="G12" s="15"/>
      <c r="H12" s="1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6.5" customHeight="1">
      <c r="A13" s="5"/>
      <c r="B13" s="11">
        <v>10.0</v>
      </c>
      <c r="C13" s="32"/>
      <c r="D13" s="32"/>
      <c r="E13" s="32"/>
      <c r="F13" s="15"/>
      <c r="G13" s="15"/>
      <c r="H13" s="1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6.5" customHeight="1">
      <c r="A14" s="5"/>
      <c r="B14" s="11">
        <v>11.0</v>
      </c>
      <c r="C14" s="32"/>
      <c r="D14" s="32"/>
      <c r="E14" s="32"/>
      <c r="F14" s="15"/>
      <c r="G14" s="15"/>
      <c r="H14" s="1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6.5" customHeight="1">
      <c r="A15" s="5"/>
      <c r="B15" s="11">
        <v>12.0</v>
      </c>
      <c r="C15" s="32"/>
      <c r="D15" s="32"/>
      <c r="E15" s="32"/>
      <c r="F15" s="15"/>
      <c r="G15" s="15"/>
      <c r="H15" s="1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6.5" customHeight="1">
      <c r="A16" s="5"/>
      <c r="B16" s="11">
        <v>13.0</v>
      </c>
      <c r="C16" s="32"/>
      <c r="D16" s="32"/>
      <c r="E16" s="32"/>
      <c r="F16" s="15"/>
      <c r="G16" s="15"/>
      <c r="H16" s="1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6.5" customHeight="1">
      <c r="A17" s="5"/>
      <c r="B17" s="11">
        <v>14.0</v>
      </c>
      <c r="C17" s="32"/>
      <c r="D17" s="32"/>
      <c r="E17" s="32"/>
      <c r="F17" s="15"/>
      <c r="G17" s="15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6.5" customHeight="1">
      <c r="A18" s="5"/>
      <c r="B18" s="11">
        <v>15.0</v>
      </c>
      <c r="C18" s="32"/>
      <c r="D18" s="32"/>
      <c r="E18" s="32"/>
      <c r="F18" s="15"/>
      <c r="G18" s="15"/>
      <c r="H18" s="1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6.5" customHeight="1">
      <c r="A19" s="5"/>
      <c r="B19" s="11">
        <v>16.0</v>
      </c>
      <c r="C19" s="32"/>
      <c r="D19" s="32"/>
      <c r="E19" s="32"/>
      <c r="F19" s="15"/>
      <c r="G19" s="15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6.5" customHeight="1">
      <c r="A20" s="5"/>
      <c r="B20" s="11">
        <v>17.0</v>
      </c>
      <c r="C20" s="32"/>
      <c r="D20" s="32"/>
      <c r="E20" s="32"/>
      <c r="F20" s="15"/>
      <c r="G20" s="15"/>
      <c r="H20" s="1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6.5" customHeight="1">
      <c r="A21" s="5"/>
      <c r="B21" s="11">
        <v>18.0</v>
      </c>
      <c r="C21" s="32"/>
      <c r="D21" s="32"/>
      <c r="E21" s="32"/>
      <c r="F21" s="15"/>
      <c r="G21" s="15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6.5" customHeight="1">
      <c r="A22" s="5"/>
      <c r="B22" s="11">
        <v>19.0</v>
      </c>
      <c r="C22" s="32"/>
      <c r="D22" s="32"/>
      <c r="E22" s="32"/>
      <c r="F22" s="15"/>
      <c r="G22" s="15"/>
      <c r="H22" s="1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6.5" customHeight="1">
      <c r="A23" s="5"/>
      <c r="B23" s="11">
        <v>20.0</v>
      </c>
      <c r="C23" s="32"/>
      <c r="D23" s="32"/>
      <c r="E23" s="32"/>
      <c r="F23" s="15"/>
      <c r="G23" s="15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6.5" customHeight="1">
      <c r="A24" s="5"/>
      <c r="B24" s="11">
        <v>21.0</v>
      </c>
      <c r="C24" s="32"/>
      <c r="D24" s="32"/>
      <c r="E24" s="32"/>
      <c r="F24" s="15"/>
      <c r="G24" s="15"/>
      <c r="H24" s="1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6.5" customHeight="1">
      <c r="A25" s="5"/>
      <c r="B25" s="11">
        <v>22.0</v>
      </c>
      <c r="C25" s="32"/>
      <c r="D25" s="32"/>
      <c r="E25" s="32"/>
      <c r="F25" s="15"/>
      <c r="G25" s="15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6.5" customHeight="1">
      <c r="A26" s="5"/>
      <c r="B26" s="11">
        <v>23.0</v>
      </c>
      <c r="C26" s="32"/>
      <c r="D26" s="32"/>
      <c r="E26" s="32"/>
      <c r="F26" s="15"/>
      <c r="G26" s="15"/>
      <c r="H26" s="1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6.5" customHeight="1">
      <c r="A27" s="5"/>
      <c r="B27" s="11">
        <v>24.0</v>
      </c>
      <c r="C27" s="32"/>
      <c r="D27" s="32"/>
      <c r="E27" s="32"/>
      <c r="F27" s="15"/>
      <c r="G27" s="15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6.5" customHeight="1">
      <c r="A28" s="5"/>
      <c r="B28" s="11">
        <v>25.0</v>
      </c>
      <c r="C28" s="32"/>
      <c r="D28" s="32"/>
      <c r="E28" s="32"/>
      <c r="F28" s="15"/>
      <c r="G28" s="15"/>
      <c r="H28" s="1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6.5" customHeight="1">
      <c r="A29" s="5"/>
      <c r="B29" s="11">
        <v>26.0</v>
      </c>
      <c r="C29" s="32"/>
      <c r="D29" s="32"/>
      <c r="E29" s="32"/>
      <c r="F29" s="15"/>
      <c r="G29" s="15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6.5" customHeight="1">
      <c r="A30" s="5"/>
      <c r="B30" s="11">
        <v>27.0</v>
      </c>
      <c r="C30" s="32"/>
      <c r="D30" s="32"/>
      <c r="E30" s="32"/>
      <c r="F30" s="15"/>
      <c r="G30" s="15"/>
      <c r="H30" s="1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6.5" customHeight="1">
      <c r="A31" s="5"/>
      <c r="B31" s="11">
        <v>28.0</v>
      </c>
      <c r="C31" s="32"/>
      <c r="D31" s="32"/>
      <c r="E31" s="32"/>
      <c r="F31" s="15"/>
      <c r="G31" s="15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6.5" customHeight="1">
      <c r="A32" s="5"/>
      <c r="B32" s="11">
        <v>29.0</v>
      </c>
      <c r="C32" s="32"/>
      <c r="D32" s="32"/>
      <c r="E32" s="32"/>
      <c r="F32" s="15"/>
      <c r="G32" s="15"/>
      <c r="H32" s="1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6.5" customHeight="1">
      <c r="A33" s="5"/>
      <c r="B33" s="11">
        <v>30.0</v>
      </c>
      <c r="C33" s="32"/>
      <c r="D33" s="32"/>
      <c r="E33" s="32"/>
      <c r="F33" s="15"/>
      <c r="G33" s="15"/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">
    <mergeCell ref="B1:H1"/>
  </mergeCells>
  <drawing r:id="rId1"/>
</worksheet>
</file>